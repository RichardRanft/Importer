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65" yWindow="495" windowWidth="23205" windowHeight="11025" tabRatio="766" activeTab="3"/>
  </bookViews>
  <sheets>
    <sheet name="Game Info" sheetId="77" r:id="rId1"/>
    <sheet name="Reels From Source (2)" sheetId="121" r:id="rId2"/>
    <sheet name="Reels" sheetId="120" r:id="rId3"/>
    <sheet name="Wins Combination" sheetId="34" r:id="rId4"/>
    <sheet name="Match" sheetId="133" r:id="rId5"/>
    <sheet name="Pays" sheetId="134" r:id="rId6"/>
  </sheets>
  <externalReferences>
    <externalReference r:id="rId7"/>
    <externalReference r:id="rId8"/>
  </externalReferences>
  <definedNames>
    <definedName name="Cycle">'[1]Reel Strips'!$Z$27</definedName>
    <definedName name="Cycle99">'[2]Var99 Reel Strips'!$Z$27</definedName>
    <definedName name="_xlnm.Print_Area" localSheetId="4">Match!$B$1:$L$74</definedName>
    <definedName name="_xlnm.Print_Area" localSheetId="5">Pays!$L$5:$X$145</definedName>
    <definedName name="_xlnm.Print_Area" localSheetId="3">'Wins Combination'!$A$1:$Q$107</definedName>
  </definedNames>
  <calcPr calcId="145621"/>
</workbook>
</file>

<file path=xl/calcChain.xml><?xml version="1.0" encoding="utf-8"?>
<calcChain xmlns="http://schemas.openxmlformats.org/spreadsheetml/2006/main">
  <c r="V145" i="134" l="1"/>
  <c r="U145" i="134"/>
  <c r="T145" i="134"/>
  <c r="S145" i="134"/>
  <c r="V144" i="134"/>
  <c r="U144" i="134"/>
  <c r="T144" i="134"/>
  <c r="S144" i="134"/>
  <c r="V143" i="134"/>
  <c r="U143" i="134"/>
  <c r="T143" i="134"/>
  <c r="S143" i="134"/>
  <c r="V142" i="134"/>
  <c r="U142" i="134"/>
  <c r="T142" i="134"/>
  <c r="S142" i="134"/>
  <c r="V141" i="134"/>
  <c r="U141" i="134"/>
  <c r="T141" i="134"/>
  <c r="S141" i="134"/>
  <c r="V140" i="134"/>
  <c r="U140" i="134"/>
  <c r="T140" i="134"/>
  <c r="S140" i="134"/>
  <c r="V139" i="134"/>
  <c r="U139" i="134"/>
  <c r="T139" i="134"/>
  <c r="S139" i="134"/>
  <c r="V138" i="134"/>
  <c r="U138" i="134"/>
  <c r="T138" i="134"/>
  <c r="S138" i="134"/>
  <c r="V137" i="134"/>
  <c r="U137" i="134"/>
  <c r="T137" i="134"/>
  <c r="S137" i="134"/>
  <c r="V136" i="134"/>
  <c r="U136" i="134"/>
  <c r="T136" i="134"/>
  <c r="S136" i="134"/>
  <c r="V135" i="134"/>
  <c r="U135" i="134"/>
  <c r="T135" i="134"/>
  <c r="S135" i="134"/>
  <c r="V134" i="134"/>
  <c r="U134" i="134"/>
  <c r="T134" i="134"/>
  <c r="S134" i="134"/>
  <c r="V133" i="134"/>
  <c r="U133" i="134"/>
  <c r="T133" i="134"/>
  <c r="S133" i="134"/>
  <c r="V132" i="134"/>
  <c r="U132" i="134"/>
  <c r="T132" i="134"/>
  <c r="S132" i="134"/>
  <c r="V131" i="134"/>
  <c r="U131" i="134"/>
  <c r="T131" i="134"/>
  <c r="S131" i="134"/>
  <c r="V130" i="134"/>
  <c r="U130" i="134"/>
  <c r="T130" i="134"/>
  <c r="S130" i="134"/>
  <c r="V129" i="134"/>
  <c r="U129" i="134"/>
  <c r="T129" i="134"/>
  <c r="S129" i="134"/>
  <c r="V128" i="134"/>
  <c r="U128" i="134"/>
  <c r="T128" i="134"/>
  <c r="S128" i="134"/>
  <c r="V127" i="134"/>
  <c r="U127" i="134"/>
  <c r="T127" i="134"/>
  <c r="S127" i="134"/>
  <c r="V126" i="134"/>
  <c r="U126" i="134"/>
  <c r="T126" i="134"/>
  <c r="S126" i="134"/>
  <c r="V125" i="134"/>
  <c r="U125" i="134"/>
  <c r="T125" i="134"/>
  <c r="S125" i="134"/>
  <c r="V124" i="134"/>
  <c r="U124" i="134"/>
  <c r="T124" i="134"/>
  <c r="S124" i="134"/>
  <c r="V123" i="134"/>
  <c r="U123" i="134"/>
  <c r="T123" i="134"/>
  <c r="S123" i="134"/>
  <c r="V122" i="134"/>
  <c r="U122" i="134"/>
  <c r="T122" i="134"/>
  <c r="S122" i="134"/>
  <c r="V121" i="134"/>
  <c r="U121" i="134"/>
  <c r="T121" i="134"/>
  <c r="S121" i="134"/>
  <c r="V120" i="134"/>
  <c r="U120" i="134"/>
  <c r="T120" i="134"/>
  <c r="S120" i="134"/>
  <c r="V119" i="134"/>
  <c r="U119" i="134"/>
  <c r="T119" i="134"/>
  <c r="S119" i="134"/>
  <c r="V118" i="134"/>
  <c r="U118" i="134"/>
  <c r="T118" i="134"/>
  <c r="S118" i="134"/>
  <c r="V117" i="134"/>
  <c r="U117" i="134"/>
  <c r="T117" i="134"/>
  <c r="S117" i="134"/>
  <c r="V116" i="134"/>
  <c r="U116" i="134"/>
  <c r="T116" i="134"/>
  <c r="S116" i="134"/>
  <c r="V115" i="134"/>
  <c r="U115" i="134"/>
  <c r="T115" i="134"/>
  <c r="S115" i="134"/>
  <c r="V114" i="134"/>
  <c r="U114" i="134"/>
  <c r="T114" i="134"/>
  <c r="S114" i="134"/>
  <c r="V113" i="134"/>
  <c r="U113" i="134"/>
  <c r="T113" i="134"/>
  <c r="S113" i="134"/>
  <c r="V112" i="134"/>
  <c r="U112" i="134"/>
  <c r="T112" i="134"/>
  <c r="S112" i="134"/>
  <c r="V111" i="134"/>
  <c r="U111" i="134"/>
  <c r="T111" i="134"/>
  <c r="S111" i="134"/>
  <c r="V110" i="134"/>
  <c r="U110" i="134"/>
  <c r="T110" i="134"/>
  <c r="S110" i="134"/>
  <c r="V109" i="134"/>
  <c r="U109" i="134"/>
  <c r="T109" i="134"/>
  <c r="S109" i="134"/>
  <c r="V108" i="134"/>
  <c r="U108" i="134"/>
  <c r="T108" i="134"/>
  <c r="S108" i="134"/>
  <c r="V107" i="134"/>
  <c r="U107" i="134"/>
  <c r="T107" i="134"/>
  <c r="S107" i="134"/>
  <c r="V106" i="134"/>
  <c r="U106" i="134"/>
  <c r="T106" i="134"/>
  <c r="S106" i="134"/>
  <c r="V105" i="134"/>
  <c r="U105" i="134"/>
  <c r="T105" i="134"/>
  <c r="S105" i="134"/>
  <c r="V104" i="134"/>
  <c r="U104" i="134"/>
  <c r="T104" i="134"/>
  <c r="S104" i="134"/>
  <c r="V103" i="134"/>
  <c r="U103" i="134"/>
  <c r="T103" i="134"/>
  <c r="S103" i="134"/>
  <c r="V102" i="134"/>
  <c r="U102" i="134"/>
  <c r="T102" i="134"/>
  <c r="S102" i="134"/>
  <c r="V101" i="134"/>
  <c r="U101" i="134"/>
  <c r="T101" i="134"/>
  <c r="S101" i="134"/>
  <c r="V100" i="134"/>
  <c r="U100" i="134"/>
  <c r="T100" i="134"/>
  <c r="S100" i="134"/>
  <c r="V99" i="134"/>
  <c r="U99" i="134"/>
  <c r="T99" i="134"/>
  <c r="S99" i="134"/>
  <c r="V98" i="134"/>
  <c r="U98" i="134"/>
  <c r="T98" i="134"/>
  <c r="S98" i="134"/>
  <c r="V97" i="134"/>
  <c r="U97" i="134"/>
  <c r="T97" i="134"/>
  <c r="S97" i="134"/>
  <c r="V96" i="134"/>
  <c r="U96" i="134"/>
  <c r="T96" i="134"/>
  <c r="S96" i="134"/>
  <c r="V95" i="134"/>
  <c r="U95" i="134"/>
  <c r="T95" i="134"/>
  <c r="S95" i="134"/>
  <c r="R145" i="134" l="1"/>
  <c r="R144" i="134"/>
  <c r="R143" i="134"/>
  <c r="R142" i="134"/>
  <c r="R141" i="134"/>
  <c r="R140" i="134"/>
  <c r="R139" i="134"/>
  <c r="R138" i="134"/>
  <c r="R137" i="134"/>
  <c r="R136" i="134"/>
  <c r="R135" i="134"/>
  <c r="R134" i="134"/>
  <c r="R133" i="134"/>
  <c r="R132" i="134"/>
  <c r="R131" i="134"/>
  <c r="R130" i="134"/>
  <c r="R129" i="134"/>
  <c r="R128" i="134"/>
  <c r="R127" i="134"/>
  <c r="R126" i="134"/>
  <c r="R125" i="134"/>
  <c r="R124" i="134"/>
  <c r="R123" i="134"/>
  <c r="R122" i="134"/>
  <c r="R121" i="134"/>
  <c r="R120" i="134"/>
  <c r="R119" i="134"/>
  <c r="R118" i="134"/>
  <c r="R117" i="134"/>
  <c r="R116" i="134"/>
  <c r="R115" i="134"/>
  <c r="R114" i="134"/>
  <c r="R113" i="134"/>
  <c r="R112" i="134"/>
  <c r="R111" i="134"/>
  <c r="R110" i="134"/>
  <c r="R109" i="134"/>
  <c r="R108" i="134"/>
  <c r="R107" i="134"/>
  <c r="R106" i="134"/>
  <c r="R105" i="134"/>
  <c r="R104" i="134"/>
  <c r="R103" i="134"/>
  <c r="R102" i="134"/>
  <c r="R101" i="134"/>
  <c r="R100" i="134"/>
  <c r="R99" i="134"/>
  <c r="R98" i="134"/>
  <c r="R97" i="134"/>
  <c r="R96" i="134"/>
  <c r="R95" i="134"/>
  <c r="L43" i="134" l="1"/>
  <c r="M43" i="134"/>
  <c r="N43" i="134"/>
  <c r="O43" i="134"/>
  <c r="P43" i="134"/>
  <c r="L44" i="134"/>
  <c r="M44" i="134"/>
  <c r="N44" i="134"/>
  <c r="O44" i="134"/>
  <c r="P44" i="134"/>
  <c r="L45" i="134"/>
  <c r="M45" i="134"/>
  <c r="N45" i="134"/>
  <c r="O45" i="134"/>
  <c r="P45" i="134"/>
  <c r="L46" i="134"/>
  <c r="M46" i="134"/>
  <c r="N46" i="134"/>
  <c r="O46" i="134"/>
  <c r="P46" i="134"/>
  <c r="L47" i="134"/>
  <c r="M47" i="134"/>
  <c r="N47" i="134"/>
  <c r="O47" i="134"/>
  <c r="P47" i="134"/>
  <c r="L48" i="134"/>
  <c r="M48" i="134"/>
  <c r="N48" i="134"/>
  <c r="O48" i="134"/>
  <c r="P48" i="134"/>
  <c r="L49" i="134"/>
  <c r="M49" i="134"/>
  <c r="N49" i="134"/>
  <c r="O49" i="134"/>
  <c r="P49" i="134"/>
  <c r="L50" i="134"/>
  <c r="M50" i="134"/>
  <c r="N50" i="134"/>
  <c r="O50" i="134"/>
  <c r="P50" i="134"/>
  <c r="L6" i="134"/>
  <c r="M6" i="134"/>
  <c r="N6" i="134"/>
  <c r="O6" i="134"/>
  <c r="P6" i="134"/>
  <c r="L7" i="134"/>
  <c r="M7" i="134"/>
  <c r="N7" i="134"/>
  <c r="O7" i="134"/>
  <c r="P7" i="134"/>
  <c r="L8" i="134"/>
  <c r="M8" i="134"/>
  <c r="N8" i="134"/>
  <c r="O8" i="134"/>
  <c r="P8" i="134"/>
  <c r="L9" i="134"/>
  <c r="M9" i="134"/>
  <c r="N9" i="134"/>
  <c r="O9" i="134"/>
  <c r="P9" i="134"/>
  <c r="L10" i="134"/>
  <c r="M10" i="134"/>
  <c r="N10" i="134"/>
  <c r="O10" i="134"/>
  <c r="P10" i="134"/>
  <c r="L11" i="134"/>
  <c r="M11" i="134"/>
  <c r="N11" i="134"/>
  <c r="O11" i="134"/>
  <c r="P11" i="134"/>
  <c r="L12" i="134"/>
  <c r="M12" i="134"/>
  <c r="N12" i="134"/>
  <c r="O12" i="134"/>
  <c r="P12" i="134"/>
  <c r="L13" i="134"/>
  <c r="M13" i="134"/>
  <c r="N13" i="134"/>
  <c r="O13" i="134"/>
  <c r="P13" i="134"/>
  <c r="L14" i="134"/>
  <c r="M14" i="134"/>
  <c r="N14" i="134"/>
  <c r="O14" i="134"/>
  <c r="P14" i="134"/>
  <c r="L15" i="134"/>
  <c r="M15" i="134"/>
  <c r="N15" i="134"/>
  <c r="O15" i="134"/>
  <c r="P15" i="134"/>
  <c r="L16" i="134"/>
  <c r="M16" i="134"/>
  <c r="N16" i="134"/>
  <c r="O16" i="134"/>
  <c r="P16" i="134"/>
  <c r="L17" i="134"/>
  <c r="M17" i="134"/>
  <c r="N17" i="134"/>
  <c r="O17" i="134"/>
  <c r="P17" i="134"/>
  <c r="L18" i="134"/>
  <c r="M18" i="134"/>
  <c r="N18" i="134"/>
  <c r="O18" i="134"/>
  <c r="P18" i="134"/>
  <c r="L19" i="134"/>
  <c r="M19" i="134"/>
  <c r="N19" i="134"/>
  <c r="O19" i="134"/>
  <c r="P19" i="134"/>
  <c r="L20" i="134"/>
  <c r="M20" i="134"/>
  <c r="N20" i="134"/>
  <c r="O20" i="134"/>
  <c r="P20" i="134"/>
  <c r="L21" i="134"/>
  <c r="M21" i="134"/>
  <c r="N21" i="134"/>
  <c r="O21" i="134"/>
  <c r="P21" i="134"/>
  <c r="L22" i="134"/>
  <c r="M22" i="134"/>
  <c r="N22" i="134"/>
  <c r="O22" i="134"/>
  <c r="P22" i="134"/>
  <c r="L23" i="134"/>
  <c r="M23" i="134"/>
  <c r="N23" i="134"/>
  <c r="O23" i="134"/>
  <c r="P23" i="134"/>
  <c r="L24" i="134"/>
  <c r="M24" i="134"/>
  <c r="N24" i="134"/>
  <c r="O24" i="134"/>
  <c r="P24" i="134"/>
  <c r="L25" i="134"/>
  <c r="M25" i="134"/>
  <c r="N25" i="134"/>
  <c r="O25" i="134"/>
  <c r="P25" i="134"/>
  <c r="L26" i="134"/>
  <c r="M26" i="134"/>
  <c r="N26" i="134"/>
  <c r="O26" i="134"/>
  <c r="P26" i="134"/>
  <c r="L27" i="134"/>
  <c r="M27" i="134"/>
  <c r="N27" i="134"/>
  <c r="O27" i="134"/>
  <c r="P27" i="134"/>
  <c r="L28" i="134"/>
  <c r="M28" i="134"/>
  <c r="N28" i="134"/>
  <c r="O28" i="134"/>
  <c r="P28" i="134"/>
  <c r="L29" i="134"/>
  <c r="M29" i="134"/>
  <c r="N29" i="134"/>
  <c r="O29" i="134"/>
  <c r="P29" i="134"/>
  <c r="L30" i="134"/>
  <c r="M30" i="134"/>
  <c r="N30" i="134"/>
  <c r="O30" i="134"/>
  <c r="P30" i="134"/>
  <c r="L31" i="134"/>
  <c r="M31" i="134"/>
  <c r="N31" i="134"/>
  <c r="O31" i="134"/>
  <c r="P31" i="134"/>
  <c r="L32" i="134"/>
  <c r="M32" i="134"/>
  <c r="N32" i="134"/>
  <c r="O32" i="134"/>
  <c r="P32" i="134"/>
  <c r="L33" i="134"/>
  <c r="M33" i="134"/>
  <c r="N33" i="134"/>
  <c r="O33" i="134"/>
  <c r="P33" i="134"/>
  <c r="L34" i="134"/>
  <c r="M34" i="134"/>
  <c r="N34" i="134"/>
  <c r="O34" i="134"/>
  <c r="P34" i="134"/>
  <c r="L35" i="134"/>
  <c r="M35" i="134"/>
  <c r="N35" i="134"/>
  <c r="O35" i="134"/>
  <c r="P35" i="134"/>
  <c r="L36" i="134"/>
  <c r="M36" i="134"/>
  <c r="N36" i="134"/>
  <c r="O36" i="134"/>
  <c r="P36" i="134"/>
  <c r="L37" i="134"/>
  <c r="M37" i="134"/>
  <c r="N37" i="134"/>
  <c r="O37" i="134"/>
  <c r="P37" i="134"/>
  <c r="L38" i="134"/>
  <c r="M38" i="134"/>
  <c r="N38" i="134"/>
  <c r="O38" i="134"/>
  <c r="P38" i="134"/>
  <c r="L39" i="134"/>
  <c r="M39" i="134"/>
  <c r="N39" i="134"/>
  <c r="O39" i="134"/>
  <c r="P39" i="134"/>
  <c r="L40" i="134"/>
  <c r="M40" i="134"/>
  <c r="N40" i="134"/>
  <c r="O40" i="134"/>
  <c r="P40" i="134"/>
  <c r="L41" i="134"/>
  <c r="M41" i="134"/>
  <c r="N41" i="134"/>
  <c r="O41" i="134"/>
  <c r="P41" i="134"/>
  <c r="Z7" i="134" l="1"/>
  <c r="AA7" i="134"/>
  <c r="Z8" i="134"/>
  <c r="AA8" i="134"/>
  <c r="Z9" i="134"/>
  <c r="AA9" i="134"/>
  <c r="Z10" i="134"/>
  <c r="AA10" i="134"/>
  <c r="Z11" i="134"/>
  <c r="AA11" i="134"/>
  <c r="Z12" i="134"/>
  <c r="AA12" i="134"/>
  <c r="Z13" i="134"/>
  <c r="AA13" i="134"/>
  <c r="Z14" i="134"/>
  <c r="AA14" i="134"/>
  <c r="Z15" i="134"/>
  <c r="AA15" i="134"/>
  <c r="Z16" i="134"/>
  <c r="AA16" i="134"/>
  <c r="Z17" i="134"/>
  <c r="AA17" i="134"/>
  <c r="Z18" i="134"/>
  <c r="AA18" i="134"/>
  <c r="Z19" i="134"/>
  <c r="AA19" i="134"/>
  <c r="Z20" i="134"/>
  <c r="AA20" i="134"/>
  <c r="Z21" i="134"/>
  <c r="AA21" i="134"/>
  <c r="Z22" i="134"/>
  <c r="AA22" i="134"/>
  <c r="Z23" i="134"/>
  <c r="AA23" i="134"/>
  <c r="Z24" i="134"/>
  <c r="AA24" i="134"/>
  <c r="Z25" i="134"/>
  <c r="AA25" i="134"/>
  <c r="Z26" i="134"/>
  <c r="AA26" i="134"/>
  <c r="Z27" i="134"/>
  <c r="AA27" i="134"/>
  <c r="Z28" i="134"/>
  <c r="AA28" i="134"/>
  <c r="Z29" i="134"/>
  <c r="AA29" i="134"/>
  <c r="Z30" i="134"/>
  <c r="AA30" i="134"/>
  <c r="Z31" i="134"/>
  <c r="AA31" i="134"/>
  <c r="Z32" i="134"/>
  <c r="AA32" i="134"/>
  <c r="Z33" i="134"/>
  <c r="AA33" i="134"/>
  <c r="Z34" i="134"/>
  <c r="AA34" i="134"/>
  <c r="Z35" i="134"/>
  <c r="AA35" i="134"/>
  <c r="Z36" i="134"/>
  <c r="AA36" i="134"/>
  <c r="Z37" i="134"/>
  <c r="AA37" i="134"/>
  <c r="Z38" i="134"/>
  <c r="AA38" i="134"/>
  <c r="Z39" i="134"/>
  <c r="AA39" i="134"/>
  <c r="AD7" i="134"/>
  <c r="AE7" i="134"/>
  <c r="AD8" i="134"/>
  <c r="AE8" i="134"/>
  <c r="AD9" i="134"/>
  <c r="AE9" i="134"/>
  <c r="AD10" i="134"/>
  <c r="AE10" i="134"/>
  <c r="AD11" i="134"/>
  <c r="AE11" i="134"/>
  <c r="AD12" i="134"/>
  <c r="AE12" i="134"/>
  <c r="AD13" i="134"/>
  <c r="AE13" i="134"/>
  <c r="AD14" i="134"/>
  <c r="AE14" i="134"/>
  <c r="AD15" i="134"/>
  <c r="AE15" i="134"/>
  <c r="AD16" i="134"/>
  <c r="AE16" i="134"/>
  <c r="AD17" i="134"/>
  <c r="AE17" i="134"/>
  <c r="AD18" i="134"/>
  <c r="AE18" i="134"/>
  <c r="AD19" i="134"/>
  <c r="AE19" i="134"/>
  <c r="AD20" i="134"/>
  <c r="AE20" i="134"/>
  <c r="AD21" i="134"/>
  <c r="AE21" i="134"/>
  <c r="AD22" i="134"/>
  <c r="AE22" i="134"/>
  <c r="AD23" i="134"/>
  <c r="AE23" i="134"/>
  <c r="AD24" i="134"/>
  <c r="AE24" i="134"/>
  <c r="AD25" i="134"/>
  <c r="AE25" i="134"/>
  <c r="AD26" i="134"/>
  <c r="AE26" i="134"/>
  <c r="AD27" i="134"/>
  <c r="AE27" i="134"/>
  <c r="AD28" i="134"/>
  <c r="AE28" i="134"/>
  <c r="AD29" i="134"/>
  <c r="AE29" i="134"/>
  <c r="AD30" i="134"/>
  <c r="AE30" i="134"/>
  <c r="AD31" i="134"/>
  <c r="AE31" i="134"/>
  <c r="AD32" i="134"/>
  <c r="AE32" i="134"/>
  <c r="AD33" i="134"/>
  <c r="AE33" i="134"/>
  <c r="AD34" i="134"/>
  <c r="AE34" i="134"/>
  <c r="AD35" i="134"/>
  <c r="AE35" i="134"/>
  <c r="AD36" i="134"/>
  <c r="AE36" i="134"/>
  <c r="AD37" i="134"/>
  <c r="AE37" i="134"/>
  <c r="AD38" i="134"/>
  <c r="AE38" i="134"/>
  <c r="AD39" i="134"/>
  <c r="AE39" i="134"/>
  <c r="V94" i="134"/>
  <c r="U94" i="134"/>
  <c r="T94" i="134"/>
  <c r="S94" i="134"/>
  <c r="R94" i="134"/>
  <c r="V93" i="134"/>
  <c r="U93" i="134"/>
  <c r="T93" i="134"/>
  <c r="S93" i="134"/>
  <c r="R93" i="134"/>
  <c r="V92" i="134"/>
  <c r="U92" i="134"/>
  <c r="T92" i="134"/>
  <c r="S92" i="134"/>
  <c r="R92" i="134"/>
  <c r="V91" i="134"/>
  <c r="U91" i="134"/>
  <c r="T91" i="134"/>
  <c r="S91" i="134"/>
  <c r="R91" i="134"/>
  <c r="V90" i="134"/>
  <c r="U90" i="134"/>
  <c r="T90" i="134"/>
  <c r="S90" i="134"/>
  <c r="R90" i="134"/>
  <c r="V89" i="134"/>
  <c r="U89" i="134"/>
  <c r="T89" i="134"/>
  <c r="S89" i="134"/>
  <c r="R89" i="134"/>
  <c r="V88" i="134"/>
  <c r="U88" i="134"/>
  <c r="T88" i="134"/>
  <c r="S88" i="134"/>
  <c r="R88" i="134"/>
  <c r="V87" i="134"/>
  <c r="U87" i="134"/>
  <c r="T87" i="134"/>
  <c r="S87" i="134"/>
  <c r="R87" i="134"/>
  <c r="V86" i="134"/>
  <c r="U86" i="134"/>
  <c r="T86" i="134"/>
  <c r="S86" i="134"/>
  <c r="R86" i="134"/>
  <c r="V85" i="134"/>
  <c r="U85" i="134"/>
  <c r="T85" i="134"/>
  <c r="S85" i="134"/>
  <c r="R85" i="134"/>
  <c r="V84" i="134"/>
  <c r="U84" i="134"/>
  <c r="T84" i="134"/>
  <c r="S84" i="134"/>
  <c r="R84" i="134"/>
  <c r="V83" i="134"/>
  <c r="U83" i="134"/>
  <c r="T83" i="134"/>
  <c r="S83" i="134"/>
  <c r="R83" i="134"/>
  <c r="V82" i="134"/>
  <c r="U82" i="134"/>
  <c r="T82" i="134"/>
  <c r="S82" i="134"/>
  <c r="R82" i="134"/>
  <c r="V81" i="134"/>
  <c r="U81" i="134"/>
  <c r="T81" i="134"/>
  <c r="S81" i="134"/>
  <c r="R81" i="134"/>
  <c r="V80" i="134"/>
  <c r="U80" i="134"/>
  <c r="T80" i="134"/>
  <c r="S80" i="134"/>
  <c r="R80" i="134"/>
  <c r="V79" i="134"/>
  <c r="U79" i="134"/>
  <c r="T79" i="134"/>
  <c r="S79" i="134"/>
  <c r="R79" i="134"/>
  <c r="V78" i="134"/>
  <c r="U78" i="134"/>
  <c r="T78" i="134"/>
  <c r="S78" i="134"/>
  <c r="R78" i="134"/>
  <c r="V77" i="134"/>
  <c r="U77" i="134"/>
  <c r="T77" i="134"/>
  <c r="S77" i="134"/>
  <c r="R77" i="134"/>
  <c r="V76" i="134"/>
  <c r="U76" i="134"/>
  <c r="T76" i="134"/>
  <c r="S76" i="134"/>
  <c r="R76" i="134"/>
  <c r="V75" i="134"/>
  <c r="U75" i="134"/>
  <c r="T75" i="134"/>
  <c r="S75" i="134"/>
  <c r="R75" i="134"/>
  <c r="V74" i="134"/>
  <c r="U74" i="134"/>
  <c r="T74" i="134"/>
  <c r="S74" i="134"/>
  <c r="R74" i="134"/>
  <c r="V73" i="134"/>
  <c r="U73" i="134"/>
  <c r="T73" i="134"/>
  <c r="S73" i="134"/>
  <c r="R73" i="134"/>
  <c r="V72" i="134"/>
  <c r="U72" i="134"/>
  <c r="T72" i="134"/>
  <c r="S72" i="134"/>
  <c r="R72" i="134"/>
  <c r="V71" i="134"/>
  <c r="U71" i="134"/>
  <c r="T71" i="134"/>
  <c r="S71" i="134"/>
  <c r="R71" i="134"/>
  <c r="V70" i="134"/>
  <c r="U70" i="134"/>
  <c r="T70" i="134"/>
  <c r="S70" i="134"/>
  <c r="R70" i="134"/>
  <c r="V69" i="134"/>
  <c r="U69" i="134"/>
  <c r="T69" i="134"/>
  <c r="S69" i="134"/>
  <c r="R69" i="134"/>
  <c r="V68" i="134"/>
  <c r="U68" i="134"/>
  <c r="T68" i="134"/>
  <c r="S68" i="134"/>
  <c r="R68" i="134"/>
  <c r="V67" i="134"/>
  <c r="U67" i="134"/>
  <c r="T67" i="134"/>
  <c r="S67" i="134"/>
  <c r="R67" i="134"/>
  <c r="V66" i="134"/>
  <c r="U66" i="134"/>
  <c r="T66" i="134"/>
  <c r="S66" i="134"/>
  <c r="R66" i="134"/>
  <c r="V65" i="134"/>
  <c r="U65" i="134"/>
  <c r="T65" i="134"/>
  <c r="S65" i="134"/>
  <c r="R65" i="134"/>
  <c r="V64" i="134"/>
  <c r="U64" i="134"/>
  <c r="T64" i="134"/>
  <c r="S64" i="134"/>
  <c r="R64" i="134"/>
  <c r="V63" i="134"/>
  <c r="U63" i="134"/>
  <c r="T63" i="134"/>
  <c r="S63" i="134"/>
  <c r="R63" i="134"/>
  <c r="V62" i="134"/>
  <c r="U62" i="134"/>
  <c r="T62" i="134"/>
  <c r="S62" i="134"/>
  <c r="R62" i="134"/>
  <c r="V61" i="134"/>
  <c r="U61" i="134"/>
  <c r="T61" i="134"/>
  <c r="S61" i="134"/>
  <c r="R61" i="134"/>
  <c r="V60" i="134"/>
  <c r="U60" i="134"/>
  <c r="T60" i="134"/>
  <c r="S60" i="134"/>
  <c r="R60" i="134"/>
  <c r="V59" i="134"/>
  <c r="U59" i="134"/>
  <c r="T59" i="134"/>
  <c r="S59" i="134"/>
  <c r="R59" i="134"/>
  <c r="V58" i="134"/>
  <c r="U58" i="134"/>
  <c r="T58" i="134"/>
  <c r="S58" i="134"/>
  <c r="R58" i="134"/>
  <c r="V57" i="134"/>
  <c r="U57" i="134"/>
  <c r="T57" i="134"/>
  <c r="S57" i="134"/>
  <c r="R57" i="134"/>
  <c r="V56" i="134"/>
  <c r="U56" i="134"/>
  <c r="T56" i="134"/>
  <c r="S56" i="134"/>
  <c r="R56" i="134"/>
  <c r="V55" i="134"/>
  <c r="U55" i="134"/>
  <c r="T55" i="134"/>
  <c r="S55" i="134"/>
  <c r="R55" i="134"/>
  <c r="V54" i="134"/>
  <c r="U54" i="134"/>
  <c r="T54" i="134"/>
  <c r="S54" i="134"/>
  <c r="R54" i="134"/>
  <c r="V53" i="134"/>
  <c r="U53" i="134"/>
  <c r="T53" i="134"/>
  <c r="S53" i="134"/>
  <c r="R53" i="134"/>
  <c r="V52" i="134"/>
  <c r="U52" i="134"/>
  <c r="T52" i="134"/>
  <c r="S52" i="134"/>
  <c r="R52" i="134"/>
  <c r="V51" i="134"/>
  <c r="U51" i="134"/>
  <c r="T51" i="134"/>
  <c r="S51" i="134"/>
  <c r="R51" i="134"/>
  <c r="V50" i="134"/>
  <c r="U50" i="134"/>
  <c r="T50" i="134"/>
  <c r="S50" i="134"/>
  <c r="R50" i="134"/>
  <c r="V49" i="134"/>
  <c r="U49" i="134"/>
  <c r="T49" i="134"/>
  <c r="S49" i="134"/>
  <c r="R49" i="134"/>
  <c r="V48" i="134"/>
  <c r="U48" i="134"/>
  <c r="T48" i="134"/>
  <c r="S48" i="134"/>
  <c r="R48" i="134"/>
  <c r="V47" i="134"/>
  <c r="U47" i="134"/>
  <c r="T47" i="134"/>
  <c r="S47" i="134"/>
  <c r="R47" i="134"/>
  <c r="V46" i="134"/>
  <c r="U46" i="134"/>
  <c r="T46" i="134"/>
  <c r="S46" i="134"/>
  <c r="R46" i="134"/>
  <c r="V45" i="134"/>
  <c r="U45" i="134"/>
  <c r="T45" i="134"/>
  <c r="S45" i="134"/>
  <c r="R45" i="134"/>
  <c r="V44" i="134"/>
  <c r="U44" i="134"/>
  <c r="T44" i="134"/>
  <c r="S44" i="134"/>
  <c r="R44" i="134"/>
  <c r="V43" i="134"/>
  <c r="U43" i="134"/>
  <c r="T43" i="134"/>
  <c r="S43" i="134"/>
  <c r="R43" i="134"/>
  <c r="V42" i="134"/>
  <c r="U42" i="134"/>
  <c r="T42" i="134"/>
  <c r="S42" i="134"/>
  <c r="R42" i="134"/>
  <c r="V41" i="134"/>
  <c r="U41" i="134"/>
  <c r="T41" i="134"/>
  <c r="S41" i="134"/>
  <c r="R41" i="134"/>
  <c r="V40" i="134"/>
  <c r="U40" i="134"/>
  <c r="T40" i="134"/>
  <c r="S40" i="134"/>
  <c r="R40" i="134"/>
  <c r="V39" i="134"/>
  <c r="U39" i="134"/>
  <c r="T39" i="134"/>
  <c r="S39" i="134"/>
  <c r="R39" i="134"/>
  <c r="V38" i="134"/>
  <c r="U38" i="134"/>
  <c r="T38" i="134"/>
  <c r="S38" i="134"/>
  <c r="R38" i="134"/>
  <c r="V37" i="134"/>
  <c r="U37" i="134"/>
  <c r="T37" i="134"/>
  <c r="S37" i="134"/>
  <c r="R37" i="134"/>
  <c r="V36" i="134"/>
  <c r="U36" i="134"/>
  <c r="T36" i="134"/>
  <c r="S36" i="134"/>
  <c r="R36" i="134"/>
  <c r="V35" i="134"/>
  <c r="U35" i="134"/>
  <c r="T35" i="134"/>
  <c r="S35" i="134"/>
  <c r="R35" i="134"/>
  <c r="V34" i="134"/>
  <c r="U34" i="134"/>
  <c r="T34" i="134"/>
  <c r="S34" i="134"/>
  <c r="R34" i="134"/>
  <c r="V33" i="134"/>
  <c r="U33" i="134"/>
  <c r="T33" i="134"/>
  <c r="S33" i="134"/>
  <c r="R33" i="134"/>
  <c r="V32" i="134"/>
  <c r="U32" i="134"/>
  <c r="T32" i="134"/>
  <c r="S32" i="134"/>
  <c r="R32" i="134"/>
  <c r="V31" i="134"/>
  <c r="U31" i="134"/>
  <c r="T31" i="134"/>
  <c r="S31" i="134"/>
  <c r="R31" i="134"/>
  <c r="V30" i="134"/>
  <c r="U30" i="134"/>
  <c r="T30" i="134"/>
  <c r="S30" i="134"/>
  <c r="R30" i="134"/>
  <c r="V29" i="134"/>
  <c r="U29" i="134"/>
  <c r="T29" i="134"/>
  <c r="S29" i="134"/>
  <c r="R29" i="134"/>
  <c r="V28" i="134"/>
  <c r="U28" i="134"/>
  <c r="T28" i="134"/>
  <c r="S28" i="134"/>
  <c r="R28" i="134"/>
  <c r="V27" i="134"/>
  <c r="U27" i="134"/>
  <c r="T27" i="134"/>
  <c r="S27" i="134"/>
  <c r="R27" i="134"/>
  <c r="V26" i="134"/>
  <c r="U26" i="134"/>
  <c r="T26" i="134"/>
  <c r="S26" i="134"/>
  <c r="R26" i="134"/>
  <c r="V25" i="134"/>
  <c r="U25" i="134"/>
  <c r="T25" i="134"/>
  <c r="S25" i="134"/>
  <c r="R25" i="134"/>
  <c r="V24" i="134"/>
  <c r="U24" i="134"/>
  <c r="T24" i="134"/>
  <c r="S24" i="134"/>
  <c r="R24" i="134"/>
  <c r="V23" i="134"/>
  <c r="U23" i="134"/>
  <c r="T23" i="134"/>
  <c r="S23" i="134"/>
  <c r="R23" i="134"/>
  <c r="V22" i="134"/>
  <c r="U22" i="134"/>
  <c r="T22" i="134"/>
  <c r="S22" i="134"/>
  <c r="R22" i="134"/>
  <c r="V21" i="134"/>
  <c r="U21" i="134"/>
  <c r="T21" i="134"/>
  <c r="S21" i="134"/>
  <c r="R21" i="134"/>
  <c r="V20" i="134"/>
  <c r="U20" i="134"/>
  <c r="T20" i="134"/>
  <c r="S20" i="134"/>
  <c r="R20" i="134"/>
  <c r="V19" i="134"/>
  <c r="U19" i="134"/>
  <c r="T19" i="134"/>
  <c r="S19" i="134"/>
  <c r="R19" i="134"/>
  <c r="V18" i="134"/>
  <c r="U18" i="134"/>
  <c r="T18" i="134"/>
  <c r="S18" i="134"/>
  <c r="R18" i="134"/>
  <c r="V17" i="134"/>
  <c r="U17" i="134"/>
  <c r="T17" i="134"/>
  <c r="S17" i="134"/>
  <c r="R17" i="134"/>
  <c r="V16" i="134"/>
  <c r="U16" i="134"/>
  <c r="T16" i="134"/>
  <c r="S16" i="134"/>
  <c r="R16" i="134"/>
  <c r="V15" i="134"/>
  <c r="U15" i="134"/>
  <c r="T15" i="134"/>
  <c r="S15" i="134"/>
  <c r="R15" i="134"/>
  <c r="V14" i="134"/>
  <c r="U14" i="134"/>
  <c r="T14" i="134"/>
  <c r="S14" i="134"/>
  <c r="R14" i="134"/>
  <c r="V13" i="134"/>
  <c r="U13" i="134"/>
  <c r="T13" i="134"/>
  <c r="S13" i="134"/>
  <c r="R13" i="134"/>
  <c r="V12" i="134"/>
  <c r="U12" i="134"/>
  <c r="T12" i="134"/>
  <c r="S12" i="134"/>
  <c r="R12" i="134"/>
  <c r="V11" i="134"/>
  <c r="U11" i="134"/>
  <c r="T11" i="134"/>
  <c r="S11" i="134"/>
  <c r="R11" i="134"/>
  <c r="V10" i="134"/>
  <c r="U10" i="134"/>
  <c r="T10" i="134"/>
  <c r="S10" i="134"/>
  <c r="R10" i="134"/>
  <c r="V9" i="134"/>
  <c r="U9" i="134"/>
  <c r="T9" i="134"/>
  <c r="S9" i="134"/>
  <c r="R9" i="134"/>
  <c r="V8" i="134"/>
  <c r="U8" i="134"/>
  <c r="T8" i="134"/>
  <c r="S8" i="134"/>
  <c r="R8" i="134"/>
  <c r="V7" i="134"/>
  <c r="U7" i="134"/>
  <c r="T7" i="134"/>
  <c r="S7" i="134"/>
  <c r="R7" i="134"/>
  <c r="U6" i="134"/>
  <c r="V6" i="134"/>
  <c r="T6" i="134"/>
  <c r="S6" i="134"/>
  <c r="C6" i="77" l="1"/>
  <c r="AD6" i="134" l="1"/>
  <c r="AE6" i="134"/>
  <c r="W7" i="133" l="1"/>
  <c r="X7" i="133"/>
  <c r="W8" i="133"/>
  <c r="X8" i="133"/>
  <c r="W9" i="133"/>
  <c r="X9" i="133"/>
  <c r="W10" i="133"/>
  <c r="X10" i="133"/>
  <c r="W11" i="133"/>
  <c r="X11" i="133"/>
  <c r="W12" i="133"/>
  <c r="X12" i="133"/>
  <c r="W13" i="133"/>
  <c r="X13" i="133"/>
  <c r="W14" i="133"/>
  <c r="X14" i="133"/>
  <c r="W15" i="133"/>
  <c r="X15" i="133"/>
  <c r="W16" i="133"/>
  <c r="X16" i="133"/>
  <c r="W17" i="133"/>
  <c r="X17" i="133"/>
  <c r="W18" i="133"/>
  <c r="X18" i="133"/>
  <c r="W19" i="133"/>
  <c r="X19" i="133"/>
  <c r="W20" i="133"/>
  <c r="X20" i="133"/>
  <c r="W21" i="133"/>
  <c r="X21" i="133"/>
  <c r="W22" i="133"/>
  <c r="X22" i="133"/>
  <c r="W23" i="133"/>
  <c r="X23" i="133"/>
  <c r="W24" i="133"/>
  <c r="X24" i="133"/>
  <c r="W25" i="133"/>
  <c r="X25" i="133"/>
  <c r="W26" i="133"/>
  <c r="X26" i="133"/>
  <c r="W27" i="133"/>
  <c r="X27" i="133"/>
  <c r="W28" i="133"/>
  <c r="X28" i="133"/>
  <c r="W29" i="133"/>
  <c r="X29" i="133"/>
  <c r="W30" i="133"/>
  <c r="X30" i="133"/>
  <c r="W31" i="133"/>
  <c r="X31" i="133"/>
  <c r="W32" i="133"/>
  <c r="X32" i="133"/>
  <c r="W33" i="133"/>
  <c r="X33" i="133"/>
  <c r="W34" i="133"/>
  <c r="X34" i="133"/>
  <c r="W35" i="133"/>
  <c r="X35" i="133"/>
  <c r="W36" i="133"/>
  <c r="X36" i="133"/>
  <c r="W37" i="133"/>
  <c r="X37" i="133"/>
  <c r="W38" i="133"/>
  <c r="X38" i="133"/>
  <c r="W39" i="133"/>
  <c r="X39" i="133"/>
  <c r="W40" i="133"/>
  <c r="X40" i="133"/>
  <c r="L278" i="133" l="1"/>
  <c r="K278" i="133"/>
  <c r="J278" i="133"/>
  <c r="N278" i="133" s="1"/>
  <c r="I278" i="133"/>
  <c r="H278" i="133"/>
  <c r="L277" i="133"/>
  <c r="K277" i="133"/>
  <c r="J277" i="133"/>
  <c r="I277" i="133"/>
  <c r="H277" i="133"/>
  <c r="L276" i="133"/>
  <c r="K276" i="133"/>
  <c r="J276" i="133"/>
  <c r="I276" i="133"/>
  <c r="H276" i="133"/>
  <c r="N276" i="133" s="1"/>
  <c r="L275" i="133"/>
  <c r="K275" i="133"/>
  <c r="J275" i="133"/>
  <c r="I275" i="133"/>
  <c r="H275" i="133"/>
  <c r="L274" i="133"/>
  <c r="K274" i="133"/>
  <c r="J274" i="133"/>
  <c r="N274" i="133" s="1"/>
  <c r="I274" i="133"/>
  <c r="H274" i="133"/>
  <c r="L273" i="133"/>
  <c r="K273" i="133"/>
  <c r="J273" i="133"/>
  <c r="I273" i="133"/>
  <c r="H273" i="133"/>
  <c r="L272" i="133"/>
  <c r="K272" i="133"/>
  <c r="J272" i="133"/>
  <c r="I272" i="133"/>
  <c r="H272" i="133"/>
  <c r="N272" i="133" s="1"/>
  <c r="L271" i="133"/>
  <c r="K271" i="133"/>
  <c r="J271" i="133"/>
  <c r="I271" i="133"/>
  <c r="H271" i="133"/>
  <c r="L270" i="133"/>
  <c r="K270" i="133"/>
  <c r="J270" i="133"/>
  <c r="N270" i="133" s="1"/>
  <c r="I270" i="133"/>
  <c r="H270" i="133"/>
  <c r="L269" i="133"/>
  <c r="K269" i="133"/>
  <c r="J269" i="133"/>
  <c r="I269" i="133"/>
  <c r="H269" i="133"/>
  <c r="L268" i="133"/>
  <c r="K268" i="133"/>
  <c r="J268" i="133"/>
  <c r="I268" i="133"/>
  <c r="H268" i="133"/>
  <c r="N268" i="133" s="1"/>
  <c r="L267" i="133"/>
  <c r="K267" i="133"/>
  <c r="J267" i="133"/>
  <c r="I267" i="133"/>
  <c r="H267" i="133"/>
  <c r="L266" i="133"/>
  <c r="K266" i="133"/>
  <c r="J266" i="133"/>
  <c r="N266" i="133" s="1"/>
  <c r="I266" i="133"/>
  <c r="H266" i="133"/>
  <c r="L265" i="133"/>
  <c r="K265" i="133"/>
  <c r="J265" i="133"/>
  <c r="I265" i="133"/>
  <c r="H265" i="133"/>
  <c r="L264" i="133"/>
  <c r="K264" i="133"/>
  <c r="J264" i="133"/>
  <c r="I264" i="133"/>
  <c r="H264" i="133"/>
  <c r="N264" i="133" s="1"/>
  <c r="L263" i="133"/>
  <c r="K263" i="133"/>
  <c r="J263" i="133"/>
  <c r="I263" i="133"/>
  <c r="H263" i="133"/>
  <c r="L262" i="133"/>
  <c r="K262" i="133"/>
  <c r="J262" i="133"/>
  <c r="N262" i="133" s="1"/>
  <c r="I262" i="133"/>
  <c r="H262" i="133"/>
  <c r="L261" i="133"/>
  <c r="K261" i="133"/>
  <c r="J261" i="133"/>
  <c r="I261" i="133"/>
  <c r="H261" i="133"/>
  <c r="L260" i="133"/>
  <c r="K260" i="133"/>
  <c r="J260" i="133"/>
  <c r="I260" i="133"/>
  <c r="H260" i="133"/>
  <c r="N260" i="133" s="1"/>
  <c r="L259" i="133"/>
  <c r="K259" i="133"/>
  <c r="J259" i="133"/>
  <c r="I259" i="133"/>
  <c r="H259" i="133"/>
  <c r="L258" i="133"/>
  <c r="K258" i="133"/>
  <c r="J258" i="133"/>
  <c r="N258" i="133" s="1"/>
  <c r="I258" i="133"/>
  <c r="H258" i="133"/>
  <c r="L257" i="133"/>
  <c r="K257" i="133"/>
  <c r="J257" i="133"/>
  <c r="I257" i="133"/>
  <c r="H257" i="133"/>
  <c r="L256" i="133"/>
  <c r="K256" i="133"/>
  <c r="J256" i="133"/>
  <c r="I256" i="133"/>
  <c r="H256" i="133"/>
  <c r="N256" i="133" s="1"/>
  <c r="L255" i="133"/>
  <c r="K255" i="133"/>
  <c r="J255" i="133"/>
  <c r="I255" i="133"/>
  <c r="H255" i="133"/>
  <c r="L254" i="133"/>
  <c r="K254" i="133"/>
  <c r="J254" i="133"/>
  <c r="N254" i="133" s="1"/>
  <c r="I254" i="133"/>
  <c r="H254" i="133"/>
  <c r="L253" i="133"/>
  <c r="K253" i="133"/>
  <c r="J253" i="133"/>
  <c r="I253" i="133"/>
  <c r="H253" i="133"/>
  <c r="L252" i="133"/>
  <c r="K252" i="133"/>
  <c r="J252" i="133"/>
  <c r="I252" i="133"/>
  <c r="H252" i="133"/>
  <c r="N252" i="133" s="1"/>
  <c r="L251" i="133"/>
  <c r="K251" i="133"/>
  <c r="J251" i="133"/>
  <c r="I251" i="133"/>
  <c r="H251" i="133"/>
  <c r="L250" i="133"/>
  <c r="K250" i="133"/>
  <c r="J250" i="133"/>
  <c r="N250" i="133" s="1"/>
  <c r="I250" i="133"/>
  <c r="H250" i="133"/>
  <c r="L249" i="133"/>
  <c r="K249" i="133"/>
  <c r="J249" i="133"/>
  <c r="I249" i="133"/>
  <c r="H249" i="133"/>
  <c r="L248" i="133"/>
  <c r="K248" i="133"/>
  <c r="J248" i="133"/>
  <c r="I248" i="133"/>
  <c r="H248" i="133"/>
  <c r="N248" i="133" s="1"/>
  <c r="L247" i="133"/>
  <c r="K247" i="133"/>
  <c r="J247" i="133"/>
  <c r="I247" i="133"/>
  <c r="H247" i="133"/>
  <c r="L246" i="133"/>
  <c r="K246" i="133"/>
  <c r="J246" i="133"/>
  <c r="N246" i="133" s="1"/>
  <c r="I246" i="133"/>
  <c r="H246" i="133"/>
  <c r="L245" i="133"/>
  <c r="K245" i="133"/>
  <c r="J245" i="133"/>
  <c r="I245" i="133"/>
  <c r="H245" i="133"/>
  <c r="L244" i="133"/>
  <c r="K244" i="133"/>
  <c r="J244" i="133"/>
  <c r="I244" i="133"/>
  <c r="H244" i="133"/>
  <c r="N244" i="133" s="1"/>
  <c r="L243" i="133"/>
  <c r="K243" i="133"/>
  <c r="J243" i="133"/>
  <c r="I243" i="133"/>
  <c r="H243" i="133"/>
  <c r="L242" i="133"/>
  <c r="K242" i="133"/>
  <c r="J242" i="133"/>
  <c r="N242" i="133" s="1"/>
  <c r="I242" i="133"/>
  <c r="H242" i="133"/>
  <c r="L241" i="133"/>
  <c r="K241" i="133"/>
  <c r="J241" i="133"/>
  <c r="I241" i="133"/>
  <c r="H241" i="133"/>
  <c r="L240" i="133"/>
  <c r="K240" i="133"/>
  <c r="J240" i="133"/>
  <c r="I240" i="133"/>
  <c r="H240" i="133"/>
  <c r="N240" i="133" s="1"/>
  <c r="L239" i="133"/>
  <c r="K239" i="133"/>
  <c r="J239" i="133"/>
  <c r="I239" i="133"/>
  <c r="H239" i="133"/>
  <c r="L238" i="133"/>
  <c r="K238" i="133"/>
  <c r="J238" i="133"/>
  <c r="N238" i="133" s="1"/>
  <c r="I238" i="133"/>
  <c r="H238" i="133"/>
  <c r="L237" i="133"/>
  <c r="K237" i="133"/>
  <c r="J237" i="133"/>
  <c r="I237" i="133"/>
  <c r="H237" i="133"/>
  <c r="L236" i="133"/>
  <c r="K236" i="133"/>
  <c r="J236" i="133"/>
  <c r="I236" i="133"/>
  <c r="H236" i="133"/>
  <c r="N236" i="133" s="1"/>
  <c r="L235" i="133"/>
  <c r="K235" i="133"/>
  <c r="J235" i="133"/>
  <c r="I235" i="133"/>
  <c r="H235" i="133"/>
  <c r="L234" i="133"/>
  <c r="K234" i="133"/>
  <c r="J234" i="133"/>
  <c r="N234" i="133" s="1"/>
  <c r="I234" i="133"/>
  <c r="H234" i="133"/>
  <c r="L233" i="133"/>
  <c r="K233" i="133"/>
  <c r="J233" i="133"/>
  <c r="I233" i="133"/>
  <c r="H233" i="133"/>
  <c r="L232" i="133"/>
  <c r="K232" i="133"/>
  <c r="J232" i="133"/>
  <c r="I232" i="133"/>
  <c r="H232" i="133"/>
  <c r="N232" i="133" s="1"/>
  <c r="L231" i="133"/>
  <c r="K231" i="133"/>
  <c r="J231" i="133"/>
  <c r="I231" i="133"/>
  <c r="H231" i="133"/>
  <c r="L230" i="133"/>
  <c r="K230" i="133"/>
  <c r="J230" i="133"/>
  <c r="N230" i="133" s="1"/>
  <c r="I230" i="133"/>
  <c r="H230" i="133"/>
  <c r="L229" i="133"/>
  <c r="K229" i="133"/>
  <c r="J229" i="133"/>
  <c r="I229" i="133"/>
  <c r="H229" i="133"/>
  <c r="L228" i="133"/>
  <c r="K228" i="133"/>
  <c r="J228" i="133"/>
  <c r="I228" i="133"/>
  <c r="H228" i="133"/>
  <c r="N228" i="133" s="1"/>
  <c r="L227" i="133"/>
  <c r="K227" i="133"/>
  <c r="J227" i="133"/>
  <c r="I227" i="133"/>
  <c r="H227" i="133"/>
  <c r="L226" i="133"/>
  <c r="K226" i="133"/>
  <c r="J226" i="133"/>
  <c r="N226" i="133" s="1"/>
  <c r="I226" i="133"/>
  <c r="H226" i="133"/>
  <c r="L225" i="133"/>
  <c r="K225" i="133"/>
  <c r="J225" i="133"/>
  <c r="I225" i="133"/>
  <c r="H225" i="133"/>
  <c r="L224" i="133"/>
  <c r="K224" i="133"/>
  <c r="J224" i="133"/>
  <c r="I224" i="133"/>
  <c r="H224" i="133"/>
  <c r="N224" i="133" s="1"/>
  <c r="L223" i="133"/>
  <c r="K223" i="133"/>
  <c r="J223" i="133"/>
  <c r="I223" i="133"/>
  <c r="H223" i="133"/>
  <c r="L222" i="133"/>
  <c r="K222" i="133"/>
  <c r="J222" i="133"/>
  <c r="N222" i="133" s="1"/>
  <c r="I222" i="133"/>
  <c r="H222" i="133"/>
  <c r="L221" i="133"/>
  <c r="K221" i="133"/>
  <c r="J221" i="133"/>
  <c r="I221" i="133"/>
  <c r="H221" i="133"/>
  <c r="L220" i="133"/>
  <c r="K220" i="133"/>
  <c r="J220" i="133"/>
  <c r="I220" i="133"/>
  <c r="H220" i="133"/>
  <c r="N220" i="133" s="1"/>
  <c r="L219" i="133"/>
  <c r="K219" i="133"/>
  <c r="J219" i="133"/>
  <c r="I219" i="133"/>
  <c r="H219" i="133"/>
  <c r="L218" i="133"/>
  <c r="K218" i="133"/>
  <c r="J218" i="133"/>
  <c r="N218" i="133" s="1"/>
  <c r="I218" i="133"/>
  <c r="H218" i="133"/>
  <c r="L217" i="133"/>
  <c r="K217" i="133"/>
  <c r="J217" i="133"/>
  <c r="I217" i="133"/>
  <c r="H217" i="133"/>
  <c r="L216" i="133"/>
  <c r="K216" i="133"/>
  <c r="J216" i="133"/>
  <c r="I216" i="133"/>
  <c r="H216" i="133"/>
  <c r="N216" i="133" s="1"/>
  <c r="L215" i="133"/>
  <c r="K215" i="133"/>
  <c r="J215" i="133"/>
  <c r="I215" i="133"/>
  <c r="H215" i="133"/>
  <c r="L214" i="133"/>
  <c r="K214" i="133"/>
  <c r="J214" i="133"/>
  <c r="N214" i="133" s="1"/>
  <c r="I214" i="133"/>
  <c r="H214" i="133"/>
  <c r="L213" i="133"/>
  <c r="K213" i="133"/>
  <c r="J213" i="133"/>
  <c r="I213" i="133"/>
  <c r="H213" i="133"/>
  <c r="L212" i="133"/>
  <c r="K212" i="133"/>
  <c r="J212" i="133"/>
  <c r="I212" i="133"/>
  <c r="H212" i="133"/>
  <c r="N212" i="133" s="1"/>
  <c r="L211" i="133"/>
  <c r="K211" i="133"/>
  <c r="J211" i="133"/>
  <c r="I211" i="133"/>
  <c r="H211" i="133"/>
  <c r="L210" i="133"/>
  <c r="K210" i="133"/>
  <c r="J210" i="133"/>
  <c r="N210" i="133" s="1"/>
  <c r="I210" i="133"/>
  <c r="H210" i="133"/>
  <c r="L209" i="133"/>
  <c r="K209" i="133"/>
  <c r="J209" i="133"/>
  <c r="I209" i="133"/>
  <c r="H209" i="133"/>
  <c r="L208" i="133"/>
  <c r="K208" i="133"/>
  <c r="J208" i="133"/>
  <c r="I208" i="133"/>
  <c r="H208" i="133"/>
  <c r="N208" i="133" s="1"/>
  <c r="L207" i="133"/>
  <c r="K207" i="133"/>
  <c r="J207" i="133"/>
  <c r="I207" i="133"/>
  <c r="H207" i="133"/>
  <c r="L206" i="133"/>
  <c r="K206" i="133"/>
  <c r="J206" i="133"/>
  <c r="N206" i="133" s="1"/>
  <c r="I206" i="133"/>
  <c r="H206" i="133"/>
  <c r="L205" i="133"/>
  <c r="K205" i="133"/>
  <c r="J205" i="133"/>
  <c r="I205" i="133"/>
  <c r="H205" i="133"/>
  <c r="L204" i="133"/>
  <c r="K204" i="133"/>
  <c r="J204" i="133"/>
  <c r="I204" i="133"/>
  <c r="H204" i="133"/>
  <c r="N204" i="133" s="1"/>
  <c r="L203" i="133"/>
  <c r="K203" i="133"/>
  <c r="J203" i="133"/>
  <c r="I203" i="133"/>
  <c r="H203" i="133"/>
  <c r="L202" i="133"/>
  <c r="K202" i="133"/>
  <c r="J202" i="133"/>
  <c r="N202" i="133" s="1"/>
  <c r="I202" i="133"/>
  <c r="H202" i="133"/>
  <c r="L201" i="133"/>
  <c r="K201" i="133"/>
  <c r="J201" i="133"/>
  <c r="I201" i="133"/>
  <c r="H201" i="133"/>
  <c r="L200" i="133"/>
  <c r="K200" i="133"/>
  <c r="J200" i="133"/>
  <c r="I200" i="133"/>
  <c r="H200" i="133"/>
  <c r="N200" i="133" s="1"/>
  <c r="L199" i="133"/>
  <c r="K199" i="133"/>
  <c r="J199" i="133"/>
  <c r="I199" i="133"/>
  <c r="H199" i="133"/>
  <c r="L198" i="133"/>
  <c r="K198" i="133"/>
  <c r="J198" i="133"/>
  <c r="N198" i="133" s="1"/>
  <c r="I198" i="133"/>
  <c r="H198" i="133"/>
  <c r="L197" i="133"/>
  <c r="K197" i="133"/>
  <c r="J197" i="133"/>
  <c r="I197" i="133"/>
  <c r="H197" i="133"/>
  <c r="L196" i="133"/>
  <c r="K196" i="133"/>
  <c r="J196" i="133"/>
  <c r="I196" i="133"/>
  <c r="H196" i="133"/>
  <c r="N196" i="133" s="1"/>
  <c r="L195" i="133"/>
  <c r="K195" i="133"/>
  <c r="J195" i="133"/>
  <c r="I195" i="133"/>
  <c r="H195" i="133"/>
  <c r="L194" i="133"/>
  <c r="K194" i="133"/>
  <c r="J194" i="133"/>
  <c r="N194" i="133" s="1"/>
  <c r="I194" i="133"/>
  <c r="H194" i="133"/>
  <c r="L193" i="133"/>
  <c r="K193" i="133"/>
  <c r="J193" i="133"/>
  <c r="I193" i="133"/>
  <c r="H193" i="133"/>
  <c r="L192" i="133"/>
  <c r="K192" i="133"/>
  <c r="J192" i="133"/>
  <c r="I192" i="133"/>
  <c r="H192" i="133"/>
  <c r="N192" i="133" s="1"/>
  <c r="L191" i="133"/>
  <c r="K191" i="133"/>
  <c r="J191" i="133"/>
  <c r="I191" i="133"/>
  <c r="H191" i="133"/>
  <c r="L190" i="133"/>
  <c r="K190" i="133"/>
  <c r="J190" i="133"/>
  <c r="N190" i="133" s="1"/>
  <c r="I190" i="133"/>
  <c r="H190" i="133"/>
  <c r="L189" i="133"/>
  <c r="K189" i="133"/>
  <c r="J189" i="133"/>
  <c r="I189" i="133"/>
  <c r="H189" i="133"/>
  <c r="L188" i="133"/>
  <c r="K188" i="133"/>
  <c r="J188" i="133"/>
  <c r="I188" i="133"/>
  <c r="H188" i="133"/>
  <c r="N188" i="133" s="1"/>
  <c r="L187" i="133"/>
  <c r="K187" i="133"/>
  <c r="J187" i="133"/>
  <c r="I187" i="133"/>
  <c r="H187" i="133"/>
  <c r="L186" i="133"/>
  <c r="K186" i="133"/>
  <c r="J186" i="133"/>
  <c r="N186" i="133" s="1"/>
  <c r="I186" i="133"/>
  <c r="H186" i="133"/>
  <c r="L185" i="133"/>
  <c r="K185" i="133"/>
  <c r="J185" i="133"/>
  <c r="I185" i="133"/>
  <c r="H185" i="133"/>
  <c r="L184" i="133"/>
  <c r="K184" i="133"/>
  <c r="J184" i="133"/>
  <c r="I184" i="133"/>
  <c r="H184" i="133"/>
  <c r="N184" i="133" s="1"/>
  <c r="L183" i="133"/>
  <c r="K183" i="133"/>
  <c r="J183" i="133"/>
  <c r="I183" i="133"/>
  <c r="H183" i="133"/>
  <c r="L182" i="133"/>
  <c r="K182" i="133"/>
  <c r="J182" i="133"/>
  <c r="N182" i="133" s="1"/>
  <c r="I182" i="133"/>
  <c r="H182" i="133"/>
  <c r="L181" i="133"/>
  <c r="K181" i="133"/>
  <c r="J181" i="133"/>
  <c r="I181" i="133"/>
  <c r="H181" i="133"/>
  <c r="L180" i="133"/>
  <c r="K180" i="133"/>
  <c r="J180" i="133"/>
  <c r="I180" i="133"/>
  <c r="H180" i="133"/>
  <c r="N180" i="133" s="1"/>
  <c r="L179" i="133"/>
  <c r="K179" i="133"/>
  <c r="J179" i="133"/>
  <c r="I179" i="133"/>
  <c r="H179" i="133"/>
  <c r="L178" i="133"/>
  <c r="K178" i="133"/>
  <c r="J178" i="133"/>
  <c r="N178" i="133" s="1"/>
  <c r="I178" i="133"/>
  <c r="H178" i="133"/>
  <c r="L177" i="133"/>
  <c r="K177" i="133"/>
  <c r="J177" i="133"/>
  <c r="I177" i="133"/>
  <c r="H177" i="133"/>
  <c r="L176" i="133"/>
  <c r="K176" i="133"/>
  <c r="J176" i="133"/>
  <c r="I176" i="133"/>
  <c r="H176" i="133"/>
  <c r="N176" i="133" s="1"/>
  <c r="L175" i="133"/>
  <c r="K175" i="133"/>
  <c r="J175" i="133"/>
  <c r="I175" i="133"/>
  <c r="H175" i="133"/>
  <c r="L174" i="133"/>
  <c r="K174" i="133"/>
  <c r="J174" i="133"/>
  <c r="N174" i="133" s="1"/>
  <c r="I174" i="133"/>
  <c r="H174" i="133"/>
  <c r="L173" i="133"/>
  <c r="K173" i="133"/>
  <c r="J173" i="133"/>
  <c r="I173" i="133"/>
  <c r="H173" i="133"/>
  <c r="L172" i="133"/>
  <c r="K172" i="133"/>
  <c r="J172" i="133"/>
  <c r="I172" i="133"/>
  <c r="H172" i="133"/>
  <c r="N172" i="133" s="1"/>
  <c r="L171" i="133"/>
  <c r="K171" i="133"/>
  <c r="J171" i="133"/>
  <c r="I171" i="133"/>
  <c r="H171" i="133"/>
  <c r="L170" i="133"/>
  <c r="K170" i="133"/>
  <c r="J170" i="133"/>
  <c r="N170" i="133" s="1"/>
  <c r="I170" i="133"/>
  <c r="H170" i="133"/>
  <c r="L169" i="133"/>
  <c r="K169" i="133"/>
  <c r="J169" i="133"/>
  <c r="I169" i="133"/>
  <c r="H169" i="133"/>
  <c r="L168" i="133"/>
  <c r="K168" i="133"/>
  <c r="J168" i="133"/>
  <c r="I168" i="133"/>
  <c r="H168" i="133"/>
  <c r="N168" i="133" s="1"/>
  <c r="L167" i="133"/>
  <c r="K167" i="133"/>
  <c r="J167" i="133"/>
  <c r="I167" i="133"/>
  <c r="H167" i="133"/>
  <c r="L166" i="133"/>
  <c r="K166" i="133"/>
  <c r="J166" i="133"/>
  <c r="N166" i="133" s="1"/>
  <c r="I166" i="133"/>
  <c r="H166" i="133"/>
  <c r="L165" i="133"/>
  <c r="K165" i="133"/>
  <c r="J165" i="133"/>
  <c r="I165" i="133"/>
  <c r="H165" i="133"/>
  <c r="L164" i="133"/>
  <c r="K164" i="133"/>
  <c r="J164" i="133"/>
  <c r="I164" i="133"/>
  <c r="H164" i="133"/>
  <c r="N164" i="133" s="1"/>
  <c r="L163" i="133"/>
  <c r="K163" i="133"/>
  <c r="J163" i="133"/>
  <c r="I163" i="133"/>
  <c r="H163" i="133"/>
  <c r="L162" i="133"/>
  <c r="K162" i="133"/>
  <c r="J162" i="133"/>
  <c r="N162" i="133" s="1"/>
  <c r="I162" i="133"/>
  <c r="H162" i="133"/>
  <c r="L161" i="133"/>
  <c r="K161" i="133"/>
  <c r="J161" i="133"/>
  <c r="I161" i="133"/>
  <c r="H161" i="133"/>
  <c r="L160" i="133"/>
  <c r="K160" i="133"/>
  <c r="J160" i="133"/>
  <c r="I160" i="133"/>
  <c r="H160" i="133"/>
  <c r="N160" i="133" s="1"/>
  <c r="L159" i="133"/>
  <c r="K159" i="133"/>
  <c r="J159" i="133"/>
  <c r="I159" i="133"/>
  <c r="H159" i="133"/>
  <c r="L158" i="133"/>
  <c r="K158" i="133"/>
  <c r="J158" i="133"/>
  <c r="N158" i="133" s="1"/>
  <c r="I158" i="133"/>
  <c r="H158" i="133"/>
  <c r="L157" i="133"/>
  <c r="K157" i="133"/>
  <c r="J157" i="133"/>
  <c r="I157" i="133"/>
  <c r="H157" i="133"/>
  <c r="L156" i="133"/>
  <c r="K156" i="133"/>
  <c r="J156" i="133"/>
  <c r="I156" i="133"/>
  <c r="H156" i="133"/>
  <c r="N156" i="133" s="1"/>
  <c r="L155" i="133"/>
  <c r="K155" i="133"/>
  <c r="J155" i="133"/>
  <c r="I155" i="133"/>
  <c r="H155" i="133"/>
  <c r="L154" i="133"/>
  <c r="K154" i="133"/>
  <c r="J154" i="133"/>
  <c r="N154" i="133" s="1"/>
  <c r="I154" i="133"/>
  <c r="H154" i="133"/>
  <c r="L153" i="133"/>
  <c r="K153" i="133"/>
  <c r="J153" i="133"/>
  <c r="I153" i="133"/>
  <c r="H153" i="133"/>
  <c r="L152" i="133"/>
  <c r="K152" i="133"/>
  <c r="J152" i="133"/>
  <c r="I152" i="133"/>
  <c r="H152" i="133"/>
  <c r="N152" i="133" s="1"/>
  <c r="L151" i="133"/>
  <c r="K151" i="133"/>
  <c r="J151" i="133"/>
  <c r="I151" i="133"/>
  <c r="H151" i="133"/>
  <c r="L150" i="133"/>
  <c r="K150" i="133"/>
  <c r="J150" i="133"/>
  <c r="N150" i="133" s="1"/>
  <c r="I150" i="133"/>
  <c r="H150" i="133"/>
  <c r="L149" i="133"/>
  <c r="K149" i="133"/>
  <c r="J149" i="133"/>
  <c r="I149" i="133"/>
  <c r="H149" i="133"/>
  <c r="L148" i="133"/>
  <c r="K148" i="133"/>
  <c r="J148" i="133"/>
  <c r="I148" i="133"/>
  <c r="H148" i="133"/>
  <c r="N148" i="133" s="1"/>
  <c r="L147" i="133"/>
  <c r="K147" i="133"/>
  <c r="J147" i="133"/>
  <c r="I147" i="133"/>
  <c r="H147" i="133"/>
  <c r="L146" i="133"/>
  <c r="K146" i="133"/>
  <c r="J146" i="133"/>
  <c r="N146" i="133" s="1"/>
  <c r="I146" i="133"/>
  <c r="H146" i="133"/>
  <c r="L145" i="133"/>
  <c r="K145" i="133"/>
  <c r="J145" i="133"/>
  <c r="I145" i="133"/>
  <c r="H145" i="133"/>
  <c r="L144" i="133"/>
  <c r="K144" i="133"/>
  <c r="J144" i="133"/>
  <c r="I144" i="133"/>
  <c r="H144" i="133"/>
  <c r="N144" i="133" s="1"/>
  <c r="L143" i="133"/>
  <c r="K143" i="133"/>
  <c r="J143" i="133"/>
  <c r="I143" i="133"/>
  <c r="H143" i="133"/>
  <c r="L142" i="133"/>
  <c r="K142" i="133"/>
  <c r="J142" i="133"/>
  <c r="N142" i="133" s="1"/>
  <c r="I142" i="133"/>
  <c r="H142" i="133"/>
  <c r="L141" i="133"/>
  <c r="K141" i="133"/>
  <c r="J141" i="133"/>
  <c r="I141" i="133"/>
  <c r="H141" i="133"/>
  <c r="L140" i="133"/>
  <c r="K140" i="133"/>
  <c r="J140" i="133"/>
  <c r="I140" i="133"/>
  <c r="H140" i="133"/>
  <c r="N140" i="133" s="1"/>
  <c r="L139" i="133"/>
  <c r="K139" i="133"/>
  <c r="J139" i="133"/>
  <c r="I139" i="133"/>
  <c r="H139" i="133"/>
  <c r="L138" i="133"/>
  <c r="K138" i="133"/>
  <c r="J138" i="133"/>
  <c r="N138" i="133" s="1"/>
  <c r="I138" i="133"/>
  <c r="H138" i="133"/>
  <c r="L137" i="133"/>
  <c r="K137" i="133"/>
  <c r="J137" i="133"/>
  <c r="I137" i="133"/>
  <c r="H137" i="133"/>
  <c r="L136" i="133"/>
  <c r="K136" i="133"/>
  <c r="J136" i="133"/>
  <c r="I136" i="133"/>
  <c r="H136" i="133"/>
  <c r="N136" i="133" s="1"/>
  <c r="L135" i="133"/>
  <c r="K135" i="133"/>
  <c r="J135" i="133"/>
  <c r="I135" i="133"/>
  <c r="H135" i="133"/>
  <c r="L134" i="133"/>
  <c r="K134" i="133"/>
  <c r="J134" i="133"/>
  <c r="N134" i="133" s="1"/>
  <c r="I134" i="133"/>
  <c r="H134" i="133"/>
  <c r="L133" i="133"/>
  <c r="K133" i="133"/>
  <c r="J133" i="133"/>
  <c r="I133" i="133"/>
  <c r="H133" i="133"/>
  <c r="L132" i="133"/>
  <c r="K132" i="133"/>
  <c r="J132" i="133"/>
  <c r="I132" i="133"/>
  <c r="H132" i="133"/>
  <c r="N132" i="133" s="1"/>
  <c r="L131" i="133"/>
  <c r="K131" i="133"/>
  <c r="J131" i="133"/>
  <c r="I131" i="133"/>
  <c r="H131" i="133"/>
  <c r="L130" i="133"/>
  <c r="K130" i="133"/>
  <c r="J130" i="133"/>
  <c r="N130" i="133" s="1"/>
  <c r="I130" i="133"/>
  <c r="H130" i="133"/>
  <c r="L129" i="133"/>
  <c r="K129" i="133"/>
  <c r="J129" i="133"/>
  <c r="I129" i="133"/>
  <c r="H129" i="133"/>
  <c r="L128" i="133"/>
  <c r="K128" i="133"/>
  <c r="J128" i="133"/>
  <c r="I128" i="133"/>
  <c r="H128" i="133"/>
  <c r="N128" i="133" s="1"/>
  <c r="L127" i="133"/>
  <c r="K127" i="133"/>
  <c r="J127" i="133"/>
  <c r="I127" i="133"/>
  <c r="H127" i="133"/>
  <c r="L126" i="133"/>
  <c r="K126" i="133"/>
  <c r="J126" i="133"/>
  <c r="N126" i="133" s="1"/>
  <c r="I126" i="133"/>
  <c r="H126" i="133"/>
  <c r="L125" i="133"/>
  <c r="K125" i="133"/>
  <c r="J125" i="133"/>
  <c r="I125" i="133"/>
  <c r="H125" i="133"/>
  <c r="L124" i="133"/>
  <c r="K124" i="133"/>
  <c r="J124" i="133"/>
  <c r="I124" i="133"/>
  <c r="H124" i="133"/>
  <c r="N124" i="133" s="1"/>
  <c r="L123" i="133"/>
  <c r="K123" i="133"/>
  <c r="J123" i="133"/>
  <c r="I123" i="133"/>
  <c r="H123" i="133"/>
  <c r="L122" i="133"/>
  <c r="K122" i="133"/>
  <c r="J122" i="133"/>
  <c r="N122" i="133" s="1"/>
  <c r="I122" i="133"/>
  <c r="H122" i="133"/>
  <c r="L121" i="133"/>
  <c r="K121" i="133"/>
  <c r="J121" i="133"/>
  <c r="I121" i="133"/>
  <c r="H121" i="133"/>
  <c r="L120" i="133"/>
  <c r="K120" i="133"/>
  <c r="J120" i="133"/>
  <c r="I120" i="133"/>
  <c r="H120" i="133"/>
  <c r="N120" i="133" s="1"/>
  <c r="L119" i="133"/>
  <c r="K119" i="133"/>
  <c r="J119" i="133"/>
  <c r="I119" i="133"/>
  <c r="H119" i="133"/>
  <c r="L118" i="133"/>
  <c r="K118" i="133"/>
  <c r="J118" i="133"/>
  <c r="N118" i="133" s="1"/>
  <c r="I118" i="133"/>
  <c r="H118" i="133"/>
  <c r="L117" i="133"/>
  <c r="K117" i="133"/>
  <c r="J117" i="133"/>
  <c r="I117" i="133"/>
  <c r="H117" i="133"/>
  <c r="L116" i="133"/>
  <c r="K116" i="133"/>
  <c r="J116" i="133"/>
  <c r="I116" i="133"/>
  <c r="H116" i="133"/>
  <c r="N116" i="133" s="1"/>
  <c r="L115" i="133"/>
  <c r="K115" i="133"/>
  <c r="J115" i="133"/>
  <c r="I115" i="133"/>
  <c r="H115" i="133"/>
  <c r="L114" i="133"/>
  <c r="K114" i="133"/>
  <c r="J114" i="133"/>
  <c r="N114" i="133" s="1"/>
  <c r="I114" i="133"/>
  <c r="H114" i="133"/>
  <c r="L113" i="133"/>
  <c r="K113" i="133"/>
  <c r="J113" i="133"/>
  <c r="I113" i="133"/>
  <c r="H113" i="133"/>
  <c r="L112" i="133"/>
  <c r="K112" i="133"/>
  <c r="J112" i="133"/>
  <c r="I112" i="133"/>
  <c r="H112" i="133"/>
  <c r="L111" i="133"/>
  <c r="K111" i="133"/>
  <c r="J111" i="133"/>
  <c r="I111" i="133"/>
  <c r="H111" i="133"/>
  <c r="L110" i="133"/>
  <c r="K110" i="133"/>
  <c r="J110" i="133"/>
  <c r="N110" i="133" s="1"/>
  <c r="I110" i="133"/>
  <c r="H110" i="133"/>
  <c r="L109" i="133"/>
  <c r="K109" i="133"/>
  <c r="J109" i="133"/>
  <c r="I109" i="133"/>
  <c r="H109" i="133"/>
  <c r="L108" i="133"/>
  <c r="K108" i="133"/>
  <c r="J108" i="133"/>
  <c r="I108" i="133"/>
  <c r="H108" i="133"/>
  <c r="N108" i="133" s="1"/>
  <c r="L107" i="133"/>
  <c r="K107" i="133"/>
  <c r="J107" i="133"/>
  <c r="I107" i="133"/>
  <c r="H107" i="133"/>
  <c r="L106" i="133"/>
  <c r="K106" i="133"/>
  <c r="J106" i="133"/>
  <c r="N106" i="133" s="1"/>
  <c r="I106" i="133"/>
  <c r="H106" i="133"/>
  <c r="L105" i="133"/>
  <c r="K105" i="133"/>
  <c r="J105" i="133"/>
  <c r="I105" i="133"/>
  <c r="H105" i="133"/>
  <c r="L104" i="133"/>
  <c r="K104" i="133"/>
  <c r="J104" i="133"/>
  <c r="I104" i="133"/>
  <c r="H104" i="133"/>
  <c r="N104" i="133" s="1"/>
  <c r="L103" i="133"/>
  <c r="K103" i="133"/>
  <c r="J103" i="133"/>
  <c r="I103" i="133"/>
  <c r="H103" i="133"/>
  <c r="L102" i="133"/>
  <c r="K102" i="133"/>
  <c r="J102" i="133"/>
  <c r="N102" i="133" s="1"/>
  <c r="I102" i="133"/>
  <c r="H102" i="133"/>
  <c r="L101" i="133"/>
  <c r="K101" i="133"/>
  <c r="J101" i="133"/>
  <c r="I101" i="133"/>
  <c r="H101" i="133"/>
  <c r="L100" i="133"/>
  <c r="K100" i="133"/>
  <c r="J100" i="133"/>
  <c r="I100" i="133"/>
  <c r="H100" i="133"/>
  <c r="N100" i="133" s="1"/>
  <c r="L99" i="133"/>
  <c r="K99" i="133"/>
  <c r="J99" i="133"/>
  <c r="I99" i="133"/>
  <c r="H99" i="133"/>
  <c r="L98" i="133"/>
  <c r="K98" i="133"/>
  <c r="J98" i="133"/>
  <c r="N98" i="133" s="1"/>
  <c r="I98" i="133"/>
  <c r="H98" i="133"/>
  <c r="L97" i="133"/>
  <c r="K97" i="133"/>
  <c r="J97" i="133"/>
  <c r="I97" i="133"/>
  <c r="H97" i="133"/>
  <c r="L96" i="133"/>
  <c r="K96" i="133"/>
  <c r="J96" i="133"/>
  <c r="I96" i="133"/>
  <c r="H96" i="133"/>
  <c r="N96" i="133" s="1"/>
  <c r="L95" i="133"/>
  <c r="K95" i="133"/>
  <c r="J95" i="133"/>
  <c r="I95" i="133"/>
  <c r="H95" i="133"/>
  <c r="L94" i="133"/>
  <c r="K94" i="133"/>
  <c r="J94" i="133"/>
  <c r="N94" i="133" s="1"/>
  <c r="I94" i="133"/>
  <c r="H94" i="133"/>
  <c r="L93" i="133"/>
  <c r="K93" i="133"/>
  <c r="J93" i="133"/>
  <c r="I93" i="133"/>
  <c r="H93" i="133"/>
  <c r="L92" i="133"/>
  <c r="K92" i="133"/>
  <c r="J92" i="133"/>
  <c r="I92" i="133"/>
  <c r="H92" i="133"/>
  <c r="N92" i="133" s="1"/>
  <c r="L91" i="133"/>
  <c r="K91" i="133"/>
  <c r="J91" i="133"/>
  <c r="I91" i="133"/>
  <c r="H91" i="133"/>
  <c r="L90" i="133"/>
  <c r="K90" i="133"/>
  <c r="J90" i="133"/>
  <c r="N90" i="133" s="1"/>
  <c r="I90" i="133"/>
  <c r="H90" i="133"/>
  <c r="L89" i="133"/>
  <c r="K89" i="133"/>
  <c r="J89" i="133"/>
  <c r="I89" i="133"/>
  <c r="H89" i="133"/>
  <c r="L88" i="133"/>
  <c r="K88" i="133"/>
  <c r="J88" i="133"/>
  <c r="I88" i="133"/>
  <c r="H88" i="133"/>
  <c r="N88" i="133" s="1"/>
  <c r="L87" i="133"/>
  <c r="K87" i="133"/>
  <c r="J87" i="133"/>
  <c r="I87" i="133"/>
  <c r="H87" i="133"/>
  <c r="L86" i="133"/>
  <c r="K86" i="133"/>
  <c r="J86" i="133"/>
  <c r="N86" i="133" s="1"/>
  <c r="I86" i="133"/>
  <c r="H86" i="133"/>
  <c r="L85" i="133"/>
  <c r="K85" i="133"/>
  <c r="J85" i="133"/>
  <c r="I85" i="133"/>
  <c r="H85" i="133"/>
  <c r="L84" i="133"/>
  <c r="K84" i="133"/>
  <c r="J84" i="133"/>
  <c r="I84" i="133"/>
  <c r="H84" i="133"/>
  <c r="N84" i="133" s="1"/>
  <c r="L83" i="133"/>
  <c r="K83" i="133"/>
  <c r="J83" i="133"/>
  <c r="I83" i="133"/>
  <c r="H83" i="133"/>
  <c r="L82" i="133"/>
  <c r="K82" i="133"/>
  <c r="J82" i="133"/>
  <c r="N82" i="133" s="1"/>
  <c r="I82" i="133"/>
  <c r="H82" i="133"/>
  <c r="L81" i="133"/>
  <c r="K81" i="133"/>
  <c r="J81" i="133"/>
  <c r="I81" i="133"/>
  <c r="H81" i="133"/>
  <c r="L80" i="133"/>
  <c r="K80" i="133"/>
  <c r="J80" i="133"/>
  <c r="I80" i="133"/>
  <c r="H80" i="133"/>
  <c r="N80" i="133" s="1"/>
  <c r="L79" i="133"/>
  <c r="K79" i="133"/>
  <c r="J79" i="133"/>
  <c r="I79" i="133"/>
  <c r="H79" i="133"/>
  <c r="L78" i="133"/>
  <c r="K78" i="133"/>
  <c r="J78" i="133"/>
  <c r="N78" i="133" s="1"/>
  <c r="I78" i="133"/>
  <c r="H78" i="133"/>
  <c r="L77" i="133"/>
  <c r="K77" i="133"/>
  <c r="J77" i="133"/>
  <c r="I77" i="133"/>
  <c r="H77" i="133"/>
  <c r="L76" i="133"/>
  <c r="K76" i="133"/>
  <c r="J76" i="133"/>
  <c r="I76" i="133"/>
  <c r="H76" i="133"/>
  <c r="N76" i="133" s="1"/>
  <c r="L75" i="133"/>
  <c r="K75" i="133"/>
  <c r="J75" i="133"/>
  <c r="I75" i="133"/>
  <c r="H75" i="133"/>
  <c r="L74" i="133"/>
  <c r="K74" i="133"/>
  <c r="J74" i="133"/>
  <c r="N74" i="133" s="1"/>
  <c r="I74" i="133"/>
  <c r="H74" i="133"/>
  <c r="L73" i="133"/>
  <c r="K73" i="133"/>
  <c r="J73" i="133"/>
  <c r="I73" i="133"/>
  <c r="H73" i="133"/>
  <c r="L72" i="133"/>
  <c r="K72" i="133"/>
  <c r="J72" i="133"/>
  <c r="I72" i="133"/>
  <c r="H72" i="133"/>
  <c r="N72" i="133" s="1"/>
  <c r="L71" i="133"/>
  <c r="K71" i="133"/>
  <c r="J71" i="133"/>
  <c r="I71" i="133"/>
  <c r="H71" i="133"/>
  <c r="L70" i="133"/>
  <c r="K70" i="133"/>
  <c r="J70" i="133"/>
  <c r="N70" i="133" s="1"/>
  <c r="I70" i="133"/>
  <c r="H70" i="133"/>
  <c r="L69" i="133"/>
  <c r="K69" i="133"/>
  <c r="J69" i="133"/>
  <c r="I69" i="133"/>
  <c r="H69" i="133"/>
  <c r="L68" i="133"/>
  <c r="K68" i="133"/>
  <c r="J68" i="133"/>
  <c r="I68" i="133"/>
  <c r="H68" i="133"/>
  <c r="N68" i="133" s="1"/>
  <c r="L67" i="133"/>
  <c r="K67" i="133"/>
  <c r="J67" i="133"/>
  <c r="I67" i="133"/>
  <c r="H67" i="133"/>
  <c r="L66" i="133"/>
  <c r="K66" i="133"/>
  <c r="J66" i="133"/>
  <c r="N66" i="133" s="1"/>
  <c r="I66" i="133"/>
  <c r="H66" i="133"/>
  <c r="L65" i="133"/>
  <c r="K65" i="133"/>
  <c r="J65" i="133"/>
  <c r="I65" i="133"/>
  <c r="H65" i="133"/>
  <c r="L64" i="133"/>
  <c r="K64" i="133"/>
  <c r="J64" i="133"/>
  <c r="I64" i="133"/>
  <c r="H64" i="133"/>
  <c r="N64" i="133" s="1"/>
  <c r="L63" i="133"/>
  <c r="K63" i="133"/>
  <c r="J63" i="133"/>
  <c r="I63" i="133"/>
  <c r="H63" i="133"/>
  <c r="L62" i="133"/>
  <c r="K62" i="133"/>
  <c r="J62" i="133"/>
  <c r="N62" i="133" s="1"/>
  <c r="I62" i="133"/>
  <c r="H62" i="133"/>
  <c r="L61" i="133"/>
  <c r="K61" i="133"/>
  <c r="J61" i="133"/>
  <c r="I61" i="133"/>
  <c r="H61" i="133"/>
  <c r="L60" i="133"/>
  <c r="K60" i="133"/>
  <c r="J60" i="133"/>
  <c r="I60" i="133"/>
  <c r="H60" i="133"/>
  <c r="N60" i="133" s="1"/>
  <c r="L59" i="133"/>
  <c r="K59" i="133"/>
  <c r="J59" i="133"/>
  <c r="I59" i="133"/>
  <c r="H59" i="133"/>
  <c r="L58" i="133"/>
  <c r="K58" i="133"/>
  <c r="J58" i="133"/>
  <c r="N58" i="133" s="1"/>
  <c r="I58" i="133"/>
  <c r="H58" i="133"/>
  <c r="L57" i="133"/>
  <c r="K57" i="133"/>
  <c r="J57" i="133"/>
  <c r="I57" i="133"/>
  <c r="H57" i="133"/>
  <c r="L56" i="133"/>
  <c r="K56" i="133"/>
  <c r="J56" i="133"/>
  <c r="I56" i="133"/>
  <c r="H56" i="133"/>
  <c r="N56" i="133" s="1"/>
  <c r="L55" i="133"/>
  <c r="K55" i="133"/>
  <c r="J55" i="133"/>
  <c r="I55" i="133"/>
  <c r="H55" i="133"/>
  <c r="L54" i="133"/>
  <c r="K54" i="133"/>
  <c r="J54" i="133"/>
  <c r="N54" i="133" s="1"/>
  <c r="I54" i="133"/>
  <c r="H54" i="133"/>
  <c r="L53" i="133"/>
  <c r="K53" i="133"/>
  <c r="J53" i="133"/>
  <c r="I53" i="133"/>
  <c r="H53" i="133"/>
  <c r="L52" i="133"/>
  <c r="K52" i="133"/>
  <c r="J52" i="133"/>
  <c r="I52" i="133"/>
  <c r="H52" i="133"/>
  <c r="N52" i="133" s="1"/>
  <c r="L51" i="133"/>
  <c r="K51" i="133"/>
  <c r="J51" i="133"/>
  <c r="I51" i="133"/>
  <c r="H51" i="133"/>
  <c r="L50" i="133"/>
  <c r="K50" i="133"/>
  <c r="J50" i="133"/>
  <c r="N50" i="133" s="1"/>
  <c r="I50" i="133"/>
  <c r="H50" i="133"/>
  <c r="L49" i="133"/>
  <c r="K49" i="133"/>
  <c r="J49" i="133"/>
  <c r="I49" i="133"/>
  <c r="H49" i="133"/>
  <c r="L48" i="133"/>
  <c r="K48" i="133"/>
  <c r="J48" i="133"/>
  <c r="I48" i="133"/>
  <c r="H48" i="133"/>
  <c r="N48" i="133" s="1"/>
  <c r="L47" i="133"/>
  <c r="K47" i="133"/>
  <c r="J47" i="133"/>
  <c r="I47" i="133"/>
  <c r="H47" i="133"/>
  <c r="L46" i="133"/>
  <c r="K46" i="133"/>
  <c r="J46" i="133"/>
  <c r="N46" i="133" s="1"/>
  <c r="I46" i="133"/>
  <c r="H46" i="133"/>
  <c r="L45" i="133"/>
  <c r="K45" i="133"/>
  <c r="J45" i="133"/>
  <c r="I45" i="133"/>
  <c r="H45" i="133"/>
  <c r="L44" i="133"/>
  <c r="K44" i="133"/>
  <c r="J44" i="133"/>
  <c r="I44" i="133"/>
  <c r="H44" i="133"/>
  <c r="N44" i="133" s="1"/>
  <c r="L43" i="133"/>
  <c r="K43" i="133"/>
  <c r="J43" i="133"/>
  <c r="I43" i="133"/>
  <c r="H43" i="133"/>
  <c r="L42" i="133"/>
  <c r="K42" i="133"/>
  <c r="J42" i="133"/>
  <c r="N42" i="133" s="1"/>
  <c r="I42" i="133"/>
  <c r="H42" i="133"/>
  <c r="L41" i="133"/>
  <c r="K41" i="133"/>
  <c r="J41" i="133"/>
  <c r="I41" i="133"/>
  <c r="H41" i="133"/>
  <c r="L40" i="133"/>
  <c r="K40" i="133"/>
  <c r="J40" i="133"/>
  <c r="I40" i="133"/>
  <c r="H40" i="133"/>
  <c r="N40" i="133" s="1"/>
  <c r="L39" i="133"/>
  <c r="K39" i="133"/>
  <c r="J39" i="133"/>
  <c r="I39" i="133"/>
  <c r="H39" i="133"/>
  <c r="L38" i="133"/>
  <c r="K38" i="133"/>
  <c r="J38" i="133"/>
  <c r="I38" i="133"/>
  <c r="H38" i="133"/>
  <c r="L37" i="133"/>
  <c r="K37" i="133"/>
  <c r="N37" i="133" s="1"/>
  <c r="J37" i="133"/>
  <c r="I37" i="133"/>
  <c r="H37" i="133"/>
  <c r="L36" i="133"/>
  <c r="K36" i="133"/>
  <c r="J36" i="133"/>
  <c r="I36" i="133"/>
  <c r="H36" i="133"/>
  <c r="N36" i="133" s="1"/>
  <c r="L35" i="133"/>
  <c r="K35" i="133"/>
  <c r="J35" i="133"/>
  <c r="I35" i="133"/>
  <c r="H35" i="133"/>
  <c r="L34" i="133"/>
  <c r="K34" i="133"/>
  <c r="J34" i="133"/>
  <c r="I34" i="133"/>
  <c r="H34" i="133"/>
  <c r="L33" i="133"/>
  <c r="K33" i="133"/>
  <c r="N33" i="133" s="1"/>
  <c r="J33" i="133"/>
  <c r="I33" i="133"/>
  <c r="H33" i="133"/>
  <c r="L32" i="133"/>
  <c r="K32" i="133"/>
  <c r="J32" i="133"/>
  <c r="I32" i="133"/>
  <c r="H32" i="133"/>
  <c r="N32" i="133" s="1"/>
  <c r="L31" i="133"/>
  <c r="K31" i="133"/>
  <c r="J31" i="133"/>
  <c r="I31" i="133"/>
  <c r="H31" i="133"/>
  <c r="L30" i="133"/>
  <c r="K30" i="133"/>
  <c r="J30" i="133"/>
  <c r="I30" i="133"/>
  <c r="H30" i="133"/>
  <c r="L29" i="133"/>
  <c r="K29" i="133"/>
  <c r="N29" i="133" s="1"/>
  <c r="J29" i="133"/>
  <c r="I29" i="133"/>
  <c r="H29" i="133"/>
  <c r="L28" i="133"/>
  <c r="K28" i="133"/>
  <c r="J28" i="133"/>
  <c r="I28" i="133"/>
  <c r="H28" i="133"/>
  <c r="N28" i="133" s="1"/>
  <c r="L27" i="133"/>
  <c r="K27" i="133"/>
  <c r="J27" i="133"/>
  <c r="I27" i="133"/>
  <c r="H27" i="133"/>
  <c r="L26" i="133"/>
  <c r="K26" i="133"/>
  <c r="J26" i="133"/>
  <c r="I26" i="133"/>
  <c r="H26" i="133"/>
  <c r="L25" i="133"/>
  <c r="K25" i="133"/>
  <c r="N25" i="133" s="1"/>
  <c r="J25" i="133"/>
  <c r="I25" i="133"/>
  <c r="H25" i="133"/>
  <c r="L24" i="133"/>
  <c r="K24" i="133"/>
  <c r="J24" i="133"/>
  <c r="I24" i="133"/>
  <c r="H24" i="133"/>
  <c r="N24" i="133" s="1"/>
  <c r="L23" i="133"/>
  <c r="K23" i="133"/>
  <c r="J23" i="133"/>
  <c r="I23" i="133"/>
  <c r="H23" i="133"/>
  <c r="L22" i="133"/>
  <c r="K22" i="133"/>
  <c r="J22" i="133"/>
  <c r="I22" i="133"/>
  <c r="H22" i="133"/>
  <c r="L21" i="133"/>
  <c r="K21" i="133"/>
  <c r="N21" i="133" s="1"/>
  <c r="J21" i="133"/>
  <c r="I21" i="133"/>
  <c r="H21" i="133"/>
  <c r="L20" i="133"/>
  <c r="K20" i="133"/>
  <c r="J20" i="133"/>
  <c r="I20" i="133"/>
  <c r="H20" i="133"/>
  <c r="N20" i="133" s="1"/>
  <c r="L19" i="133"/>
  <c r="K19" i="133"/>
  <c r="J19" i="133"/>
  <c r="I19" i="133"/>
  <c r="H19" i="133"/>
  <c r="L18" i="133"/>
  <c r="K18" i="133"/>
  <c r="J18" i="133"/>
  <c r="I18" i="133"/>
  <c r="H18" i="133"/>
  <c r="L17" i="133"/>
  <c r="K17" i="133"/>
  <c r="N17" i="133" s="1"/>
  <c r="J17" i="133"/>
  <c r="I17" i="133"/>
  <c r="H17" i="133"/>
  <c r="L16" i="133"/>
  <c r="K16" i="133"/>
  <c r="J16" i="133"/>
  <c r="I16" i="133"/>
  <c r="H16" i="133"/>
  <c r="N16" i="133" s="1"/>
  <c r="L15" i="133"/>
  <c r="K15" i="133"/>
  <c r="J15" i="133"/>
  <c r="I15" i="133"/>
  <c r="H15" i="133"/>
  <c r="L14" i="133"/>
  <c r="K14" i="133"/>
  <c r="J14" i="133"/>
  <c r="I14" i="133"/>
  <c r="H14" i="133"/>
  <c r="L13" i="133"/>
  <c r="K13" i="133"/>
  <c r="N13" i="133" s="1"/>
  <c r="J13" i="133"/>
  <c r="I13" i="133"/>
  <c r="H13" i="133"/>
  <c r="L12" i="133"/>
  <c r="K12" i="133"/>
  <c r="J12" i="133"/>
  <c r="I12" i="133"/>
  <c r="H12" i="133"/>
  <c r="N12" i="133" s="1"/>
  <c r="L11" i="133"/>
  <c r="K11" i="133"/>
  <c r="J11" i="133"/>
  <c r="I11" i="133"/>
  <c r="H11" i="133"/>
  <c r="L10" i="133"/>
  <c r="K10" i="133"/>
  <c r="J10" i="133"/>
  <c r="I10" i="133"/>
  <c r="H10" i="133"/>
  <c r="L9" i="133"/>
  <c r="K9" i="133"/>
  <c r="N9" i="133" s="1"/>
  <c r="J9" i="133"/>
  <c r="I9" i="133"/>
  <c r="H9" i="133"/>
  <c r="L8" i="133"/>
  <c r="I8" i="133"/>
  <c r="N233" i="133" l="1"/>
  <c r="N237" i="133"/>
  <c r="N241" i="133"/>
  <c r="N245" i="133"/>
  <c r="N261" i="133"/>
  <c r="N265" i="133"/>
  <c r="N269" i="133"/>
  <c r="N277" i="133"/>
  <c r="N229" i="133"/>
  <c r="N249" i="133"/>
  <c r="N253" i="133"/>
  <c r="N257" i="133"/>
  <c r="N273" i="133"/>
  <c r="N112" i="133"/>
  <c r="N45" i="133"/>
  <c r="N49" i="133"/>
  <c r="N53" i="133"/>
  <c r="N57" i="133"/>
  <c r="N61" i="133"/>
  <c r="N65" i="133"/>
  <c r="N69" i="133"/>
  <c r="N73" i="133"/>
  <c r="N77" i="133"/>
  <c r="N81" i="133"/>
  <c r="N85" i="133"/>
  <c r="N89" i="133"/>
  <c r="N93" i="133"/>
  <c r="N97" i="133"/>
  <c r="N101" i="133"/>
  <c r="N109" i="133"/>
  <c r="N117" i="133"/>
  <c r="N125" i="133"/>
  <c r="N133" i="133"/>
  <c r="N141" i="133"/>
  <c r="N149" i="133"/>
  <c r="N161" i="133"/>
  <c r="N165" i="133"/>
  <c r="N177" i="133"/>
  <c r="N185" i="133"/>
  <c r="N193" i="133"/>
  <c r="N11" i="133"/>
  <c r="N15" i="133"/>
  <c r="N19" i="133"/>
  <c r="N23" i="133"/>
  <c r="N27" i="133"/>
  <c r="N31" i="133"/>
  <c r="N35" i="133"/>
  <c r="N39" i="133"/>
  <c r="N43" i="133"/>
  <c r="N47" i="133"/>
  <c r="N51" i="133"/>
  <c r="N55" i="133"/>
  <c r="N59" i="133"/>
  <c r="N63" i="133"/>
  <c r="N67" i="133"/>
  <c r="N71" i="133"/>
  <c r="N75" i="133"/>
  <c r="N79" i="133"/>
  <c r="N83" i="133"/>
  <c r="N87" i="133"/>
  <c r="N91" i="133"/>
  <c r="N95" i="133"/>
  <c r="N99" i="133"/>
  <c r="N103" i="133"/>
  <c r="N107" i="133"/>
  <c r="N111" i="133"/>
  <c r="N115" i="133"/>
  <c r="N119" i="133"/>
  <c r="N123" i="133"/>
  <c r="N127" i="133"/>
  <c r="N131" i="133"/>
  <c r="N135" i="133"/>
  <c r="N139" i="133"/>
  <c r="N143" i="133"/>
  <c r="N147" i="133"/>
  <c r="N151" i="133"/>
  <c r="N155" i="133"/>
  <c r="N159" i="133"/>
  <c r="N163" i="133"/>
  <c r="N167" i="133"/>
  <c r="N171" i="133"/>
  <c r="N175" i="133"/>
  <c r="N179" i="133"/>
  <c r="N183" i="133"/>
  <c r="N187" i="133"/>
  <c r="N191" i="133"/>
  <c r="N195" i="133"/>
  <c r="N199" i="133"/>
  <c r="N203" i="133"/>
  <c r="N207" i="133"/>
  <c r="N211" i="133"/>
  <c r="N215" i="133"/>
  <c r="N219" i="133"/>
  <c r="N223" i="133"/>
  <c r="N227" i="133"/>
  <c r="N231" i="133"/>
  <c r="N235" i="133"/>
  <c r="N239" i="133"/>
  <c r="N243" i="133"/>
  <c r="N247" i="133"/>
  <c r="N251" i="133"/>
  <c r="N255" i="133"/>
  <c r="N259" i="133"/>
  <c r="N263" i="133"/>
  <c r="N267" i="133"/>
  <c r="N271" i="133"/>
  <c r="N275" i="133"/>
  <c r="N105" i="133"/>
  <c r="N113" i="133"/>
  <c r="N121" i="133"/>
  <c r="N129" i="133"/>
  <c r="N137" i="133"/>
  <c r="N145" i="133"/>
  <c r="N153" i="133"/>
  <c r="N157" i="133"/>
  <c r="N169" i="133"/>
  <c r="N173" i="133"/>
  <c r="N181" i="133"/>
  <c r="N189" i="133"/>
  <c r="N197" i="133"/>
  <c r="N201" i="133"/>
  <c r="N205" i="133"/>
  <c r="N209" i="133"/>
  <c r="N213" i="133"/>
  <c r="N217" i="133"/>
  <c r="N221" i="133"/>
  <c r="N225" i="133"/>
  <c r="N10" i="133"/>
  <c r="N14" i="133"/>
  <c r="N18" i="133"/>
  <c r="N22" i="133"/>
  <c r="N26" i="133"/>
  <c r="N30" i="133"/>
  <c r="N34" i="133"/>
  <c r="N38" i="133"/>
  <c r="F65" i="34" l="1"/>
  <c r="F64" i="34"/>
  <c r="F63" i="34"/>
  <c r="R6" i="134" l="1"/>
  <c r="R480" i="120"/>
  <c r="Q480" i="120"/>
  <c r="P480" i="120"/>
  <c r="O480" i="120"/>
  <c r="N480" i="120"/>
  <c r="M480" i="120"/>
  <c r="R479" i="120"/>
  <c r="Q479" i="120"/>
  <c r="P479" i="120"/>
  <c r="O479" i="120"/>
  <c r="N479" i="120"/>
  <c r="M479" i="120"/>
  <c r="R478" i="120"/>
  <c r="Q478" i="120"/>
  <c r="P478" i="120"/>
  <c r="O478" i="120"/>
  <c r="N478" i="120"/>
  <c r="M478" i="120"/>
  <c r="R477" i="120"/>
  <c r="Q477" i="120"/>
  <c r="P477" i="120"/>
  <c r="O477" i="120"/>
  <c r="N477" i="120"/>
  <c r="M477" i="120"/>
  <c r="R476" i="120"/>
  <c r="Q476" i="120"/>
  <c r="P476" i="120"/>
  <c r="O476" i="120"/>
  <c r="N476" i="120"/>
  <c r="M476" i="120"/>
  <c r="R475" i="120"/>
  <c r="Q475" i="120"/>
  <c r="P475" i="120"/>
  <c r="O475" i="120"/>
  <c r="N475" i="120"/>
  <c r="M475" i="120"/>
  <c r="R474" i="120"/>
  <c r="Q474" i="120"/>
  <c r="P474" i="120"/>
  <c r="O474" i="120"/>
  <c r="N474" i="120"/>
  <c r="M474" i="120"/>
  <c r="R473" i="120"/>
  <c r="Q473" i="120"/>
  <c r="P473" i="120"/>
  <c r="O473" i="120"/>
  <c r="N473" i="120"/>
  <c r="M473" i="120"/>
  <c r="R472" i="120"/>
  <c r="Q472" i="120"/>
  <c r="P472" i="120"/>
  <c r="O472" i="120"/>
  <c r="N472" i="120"/>
  <c r="M472" i="120"/>
  <c r="R471" i="120"/>
  <c r="Q471" i="120"/>
  <c r="P471" i="120"/>
  <c r="O471" i="120"/>
  <c r="N471" i="120"/>
  <c r="M471" i="120"/>
  <c r="R470" i="120"/>
  <c r="Q470" i="120"/>
  <c r="P470" i="120"/>
  <c r="O470" i="120"/>
  <c r="N470" i="120"/>
  <c r="M470" i="120"/>
  <c r="R469" i="120"/>
  <c r="Q469" i="120"/>
  <c r="P469" i="120"/>
  <c r="O469" i="120"/>
  <c r="N469" i="120"/>
  <c r="M469" i="120"/>
  <c r="R468" i="120"/>
  <c r="Q468" i="120"/>
  <c r="P468" i="120"/>
  <c r="O468" i="120"/>
  <c r="N468" i="120"/>
  <c r="M468" i="120"/>
  <c r="R467" i="120"/>
  <c r="Q467" i="120"/>
  <c r="P467" i="120"/>
  <c r="O467" i="120"/>
  <c r="N467" i="120"/>
  <c r="M467" i="120"/>
  <c r="R466" i="120"/>
  <c r="Q466" i="120"/>
  <c r="P466" i="120"/>
  <c r="O466" i="120"/>
  <c r="N466" i="120"/>
  <c r="M466" i="120"/>
  <c r="R465" i="120"/>
  <c r="Q465" i="120"/>
  <c r="P465" i="120"/>
  <c r="O465" i="120"/>
  <c r="N465" i="120"/>
  <c r="M465" i="120"/>
  <c r="R464" i="120"/>
  <c r="Q464" i="120"/>
  <c r="P464" i="120"/>
  <c r="O464" i="120"/>
  <c r="N464" i="120"/>
  <c r="M464" i="120"/>
  <c r="R463" i="120"/>
  <c r="Q463" i="120"/>
  <c r="P463" i="120"/>
  <c r="O463" i="120"/>
  <c r="N463" i="120"/>
  <c r="M463" i="120"/>
  <c r="R462" i="120"/>
  <c r="Q462" i="120"/>
  <c r="P462" i="120"/>
  <c r="O462" i="120"/>
  <c r="N462" i="120"/>
  <c r="M462" i="120"/>
  <c r="R461" i="120"/>
  <c r="Q461" i="120"/>
  <c r="P461" i="120"/>
  <c r="O461" i="120"/>
  <c r="N461" i="120"/>
  <c r="M461" i="120"/>
  <c r="R460" i="120"/>
  <c r="Q460" i="120"/>
  <c r="P460" i="120"/>
  <c r="O460" i="120"/>
  <c r="N460" i="120"/>
  <c r="M460" i="120"/>
  <c r="R459" i="120"/>
  <c r="Q459" i="120"/>
  <c r="P459" i="120"/>
  <c r="O459" i="120"/>
  <c r="N459" i="120"/>
  <c r="M459" i="120"/>
  <c r="R458" i="120"/>
  <c r="Q458" i="120"/>
  <c r="P458" i="120"/>
  <c r="O458" i="120"/>
  <c r="N458" i="120"/>
  <c r="M458" i="120"/>
  <c r="R457" i="120"/>
  <c r="Q457" i="120"/>
  <c r="P457" i="120"/>
  <c r="O457" i="120"/>
  <c r="N457" i="120"/>
  <c r="M457" i="120"/>
  <c r="R456" i="120"/>
  <c r="Q456" i="120"/>
  <c r="P456" i="120"/>
  <c r="O456" i="120"/>
  <c r="N456" i="120"/>
  <c r="M456" i="120"/>
  <c r="R455" i="120"/>
  <c r="Q455" i="120"/>
  <c r="P455" i="120"/>
  <c r="O455" i="120"/>
  <c r="N455" i="120"/>
  <c r="M455" i="120"/>
  <c r="R454" i="120"/>
  <c r="Q454" i="120"/>
  <c r="P454" i="120"/>
  <c r="O454" i="120"/>
  <c r="N454" i="120"/>
  <c r="M454" i="120"/>
  <c r="R453" i="120"/>
  <c r="Q453" i="120"/>
  <c r="P453" i="120"/>
  <c r="O453" i="120"/>
  <c r="N453" i="120"/>
  <c r="M453" i="120"/>
  <c r="R452" i="120"/>
  <c r="Q452" i="120"/>
  <c r="P452" i="120"/>
  <c r="O452" i="120"/>
  <c r="N452" i="120"/>
  <c r="M452" i="120"/>
  <c r="R451" i="120"/>
  <c r="Q451" i="120"/>
  <c r="P451" i="120"/>
  <c r="O451" i="120"/>
  <c r="N451" i="120"/>
  <c r="M451" i="120"/>
  <c r="R450" i="120"/>
  <c r="Q450" i="120"/>
  <c r="P450" i="120"/>
  <c r="O450" i="120"/>
  <c r="N450" i="120"/>
  <c r="M450" i="120"/>
  <c r="R449" i="120"/>
  <c r="Q449" i="120"/>
  <c r="P449" i="120"/>
  <c r="O449" i="120"/>
  <c r="N449" i="120"/>
  <c r="M449" i="120"/>
  <c r="R448" i="120"/>
  <c r="Q448" i="120"/>
  <c r="P448" i="120"/>
  <c r="O448" i="120"/>
  <c r="N448" i="120"/>
  <c r="M448" i="120"/>
  <c r="R447" i="120"/>
  <c r="Q447" i="120"/>
  <c r="P447" i="120"/>
  <c r="O447" i="120"/>
  <c r="N447" i="120"/>
  <c r="M447" i="120"/>
  <c r="R446" i="120"/>
  <c r="Q446" i="120"/>
  <c r="P446" i="120"/>
  <c r="O446" i="120"/>
  <c r="N446" i="120"/>
  <c r="M446" i="120"/>
  <c r="R445" i="120"/>
  <c r="Q445" i="120"/>
  <c r="P445" i="120"/>
  <c r="O445" i="120"/>
  <c r="N445" i="120"/>
  <c r="M445" i="120"/>
  <c r="R444" i="120"/>
  <c r="Q444" i="120"/>
  <c r="P444" i="120"/>
  <c r="O444" i="120"/>
  <c r="N444" i="120"/>
  <c r="M444" i="120"/>
  <c r="R443" i="120"/>
  <c r="Q443" i="120"/>
  <c r="P443" i="120"/>
  <c r="O443" i="120"/>
  <c r="N443" i="120"/>
  <c r="M443" i="120"/>
  <c r="R442" i="120"/>
  <c r="Q442" i="120"/>
  <c r="P442" i="120"/>
  <c r="O442" i="120"/>
  <c r="N442" i="120"/>
  <c r="M442" i="120"/>
  <c r="R441" i="120"/>
  <c r="Q441" i="120"/>
  <c r="P441" i="120"/>
  <c r="O441" i="120"/>
  <c r="N441" i="120"/>
  <c r="M441" i="120"/>
  <c r="R440" i="120"/>
  <c r="Q440" i="120"/>
  <c r="P440" i="120"/>
  <c r="O440" i="120"/>
  <c r="N440" i="120"/>
  <c r="M440" i="120"/>
  <c r="R439" i="120"/>
  <c r="Q439" i="120"/>
  <c r="P439" i="120"/>
  <c r="O439" i="120"/>
  <c r="N439" i="120"/>
  <c r="M439" i="120"/>
  <c r="R438" i="120"/>
  <c r="Q438" i="120"/>
  <c r="P438" i="120"/>
  <c r="O438" i="120"/>
  <c r="N438" i="120"/>
  <c r="M438" i="120"/>
  <c r="R437" i="120"/>
  <c r="Q437" i="120"/>
  <c r="P437" i="120"/>
  <c r="O437" i="120"/>
  <c r="N437" i="120"/>
  <c r="M437" i="120"/>
  <c r="R436" i="120"/>
  <c r="Q436" i="120"/>
  <c r="P436" i="120"/>
  <c r="O436" i="120"/>
  <c r="N436" i="120"/>
  <c r="M436" i="120"/>
  <c r="R435" i="120"/>
  <c r="Q435" i="120"/>
  <c r="P435" i="120"/>
  <c r="O435" i="120"/>
  <c r="N435" i="120"/>
  <c r="M435" i="120"/>
  <c r="R434" i="120"/>
  <c r="Q434" i="120"/>
  <c r="P434" i="120"/>
  <c r="O434" i="120"/>
  <c r="N434" i="120"/>
  <c r="M434" i="120"/>
  <c r="R433" i="120"/>
  <c r="Q433" i="120"/>
  <c r="P433" i="120"/>
  <c r="O433" i="120"/>
  <c r="N433" i="120"/>
  <c r="M433" i="120"/>
  <c r="R432" i="120"/>
  <c r="Q432" i="120"/>
  <c r="P432" i="120"/>
  <c r="O432" i="120"/>
  <c r="N432" i="120"/>
  <c r="M432" i="120"/>
  <c r="R431" i="120"/>
  <c r="Q431" i="120"/>
  <c r="P431" i="120"/>
  <c r="O431" i="120"/>
  <c r="N431" i="120"/>
  <c r="M431" i="120"/>
  <c r="R430" i="120"/>
  <c r="Q430" i="120"/>
  <c r="P430" i="120"/>
  <c r="O430" i="120"/>
  <c r="N430" i="120"/>
  <c r="M430" i="120"/>
  <c r="R429" i="120"/>
  <c r="Q429" i="120"/>
  <c r="P429" i="120"/>
  <c r="O429" i="120"/>
  <c r="N429" i="120"/>
  <c r="M429" i="120"/>
  <c r="R428" i="120"/>
  <c r="Q428" i="120"/>
  <c r="P428" i="120"/>
  <c r="O428" i="120"/>
  <c r="N428" i="120"/>
  <c r="M428" i="120"/>
  <c r="R427" i="120"/>
  <c r="Q427" i="120"/>
  <c r="P427" i="120"/>
  <c r="O427" i="120"/>
  <c r="N427" i="120"/>
  <c r="M427" i="120"/>
  <c r="R426" i="120"/>
  <c r="Q426" i="120"/>
  <c r="P426" i="120"/>
  <c r="O426" i="120"/>
  <c r="N426" i="120"/>
  <c r="M426" i="120"/>
  <c r="R425" i="120"/>
  <c r="Q425" i="120"/>
  <c r="P425" i="120"/>
  <c r="O425" i="120"/>
  <c r="N425" i="120"/>
  <c r="M425" i="120"/>
  <c r="R424" i="120"/>
  <c r="Q424" i="120"/>
  <c r="P424" i="120"/>
  <c r="O424" i="120"/>
  <c r="N424" i="120"/>
  <c r="M424" i="120"/>
  <c r="R423" i="120"/>
  <c r="Q423" i="120"/>
  <c r="P423" i="120"/>
  <c r="O423" i="120"/>
  <c r="N423" i="120"/>
  <c r="M423" i="120"/>
  <c r="R422" i="120"/>
  <c r="Q422" i="120"/>
  <c r="P422" i="120"/>
  <c r="O422" i="120"/>
  <c r="N422" i="120"/>
  <c r="M422" i="120"/>
  <c r="R421" i="120"/>
  <c r="Q421" i="120"/>
  <c r="P421" i="120"/>
  <c r="O421" i="120"/>
  <c r="N421" i="120"/>
  <c r="M421" i="120"/>
  <c r="R420" i="120"/>
  <c r="Q420" i="120"/>
  <c r="P420" i="120"/>
  <c r="O420" i="120"/>
  <c r="N420" i="120"/>
  <c r="M420" i="120"/>
  <c r="R419" i="120"/>
  <c r="Q419" i="120"/>
  <c r="P419" i="120"/>
  <c r="O419" i="120"/>
  <c r="N419" i="120"/>
  <c r="M419" i="120"/>
  <c r="R418" i="120"/>
  <c r="Q418" i="120"/>
  <c r="P418" i="120"/>
  <c r="O418" i="120"/>
  <c r="N418" i="120"/>
  <c r="M418" i="120"/>
  <c r="R417" i="120"/>
  <c r="Q417" i="120"/>
  <c r="P417" i="120"/>
  <c r="O417" i="120"/>
  <c r="N417" i="120"/>
  <c r="M417" i="120"/>
  <c r="R416" i="120"/>
  <c r="Q416" i="120"/>
  <c r="P416" i="120"/>
  <c r="O416" i="120"/>
  <c r="N416" i="120"/>
  <c r="M416" i="120"/>
  <c r="R415" i="120"/>
  <c r="Q415" i="120"/>
  <c r="P415" i="120"/>
  <c r="O415" i="120"/>
  <c r="N415" i="120"/>
  <c r="M415" i="120"/>
  <c r="R414" i="120"/>
  <c r="Q414" i="120"/>
  <c r="P414" i="120"/>
  <c r="O414" i="120"/>
  <c r="N414" i="120"/>
  <c r="M414" i="120"/>
  <c r="R413" i="120"/>
  <c r="Q413" i="120"/>
  <c r="P413" i="120"/>
  <c r="O413" i="120"/>
  <c r="N413" i="120"/>
  <c r="M413" i="120"/>
  <c r="R412" i="120"/>
  <c r="Q412" i="120"/>
  <c r="P412" i="120"/>
  <c r="O412" i="120"/>
  <c r="N412" i="120"/>
  <c r="M412" i="120"/>
  <c r="R411" i="120"/>
  <c r="Q411" i="120"/>
  <c r="P411" i="120"/>
  <c r="O411" i="120"/>
  <c r="N411" i="120"/>
  <c r="M411" i="120"/>
  <c r="R410" i="120"/>
  <c r="Q410" i="120"/>
  <c r="P410" i="120"/>
  <c r="O410" i="120"/>
  <c r="N410" i="120"/>
  <c r="M410" i="120"/>
  <c r="R409" i="120"/>
  <c r="Q409" i="120"/>
  <c r="P409" i="120"/>
  <c r="O409" i="120"/>
  <c r="N409" i="120"/>
  <c r="M409" i="120"/>
  <c r="R408" i="120"/>
  <c r="Q408" i="120"/>
  <c r="P408" i="120"/>
  <c r="O408" i="120"/>
  <c r="N408" i="120"/>
  <c r="M408" i="120"/>
  <c r="R407" i="120"/>
  <c r="Q407" i="120"/>
  <c r="P407" i="120"/>
  <c r="O407" i="120"/>
  <c r="N407" i="120"/>
  <c r="M407" i="120"/>
  <c r="R406" i="120"/>
  <c r="Q406" i="120"/>
  <c r="P406" i="120"/>
  <c r="O406" i="120"/>
  <c r="N406" i="120"/>
  <c r="M406" i="120"/>
  <c r="R405" i="120"/>
  <c r="Q405" i="120"/>
  <c r="P405" i="120"/>
  <c r="O405" i="120"/>
  <c r="N405" i="120"/>
  <c r="M405" i="120"/>
  <c r="R404" i="120"/>
  <c r="Q404" i="120"/>
  <c r="P404" i="120"/>
  <c r="O404" i="120"/>
  <c r="N404" i="120"/>
  <c r="M404" i="120"/>
  <c r="R403" i="120"/>
  <c r="Q403" i="120"/>
  <c r="P403" i="120"/>
  <c r="O403" i="120"/>
  <c r="N403" i="120"/>
  <c r="M403" i="120"/>
  <c r="R402" i="120"/>
  <c r="Q402" i="120"/>
  <c r="P402" i="120"/>
  <c r="O402" i="120"/>
  <c r="N402" i="120"/>
  <c r="M402" i="120"/>
  <c r="R401" i="120"/>
  <c r="Q401" i="120"/>
  <c r="P401" i="120"/>
  <c r="O401" i="120"/>
  <c r="N401" i="120"/>
  <c r="M401" i="120"/>
  <c r="R400" i="120"/>
  <c r="Q400" i="120"/>
  <c r="P400" i="120"/>
  <c r="O400" i="120"/>
  <c r="N400" i="120"/>
  <c r="M400" i="120"/>
  <c r="R399" i="120"/>
  <c r="Q399" i="120"/>
  <c r="P399" i="120"/>
  <c r="O399" i="120"/>
  <c r="N399" i="120"/>
  <c r="M399" i="120"/>
  <c r="R398" i="120"/>
  <c r="Q398" i="120"/>
  <c r="P398" i="120"/>
  <c r="O398" i="120"/>
  <c r="N398" i="120"/>
  <c r="M398" i="120"/>
  <c r="R397" i="120"/>
  <c r="Q397" i="120"/>
  <c r="P397" i="120"/>
  <c r="O397" i="120"/>
  <c r="N397" i="120"/>
  <c r="M397" i="120"/>
  <c r="R396" i="120"/>
  <c r="Q396" i="120"/>
  <c r="P396" i="120"/>
  <c r="O396" i="120"/>
  <c r="N396" i="120"/>
  <c r="M396" i="120"/>
  <c r="R395" i="120"/>
  <c r="Q395" i="120"/>
  <c r="P395" i="120"/>
  <c r="O395" i="120"/>
  <c r="N395" i="120"/>
  <c r="M395" i="120"/>
  <c r="R394" i="120"/>
  <c r="Q394" i="120"/>
  <c r="P394" i="120"/>
  <c r="O394" i="120"/>
  <c r="N394" i="120"/>
  <c r="M394" i="120"/>
  <c r="R393" i="120"/>
  <c r="Q393" i="120"/>
  <c r="P393" i="120"/>
  <c r="O393" i="120"/>
  <c r="N393" i="120"/>
  <c r="M393" i="120"/>
  <c r="R392" i="120"/>
  <c r="Q392" i="120"/>
  <c r="P392" i="120"/>
  <c r="O392" i="120"/>
  <c r="N392" i="120"/>
  <c r="M392" i="120"/>
  <c r="R391" i="120"/>
  <c r="Q391" i="120"/>
  <c r="P391" i="120"/>
  <c r="O391" i="120"/>
  <c r="N391" i="120"/>
  <c r="M391" i="120"/>
  <c r="R390" i="120"/>
  <c r="Q390" i="120"/>
  <c r="P390" i="120"/>
  <c r="O390" i="120"/>
  <c r="N390" i="120"/>
  <c r="M390" i="120"/>
  <c r="R389" i="120"/>
  <c r="Q389" i="120"/>
  <c r="P389" i="120"/>
  <c r="O389" i="120"/>
  <c r="N389" i="120"/>
  <c r="M389" i="120"/>
  <c r="R388" i="120"/>
  <c r="Q388" i="120"/>
  <c r="P388" i="120"/>
  <c r="O388" i="120"/>
  <c r="N388" i="120"/>
  <c r="M388" i="120"/>
  <c r="R387" i="120"/>
  <c r="Q387" i="120"/>
  <c r="P387" i="120"/>
  <c r="O387" i="120"/>
  <c r="N387" i="120"/>
  <c r="M387" i="120"/>
  <c r="R386" i="120"/>
  <c r="Q386" i="120"/>
  <c r="P386" i="120"/>
  <c r="O386" i="120"/>
  <c r="N386" i="120"/>
  <c r="M386" i="120"/>
  <c r="R385" i="120"/>
  <c r="Q385" i="120"/>
  <c r="P385" i="120"/>
  <c r="O385" i="120"/>
  <c r="N385" i="120"/>
  <c r="M385" i="120"/>
  <c r="R384" i="120"/>
  <c r="Q384" i="120"/>
  <c r="P384" i="120"/>
  <c r="O384" i="120"/>
  <c r="N384" i="120"/>
  <c r="M384" i="120"/>
  <c r="R383" i="120"/>
  <c r="Q383" i="120"/>
  <c r="P383" i="120"/>
  <c r="O383" i="120"/>
  <c r="N383" i="120"/>
  <c r="M383" i="120"/>
  <c r="R382" i="120"/>
  <c r="Q382" i="120"/>
  <c r="P382" i="120"/>
  <c r="O382" i="120"/>
  <c r="N382" i="120"/>
  <c r="M382" i="120"/>
  <c r="R381" i="120"/>
  <c r="Q381" i="120"/>
  <c r="P381" i="120"/>
  <c r="O381" i="120"/>
  <c r="N381" i="120"/>
  <c r="M381" i="120"/>
  <c r="R380" i="120"/>
  <c r="Q380" i="120"/>
  <c r="P380" i="120"/>
  <c r="O380" i="120"/>
  <c r="N380" i="120"/>
  <c r="M380" i="120"/>
  <c r="R379" i="120"/>
  <c r="Q379" i="120"/>
  <c r="P379" i="120"/>
  <c r="O379" i="120"/>
  <c r="N379" i="120"/>
  <c r="M379" i="120"/>
  <c r="R378" i="120"/>
  <c r="Q378" i="120"/>
  <c r="P378" i="120"/>
  <c r="O378" i="120"/>
  <c r="N378" i="120"/>
  <c r="M378" i="120"/>
  <c r="R377" i="120"/>
  <c r="Q377" i="120"/>
  <c r="P377" i="120"/>
  <c r="O377" i="120"/>
  <c r="N377" i="120"/>
  <c r="M377" i="120"/>
  <c r="R376" i="120"/>
  <c r="Q376" i="120"/>
  <c r="P376" i="120"/>
  <c r="O376" i="120"/>
  <c r="N376" i="120"/>
  <c r="M376" i="120"/>
  <c r="R375" i="120"/>
  <c r="Q375" i="120"/>
  <c r="P375" i="120"/>
  <c r="O375" i="120"/>
  <c r="N375" i="120"/>
  <c r="M375" i="120"/>
  <c r="R374" i="120"/>
  <c r="Q374" i="120"/>
  <c r="P374" i="120"/>
  <c r="O374" i="120"/>
  <c r="N374" i="120"/>
  <c r="M374" i="120"/>
  <c r="R373" i="120"/>
  <c r="Q373" i="120"/>
  <c r="P373" i="120"/>
  <c r="O373" i="120"/>
  <c r="N373" i="120"/>
  <c r="M373" i="120"/>
  <c r="R372" i="120"/>
  <c r="Q372" i="120"/>
  <c r="P372" i="120"/>
  <c r="O372" i="120"/>
  <c r="N372" i="120"/>
  <c r="M372" i="120"/>
  <c r="R371" i="120"/>
  <c r="Q371" i="120"/>
  <c r="P371" i="120"/>
  <c r="O371" i="120"/>
  <c r="N371" i="120"/>
  <c r="M371" i="120"/>
  <c r="R370" i="120"/>
  <c r="Q370" i="120"/>
  <c r="P370" i="120"/>
  <c r="O370" i="120"/>
  <c r="N370" i="120"/>
  <c r="M370" i="120"/>
  <c r="R369" i="120"/>
  <c r="Q369" i="120"/>
  <c r="P369" i="120"/>
  <c r="O369" i="120"/>
  <c r="N369" i="120"/>
  <c r="M369" i="120"/>
  <c r="R368" i="120"/>
  <c r="Q368" i="120"/>
  <c r="P368" i="120"/>
  <c r="O368" i="120"/>
  <c r="N368" i="120"/>
  <c r="M368" i="120"/>
  <c r="R367" i="120"/>
  <c r="Q367" i="120"/>
  <c r="P367" i="120"/>
  <c r="O367" i="120"/>
  <c r="N367" i="120"/>
  <c r="M367" i="120"/>
  <c r="R366" i="120"/>
  <c r="Q366" i="120"/>
  <c r="P366" i="120"/>
  <c r="O366" i="120"/>
  <c r="N366" i="120"/>
  <c r="M366" i="120"/>
  <c r="R365" i="120"/>
  <c r="Q365" i="120"/>
  <c r="P365" i="120"/>
  <c r="O365" i="120"/>
  <c r="N365" i="120"/>
  <c r="M365" i="120"/>
  <c r="R364" i="120"/>
  <c r="Q364" i="120"/>
  <c r="P364" i="120"/>
  <c r="O364" i="120"/>
  <c r="N364" i="120"/>
  <c r="M364" i="120"/>
  <c r="R363" i="120"/>
  <c r="Q363" i="120"/>
  <c r="P363" i="120"/>
  <c r="O363" i="120"/>
  <c r="N363" i="120"/>
  <c r="M363" i="120"/>
  <c r="R362" i="120"/>
  <c r="Q362" i="120"/>
  <c r="P362" i="120"/>
  <c r="O362" i="120"/>
  <c r="N362" i="120"/>
  <c r="M362" i="120"/>
  <c r="R361" i="120"/>
  <c r="Q361" i="120"/>
  <c r="P361" i="120"/>
  <c r="O361" i="120"/>
  <c r="N361" i="120"/>
  <c r="M361" i="120"/>
  <c r="R360" i="120"/>
  <c r="Q360" i="120"/>
  <c r="P360" i="120"/>
  <c r="O360" i="120"/>
  <c r="N360" i="120"/>
  <c r="M360" i="120"/>
  <c r="R359" i="120"/>
  <c r="Q359" i="120"/>
  <c r="P359" i="120"/>
  <c r="O359" i="120"/>
  <c r="N359" i="120"/>
  <c r="M359" i="120"/>
  <c r="R358" i="120"/>
  <c r="Q358" i="120"/>
  <c r="P358" i="120"/>
  <c r="O358" i="120"/>
  <c r="N358" i="120"/>
  <c r="M358" i="120"/>
  <c r="R357" i="120"/>
  <c r="Q357" i="120"/>
  <c r="P357" i="120"/>
  <c r="O357" i="120"/>
  <c r="N357" i="120"/>
  <c r="M357" i="120"/>
  <c r="R356" i="120"/>
  <c r="Q356" i="120"/>
  <c r="P356" i="120"/>
  <c r="O356" i="120"/>
  <c r="N356" i="120"/>
  <c r="M356" i="120"/>
  <c r="R355" i="120"/>
  <c r="Q355" i="120"/>
  <c r="P355" i="120"/>
  <c r="O355" i="120"/>
  <c r="N355" i="120"/>
  <c r="M355" i="120"/>
  <c r="R354" i="120"/>
  <c r="Q354" i="120"/>
  <c r="P354" i="120"/>
  <c r="O354" i="120"/>
  <c r="N354" i="120"/>
  <c r="M354" i="120"/>
  <c r="R353" i="120"/>
  <c r="Q353" i="120"/>
  <c r="P353" i="120"/>
  <c r="O353" i="120"/>
  <c r="N353" i="120"/>
  <c r="M353" i="120"/>
  <c r="R352" i="120"/>
  <c r="Q352" i="120"/>
  <c r="P352" i="120"/>
  <c r="O352" i="120"/>
  <c r="N352" i="120"/>
  <c r="M352" i="120"/>
  <c r="R351" i="120"/>
  <c r="Q351" i="120"/>
  <c r="P351" i="120"/>
  <c r="O351" i="120"/>
  <c r="N351" i="120"/>
  <c r="M351" i="120"/>
  <c r="R350" i="120"/>
  <c r="Q350" i="120"/>
  <c r="P350" i="120"/>
  <c r="O350" i="120"/>
  <c r="N350" i="120"/>
  <c r="M350" i="120"/>
  <c r="R349" i="120"/>
  <c r="Q349" i="120"/>
  <c r="P349" i="120"/>
  <c r="O349" i="120"/>
  <c r="N349" i="120"/>
  <c r="M349" i="120"/>
  <c r="R348" i="120"/>
  <c r="Q348" i="120"/>
  <c r="P348" i="120"/>
  <c r="O348" i="120"/>
  <c r="N348" i="120"/>
  <c r="M348" i="120"/>
  <c r="R347" i="120"/>
  <c r="Q347" i="120"/>
  <c r="P347" i="120"/>
  <c r="O347" i="120"/>
  <c r="N347" i="120"/>
  <c r="M347" i="120"/>
  <c r="R346" i="120"/>
  <c r="Q346" i="120"/>
  <c r="P346" i="120"/>
  <c r="O346" i="120"/>
  <c r="N346" i="120"/>
  <c r="M346" i="120"/>
  <c r="R345" i="120"/>
  <c r="Q345" i="120"/>
  <c r="P345" i="120"/>
  <c r="O345" i="120"/>
  <c r="N345" i="120"/>
  <c r="M345" i="120"/>
  <c r="R344" i="120"/>
  <c r="Q344" i="120"/>
  <c r="P344" i="120"/>
  <c r="O344" i="120"/>
  <c r="N344" i="120"/>
  <c r="M344" i="120"/>
  <c r="R343" i="120"/>
  <c r="Q343" i="120"/>
  <c r="P343" i="120"/>
  <c r="O343" i="120"/>
  <c r="N343" i="120"/>
  <c r="M343" i="120"/>
  <c r="R342" i="120"/>
  <c r="Q342" i="120"/>
  <c r="P342" i="120"/>
  <c r="O342" i="120"/>
  <c r="N342" i="120"/>
  <c r="M342" i="120"/>
  <c r="R341" i="120"/>
  <c r="Q341" i="120"/>
  <c r="P341" i="120"/>
  <c r="O341" i="120"/>
  <c r="N341" i="120"/>
  <c r="M341" i="120"/>
  <c r="R340" i="120"/>
  <c r="Q340" i="120"/>
  <c r="P340" i="120"/>
  <c r="O340" i="120"/>
  <c r="N340" i="120"/>
  <c r="M340" i="120"/>
  <c r="R339" i="120"/>
  <c r="Q339" i="120"/>
  <c r="P339" i="120"/>
  <c r="O339" i="120"/>
  <c r="N339" i="120"/>
  <c r="M339" i="120"/>
  <c r="R338" i="120"/>
  <c r="Q338" i="120"/>
  <c r="P338" i="120"/>
  <c r="O338" i="120"/>
  <c r="N338" i="120"/>
  <c r="M338" i="120"/>
  <c r="R337" i="120"/>
  <c r="Q337" i="120"/>
  <c r="P337" i="120"/>
  <c r="O337" i="120"/>
  <c r="N337" i="120"/>
  <c r="M337" i="120"/>
  <c r="R336" i="120"/>
  <c r="Q336" i="120"/>
  <c r="P336" i="120"/>
  <c r="O336" i="120"/>
  <c r="N336" i="120"/>
  <c r="M336" i="120"/>
  <c r="R335" i="120"/>
  <c r="Q335" i="120"/>
  <c r="P335" i="120"/>
  <c r="O335" i="120"/>
  <c r="N335" i="120"/>
  <c r="M335" i="120"/>
  <c r="R334" i="120"/>
  <c r="Q334" i="120"/>
  <c r="P334" i="120"/>
  <c r="O334" i="120"/>
  <c r="N334" i="120"/>
  <c r="M334" i="120"/>
  <c r="R333" i="120"/>
  <c r="Q333" i="120"/>
  <c r="P333" i="120"/>
  <c r="O333" i="120"/>
  <c r="N333" i="120"/>
  <c r="M333" i="120"/>
  <c r="R332" i="120"/>
  <c r="Q332" i="120"/>
  <c r="P332" i="120"/>
  <c r="O332" i="120"/>
  <c r="N332" i="120"/>
  <c r="M332" i="120"/>
  <c r="R331" i="120"/>
  <c r="Q331" i="120"/>
  <c r="P331" i="120"/>
  <c r="O331" i="120"/>
  <c r="N331" i="120"/>
  <c r="M331" i="120"/>
  <c r="R330" i="120"/>
  <c r="Q330" i="120"/>
  <c r="P330" i="120"/>
  <c r="O330" i="120"/>
  <c r="N330" i="120"/>
  <c r="M330" i="120"/>
  <c r="R329" i="120"/>
  <c r="Q329" i="120"/>
  <c r="P329" i="120"/>
  <c r="O329" i="120"/>
  <c r="N329" i="120"/>
  <c r="M329" i="120"/>
  <c r="R328" i="120"/>
  <c r="Q328" i="120"/>
  <c r="P328" i="120"/>
  <c r="O328" i="120"/>
  <c r="N328" i="120"/>
  <c r="M328" i="120"/>
  <c r="R327" i="120"/>
  <c r="Q327" i="120"/>
  <c r="P327" i="120"/>
  <c r="O327" i="120"/>
  <c r="N327" i="120"/>
  <c r="M327" i="120"/>
  <c r="R326" i="120"/>
  <c r="Q326" i="120"/>
  <c r="P326" i="120"/>
  <c r="O326" i="120"/>
  <c r="N326" i="120"/>
  <c r="M326" i="120"/>
  <c r="R325" i="120"/>
  <c r="Q325" i="120"/>
  <c r="P325" i="120"/>
  <c r="O325" i="120"/>
  <c r="N325" i="120"/>
  <c r="M325" i="120"/>
  <c r="R324" i="120"/>
  <c r="Q324" i="120"/>
  <c r="P324" i="120"/>
  <c r="O324" i="120"/>
  <c r="N324" i="120"/>
  <c r="M324" i="120"/>
  <c r="R323" i="120"/>
  <c r="Q323" i="120"/>
  <c r="P323" i="120"/>
  <c r="O323" i="120"/>
  <c r="N323" i="120"/>
  <c r="M323" i="120"/>
  <c r="R322" i="120"/>
  <c r="Q322" i="120"/>
  <c r="P322" i="120"/>
  <c r="O322" i="120"/>
  <c r="N322" i="120"/>
  <c r="M322" i="120"/>
  <c r="R321" i="120"/>
  <c r="Q321" i="120"/>
  <c r="P321" i="120"/>
  <c r="O321" i="120"/>
  <c r="N321" i="120"/>
  <c r="M321" i="120"/>
  <c r="R320" i="120"/>
  <c r="Q320" i="120"/>
  <c r="P320" i="120"/>
  <c r="O320" i="120"/>
  <c r="N320" i="120"/>
  <c r="M320" i="120"/>
  <c r="R319" i="120"/>
  <c r="Q319" i="120"/>
  <c r="P319" i="120"/>
  <c r="O319" i="120"/>
  <c r="N319" i="120"/>
  <c r="M319" i="120"/>
  <c r="R318" i="120"/>
  <c r="Q318" i="120"/>
  <c r="P318" i="120"/>
  <c r="O318" i="120"/>
  <c r="N318" i="120"/>
  <c r="M318" i="120"/>
  <c r="R317" i="120"/>
  <c r="Q317" i="120"/>
  <c r="P317" i="120"/>
  <c r="O317" i="120"/>
  <c r="N317" i="120"/>
  <c r="M317" i="120"/>
  <c r="R316" i="120"/>
  <c r="Q316" i="120"/>
  <c r="P316" i="120"/>
  <c r="O316" i="120"/>
  <c r="N316" i="120"/>
  <c r="M316" i="120"/>
  <c r="R315" i="120"/>
  <c r="Q315" i="120"/>
  <c r="P315" i="120"/>
  <c r="O315" i="120"/>
  <c r="N315" i="120"/>
  <c r="M315" i="120"/>
  <c r="R314" i="120"/>
  <c r="Q314" i="120"/>
  <c r="P314" i="120"/>
  <c r="O314" i="120"/>
  <c r="N314" i="120"/>
  <c r="M314" i="120"/>
  <c r="R313" i="120"/>
  <c r="Q313" i="120"/>
  <c r="P313" i="120"/>
  <c r="O313" i="120"/>
  <c r="N313" i="120"/>
  <c r="M313" i="120"/>
  <c r="R312" i="120"/>
  <c r="Q312" i="120"/>
  <c r="P312" i="120"/>
  <c r="O312" i="120"/>
  <c r="N312" i="120"/>
  <c r="M312" i="120"/>
  <c r="R311" i="120"/>
  <c r="Q311" i="120"/>
  <c r="P311" i="120"/>
  <c r="O311" i="120"/>
  <c r="N311" i="120"/>
  <c r="M311" i="120"/>
  <c r="R310" i="120"/>
  <c r="Q310" i="120"/>
  <c r="P310" i="120"/>
  <c r="O310" i="120"/>
  <c r="N310" i="120"/>
  <c r="M310" i="120"/>
  <c r="R309" i="120"/>
  <c r="Q309" i="120"/>
  <c r="P309" i="120"/>
  <c r="O309" i="120"/>
  <c r="N309" i="120"/>
  <c r="M309" i="120"/>
  <c r="R308" i="120"/>
  <c r="Q308" i="120"/>
  <c r="P308" i="120"/>
  <c r="O308" i="120"/>
  <c r="N308" i="120"/>
  <c r="M308" i="120"/>
  <c r="R307" i="120"/>
  <c r="Q307" i="120"/>
  <c r="P307" i="120"/>
  <c r="O307" i="120"/>
  <c r="N307" i="120"/>
  <c r="M307" i="120"/>
  <c r="R306" i="120"/>
  <c r="Q306" i="120"/>
  <c r="P306" i="120"/>
  <c r="O306" i="120"/>
  <c r="N306" i="120"/>
  <c r="M306" i="120"/>
  <c r="R305" i="120"/>
  <c r="Q305" i="120"/>
  <c r="P305" i="120"/>
  <c r="O305" i="120"/>
  <c r="N305" i="120"/>
  <c r="M305" i="120"/>
  <c r="R304" i="120"/>
  <c r="Q304" i="120"/>
  <c r="P304" i="120"/>
  <c r="O304" i="120"/>
  <c r="N304" i="120"/>
  <c r="M304" i="120"/>
  <c r="R303" i="120"/>
  <c r="Q303" i="120"/>
  <c r="P303" i="120"/>
  <c r="O303" i="120"/>
  <c r="N303" i="120"/>
  <c r="M303" i="120"/>
  <c r="R302" i="120"/>
  <c r="Q302" i="120"/>
  <c r="P302" i="120"/>
  <c r="O302" i="120"/>
  <c r="N302" i="120"/>
  <c r="M302" i="120"/>
  <c r="R301" i="120"/>
  <c r="Q301" i="120"/>
  <c r="P301" i="120"/>
  <c r="O301" i="120"/>
  <c r="N301" i="120"/>
  <c r="M301" i="120"/>
  <c r="R300" i="120"/>
  <c r="Q300" i="120"/>
  <c r="P300" i="120"/>
  <c r="O300" i="120"/>
  <c r="N300" i="120"/>
  <c r="M300" i="120"/>
  <c r="R299" i="120"/>
  <c r="Q299" i="120"/>
  <c r="P299" i="120"/>
  <c r="O299" i="120"/>
  <c r="N299" i="120"/>
  <c r="M299" i="120"/>
  <c r="R298" i="120"/>
  <c r="Q298" i="120"/>
  <c r="P298" i="120"/>
  <c r="O298" i="120"/>
  <c r="N298" i="120"/>
  <c r="M298" i="120"/>
  <c r="R297" i="120"/>
  <c r="Q297" i="120"/>
  <c r="P297" i="120"/>
  <c r="O297" i="120"/>
  <c r="N297" i="120"/>
  <c r="M297" i="120"/>
  <c r="R296" i="120"/>
  <c r="Q296" i="120"/>
  <c r="P296" i="120"/>
  <c r="O296" i="120"/>
  <c r="N296" i="120"/>
  <c r="M296" i="120"/>
  <c r="R295" i="120"/>
  <c r="Q295" i="120"/>
  <c r="P295" i="120"/>
  <c r="O295" i="120"/>
  <c r="N295" i="120"/>
  <c r="M295" i="120"/>
  <c r="R294" i="120"/>
  <c r="Q294" i="120"/>
  <c r="P294" i="120"/>
  <c r="O294" i="120"/>
  <c r="N294" i="120"/>
  <c r="M294" i="120"/>
  <c r="R293" i="120"/>
  <c r="Q293" i="120"/>
  <c r="P293" i="120"/>
  <c r="O293" i="120"/>
  <c r="N293" i="120"/>
  <c r="M293" i="120"/>
  <c r="R292" i="120"/>
  <c r="Q292" i="120"/>
  <c r="P292" i="120"/>
  <c r="O292" i="120"/>
  <c r="N292" i="120"/>
  <c r="M292" i="120"/>
  <c r="R291" i="120"/>
  <c r="Q291" i="120"/>
  <c r="P291" i="120"/>
  <c r="O291" i="120"/>
  <c r="N291" i="120"/>
  <c r="M291" i="120"/>
  <c r="R290" i="120"/>
  <c r="Q290" i="120"/>
  <c r="P290" i="120"/>
  <c r="O290" i="120"/>
  <c r="N290" i="120"/>
  <c r="M290" i="120"/>
  <c r="R289" i="120"/>
  <c r="Q289" i="120"/>
  <c r="P289" i="120"/>
  <c r="O289" i="120"/>
  <c r="N289" i="120"/>
  <c r="M289" i="120"/>
  <c r="R288" i="120"/>
  <c r="Q288" i="120"/>
  <c r="P288" i="120"/>
  <c r="O288" i="120"/>
  <c r="N288" i="120"/>
  <c r="M288" i="120"/>
  <c r="R287" i="120"/>
  <c r="Q287" i="120"/>
  <c r="P287" i="120"/>
  <c r="O287" i="120"/>
  <c r="N287" i="120"/>
  <c r="M287" i="120"/>
  <c r="R286" i="120"/>
  <c r="Q286" i="120"/>
  <c r="P286" i="120"/>
  <c r="O286" i="120"/>
  <c r="N286" i="120"/>
  <c r="M286" i="120"/>
  <c r="R285" i="120"/>
  <c r="Q285" i="120"/>
  <c r="P285" i="120"/>
  <c r="O285" i="120"/>
  <c r="N285" i="120"/>
  <c r="M285" i="120"/>
  <c r="R284" i="120"/>
  <c r="Q284" i="120"/>
  <c r="P284" i="120"/>
  <c r="O284" i="120"/>
  <c r="N284" i="120"/>
  <c r="M284" i="120"/>
  <c r="R283" i="120"/>
  <c r="Q283" i="120"/>
  <c r="P283" i="120"/>
  <c r="O283" i="120"/>
  <c r="N283" i="120"/>
  <c r="M283" i="120"/>
  <c r="R282" i="120"/>
  <c r="Q282" i="120"/>
  <c r="P282" i="120"/>
  <c r="O282" i="120"/>
  <c r="N282" i="120"/>
  <c r="M282" i="120"/>
  <c r="R281" i="120"/>
  <c r="Q281" i="120"/>
  <c r="P281" i="120"/>
  <c r="O281" i="120"/>
  <c r="N281" i="120"/>
  <c r="M281" i="120"/>
  <c r="R280" i="120"/>
  <c r="Q280" i="120"/>
  <c r="P280" i="120"/>
  <c r="O280" i="120"/>
  <c r="N280" i="120"/>
  <c r="M280" i="120"/>
  <c r="R279" i="120"/>
  <c r="Q279" i="120"/>
  <c r="P279" i="120"/>
  <c r="O279" i="120"/>
  <c r="N279" i="120"/>
  <c r="M279" i="120"/>
  <c r="R278" i="120"/>
  <c r="Q278" i="120"/>
  <c r="P278" i="120"/>
  <c r="O278" i="120"/>
  <c r="N278" i="120"/>
  <c r="M278" i="120"/>
  <c r="R277" i="120"/>
  <c r="Q277" i="120"/>
  <c r="P277" i="120"/>
  <c r="O277" i="120"/>
  <c r="N277" i="120"/>
  <c r="M277" i="120"/>
  <c r="R276" i="120"/>
  <c r="Q276" i="120"/>
  <c r="P276" i="120"/>
  <c r="O276" i="120"/>
  <c r="N276" i="120"/>
  <c r="M276" i="120"/>
  <c r="R275" i="120"/>
  <c r="Q275" i="120"/>
  <c r="P275" i="120"/>
  <c r="O275" i="120"/>
  <c r="N275" i="120"/>
  <c r="M275" i="120"/>
  <c r="R274" i="120"/>
  <c r="Q274" i="120"/>
  <c r="P274" i="120"/>
  <c r="O274" i="120"/>
  <c r="N274" i="120"/>
  <c r="M274" i="120"/>
  <c r="R273" i="120"/>
  <c r="Q273" i="120"/>
  <c r="P273" i="120"/>
  <c r="O273" i="120"/>
  <c r="N273" i="120"/>
  <c r="M273" i="120"/>
  <c r="R272" i="120"/>
  <c r="Q272" i="120"/>
  <c r="P272" i="120"/>
  <c r="O272" i="120"/>
  <c r="N272" i="120"/>
  <c r="M272" i="120"/>
  <c r="R271" i="120"/>
  <c r="Q271" i="120"/>
  <c r="P271" i="120"/>
  <c r="O271" i="120"/>
  <c r="N271" i="120"/>
  <c r="M271" i="120"/>
  <c r="R270" i="120"/>
  <c r="Q270" i="120"/>
  <c r="P270" i="120"/>
  <c r="O270" i="120"/>
  <c r="N270" i="120"/>
  <c r="M270" i="120"/>
  <c r="R269" i="120"/>
  <c r="Q269" i="120"/>
  <c r="P269" i="120"/>
  <c r="O269" i="120"/>
  <c r="N269" i="120"/>
  <c r="M269" i="120"/>
  <c r="R268" i="120"/>
  <c r="Q268" i="120"/>
  <c r="P268" i="120"/>
  <c r="O268" i="120"/>
  <c r="N268" i="120"/>
  <c r="M268" i="120"/>
  <c r="R267" i="120"/>
  <c r="Q267" i="120"/>
  <c r="P267" i="120"/>
  <c r="O267" i="120"/>
  <c r="N267" i="120"/>
  <c r="M267" i="120"/>
  <c r="R266" i="120"/>
  <c r="Q266" i="120"/>
  <c r="P266" i="120"/>
  <c r="O266" i="120"/>
  <c r="N266" i="120"/>
  <c r="M266" i="120"/>
  <c r="R265" i="120"/>
  <c r="Q265" i="120"/>
  <c r="P265" i="120"/>
  <c r="O265" i="120"/>
  <c r="N265" i="120"/>
  <c r="M265" i="120"/>
  <c r="R264" i="120"/>
  <c r="Q264" i="120"/>
  <c r="P264" i="120"/>
  <c r="O264" i="120"/>
  <c r="N264" i="120"/>
  <c r="M264" i="120"/>
  <c r="R263" i="120"/>
  <c r="Q263" i="120"/>
  <c r="P263" i="120"/>
  <c r="O263" i="120"/>
  <c r="N263" i="120"/>
  <c r="M263" i="120"/>
  <c r="R262" i="120"/>
  <c r="Q262" i="120"/>
  <c r="P262" i="120"/>
  <c r="O262" i="120"/>
  <c r="N262" i="120"/>
  <c r="M262" i="120"/>
  <c r="R261" i="120"/>
  <c r="Q261" i="120"/>
  <c r="P261" i="120"/>
  <c r="O261" i="120"/>
  <c r="N261" i="120"/>
  <c r="M261" i="120"/>
  <c r="R260" i="120"/>
  <c r="Q260" i="120"/>
  <c r="P260" i="120"/>
  <c r="O260" i="120"/>
  <c r="N260" i="120"/>
  <c r="M260" i="120"/>
  <c r="R259" i="120"/>
  <c r="Q259" i="120"/>
  <c r="P259" i="120"/>
  <c r="O259" i="120"/>
  <c r="N259" i="120"/>
  <c r="M259" i="120"/>
  <c r="R258" i="120"/>
  <c r="Q258" i="120"/>
  <c r="P258" i="120"/>
  <c r="O258" i="120"/>
  <c r="N258" i="120"/>
  <c r="M258" i="120"/>
  <c r="R257" i="120"/>
  <c r="Q257" i="120"/>
  <c r="P257" i="120"/>
  <c r="O257" i="120"/>
  <c r="N257" i="120"/>
  <c r="M257" i="120"/>
  <c r="R256" i="120"/>
  <c r="Q256" i="120"/>
  <c r="P256" i="120"/>
  <c r="O256" i="120"/>
  <c r="N256" i="120"/>
  <c r="M256" i="120"/>
  <c r="R255" i="120"/>
  <c r="Q255" i="120"/>
  <c r="P255" i="120"/>
  <c r="O255" i="120"/>
  <c r="N255" i="120"/>
  <c r="M255" i="120"/>
  <c r="R254" i="120"/>
  <c r="Q254" i="120"/>
  <c r="P254" i="120"/>
  <c r="O254" i="120"/>
  <c r="N254" i="120"/>
  <c r="M254" i="120"/>
  <c r="R253" i="120"/>
  <c r="Q253" i="120"/>
  <c r="P253" i="120"/>
  <c r="O253" i="120"/>
  <c r="N253" i="120"/>
  <c r="M253" i="120"/>
  <c r="R252" i="120"/>
  <c r="Q252" i="120"/>
  <c r="P252" i="120"/>
  <c r="O252" i="120"/>
  <c r="N252" i="120"/>
  <c r="M252" i="120"/>
  <c r="R251" i="120"/>
  <c r="Q251" i="120"/>
  <c r="P251" i="120"/>
  <c r="O251" i="120"/>
  <c r="N251" i="120"/>
  <c r="M251" i="120"/>
  <c r="R250" i="120"/>
  <c r="Q250" i="120"/>
  <c r="P250" i="120"/>
  <c r="O250" i="120"/>
  <c r="N250" i="120"/>
  <c r="M250" i="120"/>
  <c r="R249" i="120"/>
  <c r="Q249" i="120"/>
  <c r="P249" i="120"/>
  <c r="O249" i="120"/>
  <c r="N249" i="120"/>
  <c r="M249" i="120"/>
  <c r="R248" i="120"/>
  <c r="Q248" i="120"/>
  <c r="P248" i="120"/>
  <c r="O248" i="120"/>
  <c r="N248" i="120"/>
  <c r="M248" i="120"/>
  <c r="R247" i="120"/>
  <c r="Q247" i="120"/>
  <c r="P247" i="120"/>
  <c r="O247" i="120"/>
  <c r="N247" i="120"/>
  <c r="M247" i="120"/>
  <c r="R246" i="120"/>
  <c r="Q246" i="120"/>
  <c r="P246" i="120"/>
  <c r="O246" i="120"/>
  <c r="N246" i="120"/>
  <c r="M246" i="120"/>
  <c r="R245" i="120"/>
  <c r="Q245" i="120"/>
  <c r="P245" i="120"/>
  <c r="O245" i="120"/>
  <c r="N245" i="120"/>
  <c r="M245" i="120"/>
  <c r="R244" i="120"/>
  <c r="Q244" i="120"/>
  <c r="P244" i="120"/>
  <c r="O244" i="120"/>
  <c r="N244" i="120"/>
  <c r="M244" i="120"/>
  <c r="R243" i="120"/>
  <c r="Q243" i="120"/>
  <c r="P243" i="120"/>
  <c r="O243" i="120"/>
  <c r="N243" i="120"/>
  <c r="M243" i="120"/>
  <c r="R242" i="120"/>
  <c r="Q242" i="120"/>
  <c r="P242" i="120"/>
  <c r="O242" i="120"/>
  <c r="N242" i="120"/>
  <c r="M242" i="120"/>
  <c r="R241" i="120"/>
  <c r="Q241" i="120"/>
  <c r="P241" i="120"/>
  <c r="O241" i="120"/>
  <c r="N241" i="120"/>
  <c r="M241" i="120"/>
  <c r="R240" i="120"/>
  <c r="Q240" i="120"/>
  <c r="P240" i="120"/>
  <c r="O240" i="120"/>
  <c r="N240" i="120"/>
  <c r="M240" i="120"/>
  <c r="R239" i="120"/>
  <c r="Q239" i="120"/>
  <c r="P239" i="120"/>
  <c r="O239" i="120"/>
  <c r="N239" i="120"/>
  <c r="M239" i="120"/>
  <c r="R238" i="120"/>
  <c r="Q238" i="120"/>
  <c r="P238" i="120"/>
  <c r="O238" i="120"/>
  <c r="N238" i="120"/>
  <c r="M238" i="120"/>
  <c r="R237" i="120"/>
  <c r="Q237" i="120"/>
  <c r="P237" i="120"/>
  <c r="O237" i="120"/>
  <c r="N237" i="120"/>
  <c r="M237" i="120"/>
  <c r="R236" i="120"/>
  <c r="Q236" i="120"/>
  <c r="P236" i="120"/>
  <c r="O236" i="120"/>
  <c r="N236" i="120"/>
  <c r="M236" i="120"/>
  <c r="R235" i="120"/>
  <c r="Q235" i="120"/>
  <c r="P235" i="120"/>
  <c r="O235" i="120"/>
  <c r="N235" i="120"/>
  <c r="M235" i="120"/>
  <c r="R234" i="120"/>
  <c r="Q234" i="120"/>
  <c r="P234" i="120"/>
  <c r="O234" i="120"/>
  <c r="N234" i="120"/>
  <c r="M234" i="120"/>
  <c r="R233" i="120"/>
  <c r="Q233" i="120"/>
  <c r="P233" i="120"/>
  <c r="O233" i="120"/>
  <c r="N233" i="120"/>
  <c r="M233" i="120"/>
  <c r="R232" i="120"/>
  <c r="Q232" i="120"/>
  <c r="P232" i="120"/>
  <c r="O232" i="120"/>
  <c r="N232" i="120"/>
  <c r="M232" i="120"/>
  <c r="R231" i="120"/>
  <c r="Q231" i="120"/>
  <c r="P231" i="120"/>
  <c r="O231" i="120"/>
  <c r="N231" i="120"/>
  <c r="M231" i="120"/>
  <c r="R230" i="120"/>
  <c r="Q230" i="120"/>
  <c r="P230" i="120"/>
  <c r="O230" i="120"/>
  <c r="N230" i="120"/>
  <c r="M230" i="120"/>
  <c r="R229" i="120"/>
  <c r="Q229" i="120"/>
  <c r="P229" i="120"/>
  <c r="O229" i="120"/>
  <c r="N229" i="120"/>
  <c r="M229" i="120"/>
  <c r="R228" i="120"/>
  <c r="Q228" i="120"/>
  <c r="P228" i="120"/>
  <c r="O228" i="120"/>
  <c r="N228" i="120"/>
  <c r="M228" i="120"/>
  <c r="R227" i="120"/>
  <c r="Q227" i="120"/>
  <c r="P227" i="120"/>
  <c r="O227" i="120"/>
  <c r="N227" i="120"/>
  <c r="M227" i="120"/>
  <c r="R226" i="120"/>
  <c r="Q226" i="120"/>
  <c r="P226" i="120"/>
  <c r="O226" i="120"/>
  <c r="N226" i="120"/>
  <c r="M226" i="120"/>
  <c r="R225" i="120"/>
  <c r="Q225" i="120"/>
  <c r="P225" i="120"/>
  <c r="O225" i="120"/>
  <c r="N225" i="120"/>
  <c r="M225" i="120"/>
  <c r="R224" i="120"/>
  <c r="Q224" i="120"/>
  <c r="P224" i="120"/>
  <c r="O224" i="120"/>
  <c r="N224" i="120"/>
  <c r="M224" i="120"/>
  <c r="R223" i="120"/>
  <c r="Q223" i="120"/>
  <c r="P223" i="120"/>
  <c r="O223" i="120"/>
  <c r="N223" i="120"/>
  <c r="M223" i="120"/>
  <c r="R222" i="120"/>
  <c r="Q222" i="120"/>
  <c r="P222" i="120"/>
  <c r="O222" i="120"/>
  <c r="N222" i="120"/>
  <c r="M222" i="120"/>
  <c r="R221" i="120"/>
  <c r="Q221" i="120"/>
  <c r="P221" i="120"/>
  <c r="O221" i="120"/>
  <c r="N221" i="120"/>
  <c r="M221" i="120"/>
  <c r="R220" i="120"/>
  <c r="Q220" i="120"/>
  <c r="P220" i="120"/>
  <c r="O220" i="120"/>
  <c r="N220" i="120"/>
  <c r="M220" i="120"/>
  <c r="R219" i="120"/>
  <c r="Q219" i="120"/>
  <c r="P219" i="120"/>
  <c r="O219" i="120"/>
  <c r="N219" i="120"/>
  <c r="M219" i="120"/>
  <c r="R218" i="120"/>
  <c r="Q218" i="120"/>
  <c r="P218" i="120"/>
  <c r="O218" i="120"/>
  <c r="N218" i="120"/>
  <c r="M218" i="120"/>
  <c r="R217" i="120"/>
  <c r="Q217" i="120"/>
  <c r="P217" i="120"/>
  <c r="O217" i="120"/>
  <c r="N217" i="120"/>
  <c r="M217" i="120"/>
  <c r="R216" i="120"/>
  <c r="Q216" i="120"/>
  <c r="P216" i="120"/>
  <c r="O216" i="120"/>
  <c r="N216" i="120"/>
  <c r="M216" i="120"/>
  <c r="R215" i="120"/>
  <c r="Q215" i="120"/>
  <c r="P215" i="120"/>
  <c r="O215" i="120"/>
  <c r="N215" i="120"/>
  <c r="M215" i="120"/>
  <c r="R214" i="120"/>
  <c r="Q214" i="120"/>
  <c r="P214" i="120"/>
  <c r="O214" i="120"/>
  <c r="N214" i="120"/>
  <c r="M214" i="120"/>
  <c r="R213" i="120"/>
  <c r="Q213" i="120"/>
  <c r="P213" i="120"/>
  <c r="O213" i="120"/>
  <c r="N213" i="120"/>
  <c r="M213" i="120"/>
  <c r="R212" i="120"/>
  <c r="Q212" i="120"/>
  <c r="P212" i="120"/>
  <c r="O212" i="120"/>
  <c r="N212" i="120"/>
  <c r="M212" i="120"/>
  <c r="R211" i="120"/>
  <c r="Q211" i="120"/>
  <c r="P211" i="120"/>
  <c r="O211" i="120"/>
  <c r="N211" i="120"/>
  <c r="M211" i="120"/>
  <c r="R210" i="120"/>
  <c r="Q210" i="120"/>
  <c r="P210" i="120"/>
  <c r="O210" i="120"/>
  <c r="N210" i="120"/>
  <c r="M210" i="120"/>
  <c r="R209" i="120"/>
  <c r="Q209" i="120"/>
  <c r="P209" i="120"/>
  <c r="O209" i="120"/>
  <c r="N209" i="120"/>
  <c r="M209" i="120"/>
  <c r="R208" i="120"/>
  <c r="Q208" i="120"/>
  <c r="P208" i="120"/>
  <c r="O208" i="120"/>
  <c r="N208" i="120"/>
  <c r="M208" i="120"/>
  <c r="R207" i="120"/>
  <c r="Q207" i="120"/>
  <c r="P207" i="120"/>
  <c r="O207" i="120"/>
  <c r="N207" i="120"/>
  <c r="M207" i="120"/>
  <c r="R206" i="120"/>
  <c r="Q206" i="120"/>
  <c r="P206" i="120"/>
  <c r="O206" i="120"/>
  <c r="N206" i="120"/>
  <c r="M206" i="120"/>
  <c r="R205" i="120"/>
  <c r="Q205" i="120"/>
  <c r="P205" i="120"/>
  <c r="O205" i="120"/>
  <c r="N205" i="120"/>
  <c r="M205" i="120"/>
  <c r="R204" i="120"/>
  <c r="Q204" i="120"/>
  <c r="P204" i="120"/>
  <c r="O204" i="120"/>
  <c r="N204" i="120"/>
  <c r="M204" i="120"/>
  <c r="R203" i="120"/>
  <c r="Q203" i="120"/>
  <c r="P203" i="120"/>
  <c r="O203" i="120"/>
  <c r="N203" i="120"/>
  <c r="M203" i="120"/>
  <c r="R202" i="120"/>
  <c r="Q202" i="120"/>
  <c r="P202" i="120"/>
  <c r="O202" i="120"/>
  <c r="N202" i="120"/>
  <c r="M202" i="120"/>
  <c r="R201" i="120"/>
  <c r="Q201" i="120"/>
  <c r="P201" i="120"/>
  <c r="O201" i="120"/>
  <c r="N201" i="120"/>
  <c r="M201" i="120"/>
  <c r="R200" i="120"/>
  <c r="Q200" i="120"/>
  <c r="P200" i="120"/>
  <c r="O200" i="120"/>
  <c r="N200" i="120"/>
  <c r="M200" i="120"/>
  <c r="R199" i="120"/>
  <c r="Q199" i="120"/>
  <c r="P199" i="120"/>
  <c r="O199" i="120"/>
  <c r="N199" i="120"/>
  <c r="M199" i="120"/>
  <c r="R198" i="120"/>
  <c r="Q198" i="120"/>
  <c r="P198" i="120"/>
  <c r="O198" i="120"/>
  <c r="N198" i="120"/>
  <c r="M198" i="120"/>
  <c r="R197" i="120"/>
  <c r="Q197" i="120"/>
  <c r="P197" i="120"/>
  <c r="O197" i="120"/>
  <c r="N197" i="120"/>
  <c r="M197" i="120"/>
  <c r="R196" i="120"/>
  <c r="Q196" i="120"/>
  <c r="P196" i="120"/>
  <c r="O196" i="120"/>
  <c r="N196" i="120"/>
  <c r="M196" i="120"/>
  <c r="R195" i="120"/>
  <c r="Q195" i="120"/>
  <c r="P195" i="120"/>
  <c r="O195" i="120"/>
  <c r="N195" i="120"/>
  <c r="M195" i="120"/>
  <c r="R194" i="120"/>
  <c r="Q194" i="120"/>
  <c r="P194" i="120"/>
  <c r="O194" i="120"/>
  <c r="N194" i="120"/>
  <c r="M194" i="120"/>
  <c r="R193" i="120"/>
  <c r="Q193" i="120"/>
  <c r="P193" i="120"/>
  <c r="O193" i="120"/>
  <c r="N193" i="120"/>
  <c r="M193" i="120"/>
  <c r="R192" i="120"/>
  <c r="Q192" i="120"/>
  <c r="P192" i="120"/>
  <c r="O192" i="120"/>
  <c r="N192" i="120"/>
  <c r="M192" i="120"/>
  <c r="R191" i="120"/>
  <c r="Q191" i="120"/>
  <c r="P191" i="120"/>
  <c r="O191" i="120"/>
  <c r="N191" i="120"/>
  <c r="M191" i="120"/>
  <c r="R190" i="120"/>
  <c r="Q190" i="120"/>
  <c r="P190" i="120"/>
  <c r="O190" i="120"/>
  <c r="N190" i="120"/>
  <c r="M190" i="120"/>
  <c r="R189" i="120"/>
  <c r="Q189" i="120"/>
  <c r="P189" i="120"/>
  <c r="O189" i="120"/>
  <c r="N189" i="120"/>
  <c r="M189" i="120"/>
  <c r="R188" i="120"/>
  <c r="Q188" i="120"/>
  <c r="P188" i="120"/>
  <c r="O188" i="120"/>
  <c r="N188" i="120"/>
  <c r="M188" i="120"/>
  <c r="R187" i="120"/>
  <c r="Q187" i="120"/>
  <c r="P187" i="120"/>
  <c r="O187" i="120"/>
  <c r="N187" i="120"/>
  <c r="M187" i="120"/>
  <c r="R186" i="120"/>
  <c r="Q186" i="120"/>
  <c r="P186" i="120"/>
  <c r="O186" i="120"/>
  <c r="N186" i="120"/>
  <c r="M186" i="120"/>
  <c r="R185" i="120"/>
  <c r="Q185" i="120"/>
  <c r="P185" i="120"/>
  <c r="O185" i="120"/>
  <c r="N185" i="120"/>
  <c r="M185" i="120"/>
  <c r="R184" i="120"/>
  <c r="Q184" i="120"/>
  <c r="P184" i="120"/>
  <c r="O184" i="120"/>
  <c r="N184" i="120"/>
  <c r="M184" i="120"/>
  <c r="R183" i="120"/>
  <c r="Q183" i="120"/>
  <c r="P183" i="120"/>
  <c r="O183" i="120"/>
  <c r="N183" i="120"/>
  <c r="M183" i="120"/>
  <c r="R182" i="120"/>
  <c r="Q182" i="120"/>
  <c r="P182" i="120"/>
  <c r="O182" i="120"/>
  <c r="N182" i="120"/>
  <c r="M182" i="120"/>
  <c r="R181" i="120"/>
  <c r="Q181" i="120"/>
  <c r="P181" i="120"/>
  <c r="O181" i="120"/>
  <c r="N181" i="120"/>
  <c r="M181" i="120"/>
  <c r="R180" i="120"/>
  <c r="Q180" i="120"/>
  <c r="P180" i="120"/>
  <c r="O180" i="120"/>
  <c r="N180" i="120"/>
  <c r="M180" i="120"/>
  <c r="R179" i="120"/>
  <c r="Q179" i="120"/>
  <c r="P179" i="120"/>
  <c r="O179" i="120"/>
  <c r="N179" i="120"/>
  <c r="M179" i="120"/>
  <c r="R178" i="120"/>
  <c r="Q178" i="120"/>
  <c r="P178" i="120"/>
  <c r="O178" i="120"/>
  <c r="N178" i="120"/>
  <c r="M178" i="120"/>
  <c r="R177" i="120"/>
  <c r="Q177" i="120"/>
  <c r="P177" i="120"/>
  <c r="O177" i="120"/>
  <c r="N177" i="120"/>
  <c r="M177" i="120"/>
  <c r="R176" i="120"/>
  <c r="Q176" i="120"/>
  <c r="P176" i="120"/>
  <c r="O176" i="120"/>
  <c r="N176" i="120"/>
  <c r="M176" i="120"/>
  <c r="R175" i="120"/>
  <c r="Q175" i="120"/>
  <c r="P175" i="120"/>
  <c r="O175" i="120"/>
  <c r="N175" i="120"/>
  <c r="M175" i="120"/>
  <c r="R174" i="120"/>
  <c r="Q174" i="120"/>
  <c r="P174" i="120"/>
  <c r="O174" i="120"/>
  <c r="N174" i="120"/>
  <c r="M174" i="120"/>
  <c r="R173" i="120"/>
  <c r="Q173" i="120"/>
  <c r="P173" i="120"/>
  <c r="O173" i="120"/>
  <c r="N173" i="120"/>
  <c r="M173" i="120"/>
  <c r="R172" i="120"/>
  <c r="Q172" i="120"/>
  <c r="P172" i="120"/>
  <c r="O172" i="120"/>
  <c r="N172" i="120"/>
  <c r="M172" i="120"/>
  <c r="R171" i="120"/>
  <c r="Q171" i="120"/>
  <c r="P171" i="120"/>
  <c r="O171" i="120"/>
  <c r="N171" i="120"/>
  <c r="M171" i="120"/>
  <c r="R170" i="120"/>
  <c r="Q170" i="120"/>
  <c r="P170" i="120"/>
  <c r="O170" i="120"/>
  <c r="N170" i="120"/>
  <c r="M170" i="120"/>
  <c r="R169" i="120"/>
  <c r="Q169" i="120"/>
  <c r="P169" i="120"/>
  <c r="O169" i="120"/>
  <c r="N169" i="120"/>
  <c r="M169" i="120"/>
  <c r="R168" i="120"/>
  <c r="Q168" i="120"/>
  <c r="P168" i="120"/>
  <c r="O168" i="120"/>
  <c r="N168" i="120"/>
  <c r="M168" i="120"/>
  <c r="R167" i="120"/>
  <c r="Q167" i="120"/>
  <c r="P167" i="120"/>
  <c r="O167" i="120"/>
  <c r="N167" i="120"/>
  <c r="M167" i="120"/>
  <c r="R166" i="120"/>
  <c r="Q166" i="120"/>
  <c r="P166" i="120"/>
  <c r="O166" i="120"/>
  <c r="N166" i="120"/>
  <c r="M166" i="120"/>
  <c r="R165" i="120"/>
  <c r="Q165" i="120"/>
  <c r="P165" i="120"/>
  <c r="O165" i="120"/>
  <c r="N165" i="120"/>
  <c r="M165" i="120"/>
  <c r="R164" i="120"/>
  <c r="Q164" i="120"/>
  <c r="P164" i="120"/>
  <c r="O164" i="120"/>
  <c r="N164" i="120"/>
  <c r="M164" i="120"/>
  <c r="R163" i="120"/>
  <c r="Q163" i="120"/>
  <c r="P163" i="120"/>
  <c r="O163" i="120"/>
  <c r="N163" i="120"/>
  <c r="M163" i="120"/>
  <c r="R162" i="120"/>
  <c r="Q162" i="120"/>
  <c r="P162" i="120"/>
  <c r="O162" i="120"/>
  <c r="N162" i="120"/>
  <c r="M162" i="120"/>
  <c r="R161" i="120"/>
  <c r="Q161" i="120"/>
  <c r="P161" i="120"/>
  <c r="O161" i="120"/>
  <c r="N161" i="120"/>
  <c r="M161" i="120"/>
  <c r="R160" i="120"/>
  <c r="Q160" i="120"/>
  <c r="P160" i="120"/>
  <c r="O160" i="120"/>
  <c r="N160" i="120"/>
  <c r="M160" i="120"/>
  <c r="R159" i="120"/>
  <c r="Q159" i="120"/>
  <c r="P159" i="120"/>
  <c r="O159" i="120"/>
  <c r="N159" i="120"/>
  <c r="M159" i="120"/>
  <c r="R158" i="120"/>
  <c r="Q158" i="120"/>
  <c r="P158" i="120"/>
  <c r="O158" i="120"/>
  <c r="N158" i="120"/>
  <c r="M158" i="120"/>
  <c r="R157" i="120"/>
  <c r="Q157" i="120"/>
  <c r="P157" i="120"/>
  <c r="O157" i="120"/>
  <c r="N157" i="120"/>
  <c r="M157" i="120"/>
  <c r="R156" i="120"/>
  <c r="Q156" i="120"/>
  <c r="P156" i="120"/>
  <c r="O156" i="120"/>
  <c r="N156" i="120"/>
  <c r="M156" i="120"/>
  <c r="R155" i="120"/>
  <c r="Q155" i="120"/>
  <c r="P155" i="120"/>
  <c r="O155" i="120"/>
  <c r="N155" i="120"/>
  <c r="M155" i="120"/>
  <c r="R154" i="120"/>
  <c r="Q154" i="120"/>
  <c r="P154" i="120"/>
  <c r="O154" i="120"/>
  <c r="N154" i="120"/>
  <c r="M154" i="120"/>
  <c r="R153" i="120"/>
  <c r="Q153" i="120"/>
  <c r="P153" i="120"/>
  <c r="O153" i="120"/>
  <c r="N153" i="120"/>
  <c r="M153" i="120"/>
  <c r="R152" i="120"/>
  <c r="Q152" i="120"/>
  <c r="P152" i="120"/>
  <c r="O152" i="120"/>
  <c r="N152" i="120"/>
  <c r="M152" i="120"/>
  <c r="R151" i="120"/>
  <c r="Q151" i="120"/>
  <c r="P151" i="120"/>
  <c r="O151" i="120"/>
  <c r="N151" i="120"/>
  <c r="M151" i="120"/>
  <c r="R150" i="120"/>
  <c r="Q150" i="120"/>
  <c r="P150" i="120"/>
  <c r="O150" i="120"/>
  <c r="N150" i="120"/>
  <c r="M150" i="120"/>
  <c r="R149" i="120"/>
  <c r="Q149" i="120"/>
  <c r="P149" i="120"/>
  <c r="O149" i="120"/>
  <c r="N149" i="120"/>
  <c r="M149" i="120"/>
  <c r="R148" i="120"/>
  <c r="Q148" i="120"/>
  <c r="P148" i="120"/>
  <c r="O148" i="120"/>
  <c r="N148" i="120"/>
  <c r="M148" i="120"/>
  <c r="R147" i="120"/>
  <c r="Q147" i="120"/>
  <c r="P147" i="120"/>
  <c r="O147" i="120"/>
  <c r="N147" i="120"/>
  <c r="M147" i="120"/>
  <c r="R146" i="120"/>
  <c r="Q146" i="120"/>
  <c r="P146" i="120"/>
  <c r="O146" i="120"/>
  <c r="N146" i="120"/>
  <c r="M146" i="120"/>
  <c r="R145" i="120"/>
  <c r="Q145" i="120"/>
  <c r="P145" i="120"/>
  <c r="O145" i="120"/>
  <c r="N145" i="120"/>
  <c r="M145" i="120"/>
  <c r="R144" i="120"/>
  <c r="Q144" i="120"/>
  <c r="P144" i="120"/>
  <c r="O144" i="120"/>
  <c r="N144" i="120"/>
  <c r="M144" i="120"/>
  <c r="R143" i="120"/>
  <c r="Q143" i="120"/>
  <c r="P143" i="120"/>
  <c r="O143" i="120"/>
  <c r="N143" i="120"/>
  <c r="M143" i="120"/>
  <c r="R142" i="120"/>
  <c r="Q142" i="120"/>
  <c r="P142" i="120"/>
  <c r="O142" i="120"/>
  <c r="N142" i="120"/>
  <c r="M142" i="120"/>
  <c r="R141" i="120"/>
  <c r="Q141" i="120"/>
  <c r="P141" i="120"/>
  <c r="O141" i="120"/>
  <c r="N141" i="120"/>
  <c r="M141" i="120"/>
  <c r="R140" i="120"/>
  <c r="Q140" i="120"/>
  <c r="P140" i="120"/>
  <c r="O140" i="120"/>
  <c r="N140" i="120"/>
  <c r="M140" i="120"/>
  <c r="R139" i="120"/>
  <c r="Q139" i="120"/>
  <c r="P139" i="120"/>
  <c r="O139" i="120"/>
  <c r="N139" i="120"/>
  <c r="M139" i="120"/>
  <c r="R138" i="120"/>
  <c r="Q138" i="120"/>
  <c r="P138" i="120"/>
  <c r="O138" i="120"/>
  <c r="N138" i="120"/>
  <c r="M138" i="120"/>
  <c r="R137" i="120"/>
  <c r="Q137" i="120"/>
  <c r="P137" i="120"/>
  <c r="O137" i="120"/>
  <c r="N137" i="120"/>
  <c r="M137" i="120"/>
  <c r="R136" i="120"/>
  <c r="Q136" i="120"/>
  <c r="P136" i="120"/>
  <c r="O136" i="120"/>
  <c r="N136" i="120"/>
  <c r="M136" i="120"/>
  <c r="R135" i="120"/>
  <c r="Q135" i="120"/>
  <c r="P135" i="120"/>
  <c r="O135" i="120"/>
  <c r="N135" i="120"/>
  <c r="M135" i="120"/>
  <c r="R134" i="120"/>
  <c r="Q134" i="120"/>
  <c r="P134" i="120"/>
  <c r="O134" i="120"/>
  <c r="N134" i="120"/>
  <c r="M134" i="120"/>
  <c r="R133" i="120"/>
  <c r="Q133" i="120"/>
  <c r="P133" i="120"/>
  <c r="O133" i="120"/>
  <c r="N133" i="120"/>
  <c r="M133" i="120"/>
  <c r="R132" i="120"/>
  <c r="Q132" i="120"/>
  <c r="P132" i="120"/>
  <c r="O132" i="120"/>
  <c r="N132" i="120"/>
  <c r="M132" i="120"/>
  <c r="R131" i="120"/>
  <c r="Q131" i="120"/>
  <c r="P131" i="120"/>
  <c r="O131" i="120"/>
  <c r="N131" i="120"/>
  <c r="M131" i="120"/>
  <c r="R130" i="120"/>
  <c r="Q130" i="120"/>
  <c r="P130" i="120"/>
  <c r="O130" i="120"/>
  <c r="N130" i="120"/>
  <c r="M130" i="120"/>
  <c r="R129" i="120"/>
  <c r="Q129" i="120"/>
  <c r="P129" i="120"/>
  <c r="O129" i="120"/>
  <c r="N129" i="120"/>
  <c r="M129" i="120"/>
  <c r="R128" i="120"/>
  <c r="Q128" i="120"/>
  <c r="P128" i="120"/>
  <c r="O128" i="120"/>
  <c r="N128" i="120"/>
  <c r="M128" i="120"/>
  <c r="R127" i="120"/>
  <c r="Q127" i="120"/>
  <c r="P127" i="120"/>
  <c r="O127" i="120"/>
  <c r="N127" i="120"/>
  <c r="M127" i="120"/>
  <c r="R126" i="120"/>
  <c r="Q126" i="120"/>
  <c r="P126" i="120"/>
  <c r="O126" i="120"/>
  <c r="N126" i="120"/>
  <c r="M126" i="120"/>
  <c r="R125" i="120"/>
  <c r="Q125" i="120"/>
  <c r="P125" i="120"/>
  <c r="O125" i="120"/>
  <c r="N125" i="120"/>
  <c r="M125" i="120"/>
  <c r="R124" i="120"/>
  <c r="Q124" i="120"/>
  <c r="P124" i="120"/>
  <c r="O124" i="120"/>
  <c r="N124" i="120"/>
  <c r="M124" i="120"/>
  <c r="R123" i="120"/>
  <c r="Q123" i="120"/>
  <c r="P123" i="120"/>
  <c r="O123" i="120"/>
  <c r="N123" i="120"/>
  <c r="M123" i="120"/>
  <c r="R122" i="120"/>
  <c r="Q122" i="120"/>
  <c r="P122" i="120"/>
  <c r="O122" i="120"/>
  <c r="N122" i="120"/>
  <c r="M122" i="120"/>
  <c r="R121" i="120"/>
  <c r="Q121" i="120"/>
  <c r="P121" i="120"/>
  <c r="O121" i="120"/>
  <c r="N121" i="120"/>
  <c r="M121" i="120"/>
  <c r="R120" i="120"/>
  <c r="Q120" i="120"/>
  <c r="P120" i="120"/>
  <c r="O120" i="120"/>
  <c r="N120" i="120"/>
  <c r="M120" i="120"/>
  <c r="R119" i="120"/>
  <c r="Q119" i="120"/>
  <c r="P119" i="120"/>
  <c r="O119" i="120"/>
  <c r="N119" i="120"/>
  <c r="M119" i="120"/>
  <c r="R118" i="120"/>
  <c r="Q118" i="120"/>
  <c r="P118" i="120"/>
  <c r="O118" i="120"/>
  <c r="N118" i="120"/>
  <c r="M118" i="120"/>
  <c r="R117" i="120"/>
  <c r="Q117" i="120"/>
  <c r="P117" i="120"/>
  <c r="O117" i="120"/>
  <c r="N117" i="120"/>
  <c r="M117" i="120"/>
  <c r="R116" i="120"/>
  <c r="Q116" i="120"/>
  <c r="P116" i="120"/>
  <c r="O116" i="120"/>
  <c r="N116" i="120"/>
  <c r="M116" i="120"/>
  <c r="R115" i="120"/>
  <c r="Q115" i="120"/>
  <c r="P115" i="120"/>
  <c r="O115" i="120"/>
  <c r="N115" i="120"/>
  <c r="M115" i="120"/>
  <c r="R114" i="120"/>
  <c r="Q114" i="120"/>
  <c r="P114" i="120"/>
  <c r="O114" i="120"/>
  <c r="N114" i="120"/>
  <c r="M114" i="120"/>
  <c r="R113" i="120"/>
  <c r="Q113" i="120"/>
  <c r="P113" i="120"/>
  <c r="O113" i="120"/>
  <c r="N113" i="120"/>
  <c r="M113" i="120"/>
  <c r="R112" i="120"/>
  <c r="Q112" i="120"/>
  <c r="P112" i="120"/>
  <c r="O112" i="120"/>
  <c r="N112" i="120"/>
  <c r="M112" i="120"/>
  <c r="R111" i="120"/>
  <c r="Q111" i="120"/>
  <c r="P111" i="120"/>
  <c r="O111" i="120"/>
  <c r="N111" i="120"/>
  <c r="M111" i="120"/>
  <c r="R110" i="120"/>
  <c r="Q110" i="120"/>
  <c r="P110" i="120"/>
  <c r="O110" i="120"/>
  <c r="N110" i="120"/>
  <c r="M110" i="120"/>
  <c r="R109" i="120"/>
  <c r="Q109" i="120"/>
  <c r="P109" i="120"/>
  <c r="O109" i="120"/>
  <c r="N109" i="120"/>
  <c r="M109" i="120"/>
  <c r="R108" i="120"/>
  <c r="Q108" i="120"/>
  <c r="P108" i="120"/>
  <c r="O108" i="120"/>
  <c r="N108" i="120"/>
  <c r="M108" i="120"/>
  <c r="R107" i="120"/>
  <c r="Q107" i="120"/>
  <c r="P107" i="120"/>
  <c r="O107" i="120"/>
  <c r="N107" i="120"/>
  <c r="M107" i="120"/>
  <c r="R106" i="120"/>
  <c r="Q106" i="120"/>
  <c r="P106" i="120"/>
  <c r="O106" i="120"/>
  <c r="N106" i="120"/>
  <c r="M106" i="120"/>
  <c r="R105" i="120"/>
  <c r="Q105" i="120"/>
  <c r="P105" i="120"/>
  <c r="O105" i="120"/>
  <c r="N105" i="120"/>
  <c r="M105" i="120"/>
  <c r="R104" i="120"/>
  <c r="Q104" i="120"/>
  <c r="P104" i="120"/>
  <c r="O104" i="120"/>
  <c r="N104" i="120"/>
  <c r="M104" i="120"/>
  <c r="R103" i="120"/>
  <c r="Q103" i="120"/>
  <c r="P103" i="120"/>
  <c r="O103" i="120"/>
  <c r="N103" i="120"/>
  <c r="M103" i="120"/>
  <c r="R102" i="120"/>
  <c r="Q102" i="120"/>
  <c r="P102" i="120"/>
  <c r="O102" i="120"/>
  <c r="N102" i="120"/>
  <c r="M102" i="120"/>
  <c r="R101" i="120"/>
  <c r="Q101" i="120"/>
  <c r="P101" i="120"/>
  <c r="O101" i="120"/>
  <c r="N101" i="120"/>
  <c r="M101" i="120"/>
  <c r="R100" i="120"/>
  <c r="Q100" i="120"/>
  <c r="P100" i="120"/>
  <c r="O100" i="120"/>
  <c r="N100" i="120"/>
  <c r="M100" i="120"/>
  <c r="R99" i="120"/>
  <c r="Q99" i="120"/>
  <c r="P99" i="120"/>
  <c r="O99" i="120"/>
  <c r="N99" i="120"/>
  <c r="M99" i="120"/>
  <c r="R98" i="120"/>
  <c r="Q98" i="120"/>
  <c r="P98" i="120"/>
  <c r="O98" i="120"/>
  <c r="N98" i="120"/>
  <c r="M98" i="120"/>
  <c r="R97" i="120"/>
  <c r="Q97" i="120"/>
  <c r="P97" i="120"/>
  <c r="O97" i="120"/>
  <c r="N97" i="120"/>
  <c r="M97" i="120"/>
  <c r="R96" i="120"/>
  <c r="Q96" i="120"/>
  <c r="P96" i="120"/>
  <c r="O96" i="120"/>
  <c r="N96" i="120"/>
  <c r="M96" i="120"/>
  <c r="R95" i="120"/>
  <c r="Q95" i="120"/>
  <c r="P95" i="120"/>
  <c r="O95" i="120"/>
  <c r="N95" i="120"/>
  <c r="M95" i="120"/>
  <c r="R94" i="120"/>
  <c r="Q94" i="120"/>
  <c r="P94" i="120"/>
  <c r="O94" i="120"/>
  <c r="N94" i="120"/>
  <c r="M94" i="120"/>
  <c r="R93" i="120"/>
  <c r="Q93" i="120"/>
  <c r="P93" i="120"/>
  <c r="O93" i="120"/>
  <c r="N93" i="120"/>
  <c r="M93" i="120"/>
  <c r="R92" i="120"/>
  <c r="Q92" i="120"/>
  <c r="P92" i="120"/>
  <c r="O92" i="120"/>
  <c r="N92" i="120"/>
  <c r="M92" i="120"/>
  <c r="R91" i="120"/>
  <c r="Q91" i="120"/>
  <c r="P91" i="120"/>
  <c r="O91" i="120"/>
  <c r="N91" i="120"/>
  <c r="M91" i="120"/>
  <c r="R90" i="120"/>
  <c r="Q90" i="120"/>
  <c r="P90" i="120"/>
  <c r="O90" i="120"/>
  <c r="N90" i="120"/>
  <c r="M90" i="120"/>
  <c r="R89" i="120"/>
  <c r="Q89" i="120"/>
  <c r="P89" i="120"/>
  <c r="O89" i="120"/>
  <c r="N89" i="120"/>
  <c r="M89" i="120"/>
  <c r="R88" i="120"/>
  <c r="Q88" i="120"/>
  <c r="P88" i="120"/>
  <c r="O88" i="120"/>
  <c r="N88" i="120"/>
  <c r="M88" i="120"/>
  <c r="R87" i="120"/>
  <c r="Q87" i="120"/>
  <c r="P87" i="120"/>
  <c r="O87" i="120"/>
  <c r="N87" i="120"/>
  <c r="M87" i="120"/>
  <c r="R86" i="120"/>
  <c r="Q86" i="120"/>
  <c r="P86" i="120"/>
  <c r="O86" i="120"/>
  <c r="N86" i="120"/>
  <c r="M86" i="120"/>
  <c r="R85" i="120"/>
  <c r="Q85" i="120"/>
  <c r="P85" i="120"/>
  <c r="O85" i="120"/>
  <c r="N85" i="120"/>
  <c r="M85" i="120"/>
  <c r="R84" i="120"/>
  <c r="Q84" i="120"/>
  <c r="P84" i="120"/>
  <c r="O84" i="120"/>
  <c r="N84" i="120"/>
  <c r="M84" i="120"/>
  <c r="R83" i="120"/>
  <c r="Q83" i="120"/>
  <c r="P83" i="120"/>
  <c r="O83" i="120"/>
  <c r="N83" i="120"/>
  <c r="M83" i="120"/>
  <c r="R82" i="120"/>
  <c r="Q82" i="120"/>
  <c r="P82" i="120"/>
  <c r="O82" i="120"/>
  <c r="N82" i="120"/>
  <c r="M82" i="120"/>
  <c r="R81" i="120"/>
  <c r="Q81" i="120"/>
  <c r="P81" i="120"/>
  <c r="O81" i="120"/>
  <c r="N81" i="120"/>
  <c r="M81" i="120"/>
  <c r="R80" i="120"/>
  <c r="Q80" i="120"/>
  <c r="P80" i="120"/>
  <c r="O80" i="120"/>
  <c r="N80" i="120"/>
  <c r="M80" i="120"/>
  <c r="R79" i="120"/>
  <c r="Q79" i="120"/>
  <c r="P79" i="120"/>
  <c r="O79" i="120"/>
  <c r="N79" i="120"/>
  <c r="M79" i="120"/>
  <c r="R78" i="120"/>
  <c r="Q78" i="120"/>
  <c r="P78" i="120"/>
  <c r="O78" i="120"/>
  <c r="N78" i="120"/>
  <c r="M78" i="120"/>
  <c r="R77" i="120"/>
  <c r="Q77" i="120"/>
  <c r="P77" i="120"/>
  <c r="O77" i="120"/>
  <c r="N77" i="120"/>
  <c r="M77" i="120"/>
  <c r="R76" i="120"/>
  <c r="Q76" i="120"/>
  <c r="P76" i="120"/>
  <c r="O76" i="120"/>
  <c r="N76" i="120"/>
  <c r="M76" i="120"/>
  <c r="R75" i="120"/>
  <c r="Q75" i="120"/>
  <c r="P75" i="120"/>
  <c r="O75" i="120"/>
  <c r="N75" i="120"/>
  <c r="M75" i="120"/>
  <c r="R74" i="120"/>
  <c r="Q74" i="120"/>
  <c r="P74" i="120"/>
  <c r="O74" i="120"/>
  <c r="N74" i="120"/>
  <c r="M74" i="120"/>
  <c r="R73" i="120"/>
  <c r="Q73" i="120"/>
  <c r="P73" i="120"/>
  <c r="O73" i="120"/>
  <c r="N73" i="120"/>
  <c r="M73" i="120"/>
  <c r="R72" i="120"/>
  <c r="Q72" i="120"/>
  <c r="P72" i="120"/>
  <c r="O72" i="120"/>
  <c r="N72" i="120"/>
  <c r="M72" i="120"/>
  <c r="R71" i="120"/>
  <c r="Q71" i="120"/>
  <c r="P71" i="120"/>
  <c r="O71" i="120"/>
  <c r="N71" i="120"/>
  <c r="M71" i="120"/>
  <c r="R70" i="120"/>
  <c r="Q70" i="120"/>
  <c r="P70" i="120"/>
  <c r="O70" i="120"/>
  <c r="N70" i="120"/>
  <c r="M70" i="120"/>
  <c r="R69" i="120"/>
  <c r="Q69" i="120"/>
  <c r="P69" i="120"/>
  <c r="O69" i="120"/>
  <c r="N69" i="120"/>
  <c r="M69" i="120"/>
  <c r="R68" i="120"/>
  <c r="Q68" i="120"/>
  <c r="P68" i="120"/>
  <c r="O68" i="120"/>
  <c r="N68" i="120"/>
  <c r="M68" i="120"/>
  <c r="R67" i="120"/>
  <c r="Q67" i="120"/>
  <c r="P67" i="120"/>
  <c r="O67" i="120"/>
  <c r="N67" i="120"/>
  <c r="M67" i="120"/>
  <c r="R66" i="120"/>
  <c r="Q66" i="120"/>
  <c r="P66" i="120"/>
  <c r="O66" i="120"/>
  <c r="N66" i="120"/>
  <c r="M66" i="120"/>
  <c r="R65" i="120"/>
  <c r="Q65" i="120"/>
  <c r="P65" i="120"/>
  <c r="O65" i="120"/>
  <c r="N65" i="120"/>
  <c r="M65" i="120"/>
  <c r="R64" i="120"/>
  <c r="Q64" i="120"/>
  <c r="P64" i="120"/>
  <c r="O64" i="120"/>
  <c r="N64" i="120"/>
  <c r="M64" i="120"/>
  <c r="R63" i="120"/>
  <c r="Q63" i="120"/>
  <c r="P63" i="120"/>
  <c r="O63" i="120"/>
  <c r="N63" i="120"/>
  <c r="M63" i="120"/>
  <c r="R62" i="120"/>
  <c r="Q62" i="120"/>
  <c r="P62" i="120"/>
  <c r="O62" i="120"/>
  <c r="N62" i="120"/>
  <c r="M62" i="120"/>
  <c r="R61" i="120"/>
  <c r="Q61" i="120"/>
  <c r="P61" i="120"/>
  <c r="O61" i="120"/>
  <c r="N61" i="120"/>
  <c r="M61" i="120"/>
  <c r="R60" i="120"/>
  <c r="Q60" i="120"/>
  <c r="P60" i="120"/>
  <c r="O60" i="120"/>
  <c r="N60" i="120"/>
  <c r="M60" i="120"/>
  <c r="R59" i="120"/>
  <c r="Q59" i="120"/>
  <c r="P59" i="120"/>
  <c r="O59" i="120"/>
  <c r="N59" i="120"/>
  <c r="M59" i="120"/>
  <c r="R58" i="120"/>
  <c r="Q58" i="120"/>
  <c r="P58" i="120"/>
  <c r="O58" i="120"/>
  <c r="N58" i="120"/>
  <c r="M58" i="120"/>
  <c r="R57" i="120"/>
  <c r="Q57" i="120"/>
  <c r="P57" i="120"/>
  <c r="O57" i="120"/>
  <c r="N57" i="120"/>
  <c r="M57" i="120"/>
  <c r="R56" i="120"/>
  <c r="Q56" i="120"/>
  <c r="P56" i="120"/>
  <c r="O56" i="120"/>
  <c r="N56" i="120"/>
  <c r="M56" i="120"/>
  <c r="R55" i="120"/>
  <c r="Q55" i="120"/>
  <c r="P55" i="120"/>
  <c r="O55" i="120"/>
  <c r="N55" i="120"/>
  <c r="M55" i="120"/>
  <c r="R54" i="120"/>
  <c r="Q54" i="120"/>
  <c r="P54" i="120"/>
  <c r="O54" i="120"/>
  <c r="N54" i="120"/>
  <c r="M54" i="120"/>
  <c r="R53" i="120"/>
  <c r="Q53" i="120"/>
  <c r="P53" i="120"/>
  <c r="O53" i="120"/>
  <c r="N53" i="120"/>
  <c r="M53" i="120"/>
  <c r="R52" i="120"/>
  <c r="Q52" i="120"/>
  <c r="P52" i="120"/>
  <c r="O52" i="120"/>
  <c r="N52" i="120"/>
  <c r="M52" i="120"/>
  <c r="R51" i="120"/>
  <c r="Q51" i="120"/>
  <c r="P51" i="120"/>
  <c r="O51" i="120"/>
  <c r="N51" i="120"/>
  <c r="M51" i="120"/>
  <c r="R50" i="120"/>
  <c r="Q50" i="120"/>
  <c r="P50" i="120"/>
  <c r="O50" i="120"/>
  <c r="N50" i="120"/>
  <c r="M50" i="120"/>
  <c r="R49" i="120"/>
  <c r="Q49" i="120"/>
  <c r="P49" i="120"/>
  <c r="O49" i="120"/>
  <c r="N49" i="120"/>
  <c r="M49" i="120"/>
  <c r="R48" i="120"/>
  <c r="Q48" i="120"/>
  <c r="P48" i="120"/>
  <c r="O48" i="120"/>
  <c r="N48" i="120"/>
  <c r="M48" i="120"/>
  <c r="R47" i="120"/>
  <c r="Q47" i="120"/>
  <c r="P47" i="120"/>
  <c r="O47" i="120"/>
  <c r="N47" i="120"/>
  <c r="M47" i="120"/>
  <c r="R46" i="120"/>
  <c r="Q46" i="120"/>
  <c r="P46" i="120"/>
  <c r="O46" i="120"/>
  <c r="N46" i="120"/>
  <c r="M46" i="120"/>
  <c r="R45" i="120"/>
  <c r="Q45" i="120"/>
  <c r="P45" i="120"/>
  <c r="O45" i="120"/>
  <c r="N45" i="120"/>
  <c r="M45" i="120"/>
  <c r="R44" i="120"/>
  <c r="Q44" i="120"/>
  <c r="P44" i="120"/>
  <c r="O44" i="120"/>
  <c r="N44" i="120"/>
  <c r="M44" i="120"/>
  <c r="R43" i="120"/>
  <c r="Q43" i="120"/>
  <c r="P43" i="120"/>
  <c r="O43" i="120"/>
  <c r="N43" i="120"/>
  <c r="M43" i="120"/>
  <c r="R42" i="120"/>
  <c r="Q42" i="120"/>
  <c r="P42" i="120"/>
  <c r="O42" i="120"/>
  <c r="N42" i="120"/>
  <c r="M42" i="120"/>
  <c r="R41" i="120"/>
  <c r="Q41" i="120"/>
  <c r="P41" i="120"/>
  <c r="O41" i="120"/>
  <c r="N41" i="120"/>
  <c r="M41" i="120"/>
  <c r="R40" i="120"/>
  <c r="Q40" i="120"/>
  <c r="P40" i="120"/>
  <c r="O40" i="120"/>
  <c r="N40" i="120"/>
  <c r="M40" i="120"/>
  <c r="R39" i="120"/>
  <c r="Q39" i="120"/>
  <c r="P39" i="120"/>
  <c r="O39" i="120"/>
  <c r="N39" i="120"/>
  <c r="M39" i="120"/>
  <c r="R38" i="120"/>
  <c r="Q38" i="120"/>
  <c r="P38" i="120"/>
  <c r="O38" i="120"/>
  <c r="N38" i="120"/>
  <c r="M38" i="120"/>
  <c r="R37" i="120"/>
  <c r="Q37" i="120"/>
  <c r="P37" i="120"/>
  <c r="O37" i="120"/>
  <c r="N37" i="120"/>
  <c r="M37" i="120"/>
  <c r="R36" i="120"/>
  <c r="Q36" i="120"/>
  <c r="P36" i="120"/>
  <c r="O36" i="120"/>
  <c r="N36" i="120"/>
  <c r="M36" i="120"/>
  <c r="R35" i="120"/>
  <c r="Q35" i="120"/>
  <c r="P35" i="120"/>
  <c r="O35" i="120"/>
  <c r="N35" i="120"/>
  <c r="M35" i="120"/>
  <c r="R34" i="120"/>
  <c r="Q34" i="120"/>
  <c r="P34" i="120"/>
  <c r="O34" i="120"/>
  <c r="N34" i="120"/>
  <c r="M34" i="120"/>
  <c r="R33" i="120"/>
  <c r="Q33" i="120"/>
  <c r="P33" i="120"/>
  <c r="O33" i="120"/>
  <c r="N33" i="120"/>
  <c r="M33" i="120"/>
  <c r="R32" i="120"/>
  <c r="Q32" i="120"/>
  <c r="P32" i="120"/>
  <c r="O32" i="120"/>
  <c r="N32" i="120"/>
  <c r="M32" i="120"/>
  <c r="R31" i="120"/>
  <c r="Q31" i="120"/>
  <c r="P31" i="120"/>
  <c r="O31" i="120"/>
  <c r="N31" i="120"/>
  <c r="M31" i="120"/>
  <c r="R30" i="120"/>
  <c r="Q30" i="120"/>
  <c r="P30" i="120"/>
  <c r="O30" i="120"/>
  <c r="N30" i="120"/>
  <c r="M30" i="120"/>
  <c r="R29" i="120"/>
  <c r="Q29" i="120"/>
  <c r="P29" i="120"/>
  <c r="O29" i="120"/>
  <c r="N29" i="120"/>
  <c r="M29" i="120"/>
  <c r="R28" i="120"/>
  <c r="Q28" i="120"/>
  <c r="P28" i="120"/>
  <c r="O28" i="120"/>
  <c r="N28" i="120"/>
  <c r="M28" i="120"/>
  <c r="R27" i="120"/>
  <c r="Q27" i="120"/>
  <c r="P27" i="120"/>
  <c r="O27" i="120"/>
  <c r="N27" i="120"/>
  <c r="M27" i="120"/>
  <c r="R26" i="120"/>
  <c r="Q26" i="120"/>
  <c r="P26" i="120"/>
  <c r="O26" i="120"/>
  <c r="N26" i="120"/>
  <c r="M26" i="120"/>
  <c r="R25" i="120"/>
  <c r="Q25" i="120"/>
  <c r="P25" i="120"/>
  <c r="O25" i="120"/>
  <c r="N25" i="120"/>
  <c r="M25" i="120"/>
  <c r="R24" i="120"/>
  <c r="Q24" i="120"/>
  <c r="P24" i="120"/>
  <c r="O24" i="120"/>
  <c r="N24" i="120"/>
  <c r="M24" i="120"/>
  <c r="R23" i="120"/>
  <c r="Q23" i="120"/>
  <c r="P23" i="120"/>
  <c r="O23" i="120"/>
  <c r="N23" i="120"/>
  <c r="M23" i="120"/>
  <c r="R22" i="120"/>
  <c r="Q22" i="120"/>
  <c r="P22" i="120"/>
  <c r="O22" i="120"/>
  <c r="N22" i="120"/>
  <c r="M22" i="120"/>
  <c r="R21" i="120"/>
  <c r="Q21" i="120"/>
  <c r="P21" i="120"/>
  <c r="O21" i="120"/>
  <c r="N21" i="120"/>
  <c r="M21" i="120"/>
  <c r="R20" i="120"/>
  <c r="Q20" i="120"/>
  <c r="P20" i="120"/>
  <c r="O20" i="120"/>
  <c r="N20" i="120"/>
  <c r="M20" i="120"/>
  <c r="R19" i="120"/>
  <c r="Q19" i="120"/>
  <c r="P19" i="120"/>
  <c r="O19" i="120"/>
  <c r="N19" i="120"/>
  <c r="M19" i="120"/>
  <c r="R18" i="120"/>
  <c r="Q18" i="120"/>
  <c r="P18" i="120"/>
  <c r="O18" i="120"/>
  <c r="N18" i="120"/>
  <c r="M18" i="120"/>
  <c r="R17" i="120"/>
  <c r="Q17" i="120"/>
  <c r="P17" i="120"/>
  <c r="O17" i="120"/>
  <c r="N17" i="120"/>
  <c r="M17" i="120"/>
  <c r="R16" i="120"/>
  <c r="Q16" i="120"/>
  <c r="P16" i="120"/>
  <c r="O16" i="120"/>
  <c r="N16" i="120"/>
  <c r="M16" i="120"/>
  <c r="R15" i="120"/>
  <c r="Q15" i="120"/>
  <c r="P15" i="120"/>
  <c r="O15" i="120"/>
  <c r="N15" i="120"/>
  <c r="M15" i="120"/>
  <c r="R14" i="120"/>
  <c r="Q14" i="120"/>
  <c r="P14" i="120"/>
  <c r="O14" i="120"/>
  <c r="N14" i="120"/>
  <c r="M14" i="120"/>
  <c r="R13" i="120"/>
  <c r="Q13" i="120"/>
  <c r="P13" i="120"/>
  <c r="O13" i="120"/>
  <c r="N13" i="120"/>
  <c r="M13" i="120"/>
  <c r="R12" i="120"/>
  <c r="Q12" i="120"/>
  <c r="P12" i="120"/>
  <c r="O12" i="120"/>
  <c r="N12" i="120"/>
  <c r="M12" i="120"/>
  <c r="R11" i="120"/>
  <c r="Q11" i="120"/>
  <c r="P11" i="120"/>
  <c r="O11" i="120"/>
  <c r="N11" i="120"/>
  <c r="M11" i="120"/>
  <c r="R10" i="120"/>
  <c r="Q10" i="120"/>
  <c r="P10" i="120"/>
  <c r="O10" i="120"/>
  <c r="N10" i="120"/>
  <c r="M10" i="120"/>
  <c r="R9" i="120"/>
  <c r="Q9" i="120"/>
  <c r="P9" i="120"/>
  <c r="O9" i="120"/>
  <c r="N9" i="120"/>
  <c r="M9" i="120"/>
  <c r="R8" i="120"/>
  <c r="Q8" i="120"/>
  <c r="P8" i="120"/>
  <c r="O8" i="120"/>
  <c r="N8" i="120"/>
  <c r="M8" i="120"/>
  <c r="R7" i="120"/>
  <c r="Q7" i="120"/>
  <c r="P7" i="120"/>
  <c r="O7" i="120"/>
  <c r="N7" i="120"/>
  <c r="M7" i="120"/>
  <c r="R6" i="120"/>
  <c r="Q6" i="120"/>
  <c r="P6" i="120"/>
  <c r="O6" i="120"/>
  <c r="N6" i="120"/>
  <c r="M6" i="120"/>
  <c r="R5" i="120"/>
  <c r="Q5" i="120"/>
  <c r="P5" i="120"/>
  <c r="O5" i="120"/>
  <c r="N5" i="120"/>
  <c r="M5" i="120"/>
  <c r="K8" i="133" l="1"/>
  <c r="J8" i="133"/>
  <c r="H8" i="133"/>
  <c r="N8" i="133" s="1"/>
  <c r="Q3" i="134" l="1"/>
  <c r="T2" i="134"/>
  <c r="T1" i="134"/>
  <c r="J2" i="133"/>
  <c r="G2" i="133"/>
  <c r="D2" i="133"/>
  <c r="N41" i="133" l="1"/>
  <c r="G4" i="133" l="1"/>
  <c r="F4" i="120"/>
  <c r="E4" i="120"/>
  <c r="D4" i="120"/>
  <c r="C4" i="120"/>
  <c r="B4" i="120"/>
  <c r="F56" i="34" l="1"/>
  <c r="F57" i="34"/>
  <c r="F58" i="34"/>
  <c r="D58" i="34" l="1"/>
  <c r="B58" i="34"/>
  <c r="D57" i="34"/>
  <c r="B57" i="34"/>
  <c r="D56" i="34"/>
  <c r="B56" i="34"/>
</calcChain>
</file>

<file path=xl/sharedStrings.xml><?xml version="1.0" encoding="utf-8"?>
<sst xmlns="http://schemas.openxmlformats.org/spreadsheetml/2006/main" count="422" uniqueCount="260">
  <si>
    <t>-</t>
  </si>
  <si>
    <t>Line Pays</t>
  </si>
  <si>
    <t>Reel Stops</t>
  </si>
  <si>
    <t>Pays</t>
  </si>
  <si>
    <t>Reel 1</t>
  </si>
  <si>
    <t>Reel 2</t>
  </si>
  <si>
    <t>Reel 3</t>
  </si>
  <si>
    <t>Reel 4</t>
  </si>
  <si>
    <t>Reel 5</t>
  </si>
  <si>
    <t>Number of Stops per Line</t>
  </si>
  <si>
    <t>REEL 1</t>
  </si>
  <si>
    <t>REEL 2</t>
  </si>
  <si>
    <t>REEL 3</t>
  </si>
  <si>
    <t>REEL 4</t>
  </si>
  <si>
    <t>REEL 5</t>
  </si>
  <si>
    <t>Calculated Reels from Source</t>
  </si>
  <si>
    <t>Expansion for up to 10 stops per line of code</t>
  </si>
  <si>
    <t>symbol</t>
  </si>
  <si>
    <t>not equal to that symbol</t>
  </si>
  <si>
    <t>lookup vector</t>
  </si>
  <si>
    <t>lookup value</t>
  </si>
  <si>
    <t>EDIT THESE</t>
  </si>
  <si>
    <t>note: this list (symbol) should be in ascending order</t>
  </si>
  <si>
    <t>Combination</t>
  </si>
  <si>
    <t>REEL STRIP SYMBOLS FROM SOURCE CODE</t>
  </si>
  <si>
    <t>Paste Reels from SOURCE CODE HERE</t>
  </si>
  <si>
    <t>File Number:</t>
  </si>
  <si>
    <t>Software:</t>
  </si>
  <si>
    <t>Variation:</t>
  </si>
  <si>
    <t>Reel 1-2</t>
  </si>
  <si>
    <t>REEL 6</t>
  </si>
  <si>
    <t>Reels to Use</t>
  </si>
  <si>
    <t>REEL 7</t>
  </si>
  <si>
    <t>REEL 8</t>
  </si>
  <si>
    <t>REEL 9</t>
  </si>
  <si>
    <t>REEL 10</t>
  </si>
  <si>
    <t>REEL 11</t>
  </si>
  <si>
    <t>REEL 12</t>
  </si>
  <si>
    <t>REEL 13</t>
  </si>
  <si>
    <t>REEL 14</t>
  </si>
  <si>
    <t>REEL 15</t>
  </si>
  <si>
    <t>REEL 16</t>
  </si>
  <si>
    <t>REEL 17</t>
  </si>
  <si>
    <t>REEL 18</t>
  </si>
  <si>
    <t>REEL 19</t>
  </si>
  <si>
    <t>REEL 20</t>
  </si>
  <si>
    <t>REEL 21</t>
  </si>
  <si>
    <t>REEL 22</t>
  </si>
  <si>
    <t>REEL 23</t>
  </si>
  <si>
    <t>REEL 24</t>
  </si>
  <si>
    <t>REEL 25</t>
  </si>
  <si>
    <t>REEL 26</t>
  </si>
  <si>
    <t>REEL 27</t>
  </si>
  <si>
    <t>REEL 28</t>
  </si>
  <si>
    <t>REEL 29</t>
  </si>
  <si>
    <t>REEL 30</t>
  </si>
  <si>
    <t>REEL 31</t>
  </si>
  <si>
    <t>REEL 32</t>
  </si>
  <si>
    <t>REEL 33</t>
  </si>
  <si>
    <t>REEL 34</t>
  </si>
  <si>
    <t>REEL 35</t>
  </si>
  <si>
    <t>REEL 36</t>
  </si>
  <si>
    <t>REEL 37</t>
  </si>
  <si>
    <t>REEL 38</t>
  </si>
  <si>
    <t>REEL 39</t>
  </si>
  <si>
    <t>REEL 40</t>
  </si>
  <si>
    <t>REEL 41</t>
  </si>
  <si>
    <t>REEL 42</t>
  </si>
  <si>
    <t>REEL 43</t>
  </si>
  <si>
    <t>REEL 44</t>
  </si>
  <si>
    <t>REEL 45</t>
  </si>
  <si>
    <t>REEL 46</t>
  </si>
  <si>
    <t>REEL 47</t>
  </si>
  <si>
    <t>REEL 48</t>
  </si>
  <si>
    <t>REEL 49</t>
  </si>
  <si>
    <t>REEL 50</t>
  </si>
  <si>
    <t>REEL 51</t>
  </si>
  <si>
    <t>REEL 52</t>
  </si>
  <si>
    <t>REEL 53</t>
  </si>
  <si>
    <t>REEL 54</t>
  </si>
  <si>
    <t>REEL 55</t>
  </si>
  <si>
    <t>REEL 56</t>
  </si>
  <si>
    <t>REEL 57</t>
  </si>
  <si>
    <t>REEL 58</t>
  </si>
  <si>
    <t>REEL 59</t>
  </si>
  <si>
    <t>REEL 60</t>
  </si>
  <si>
    <t>REEL 61</t>
  </si>
  <si>
    <t>REEL 62</t>
  </si>
  <si>
    <t>REEL 63</t>
  </si>
  <si>
    <t>REEL 64</t>
  </si>
  <si>
    <t>REEL 65</t>
  </si>
  <si>
    <t>REEL 66</t>
  </si>
  <si>
    <t>REEL 67</t>
  </si>
  <si>
    <t>REEL 68</t>
  </si>
  <si>
    <t>REEL 69</t>
  </si>
  <si>
    <t>REEL 70</t>
  </si>
  <si>
    <t>REEL 71</t>
  </si>
  <si>
    <t>REEL 72</t>
  </si>
  <si>
    <t>REEL 73</t>
  </si>
  <si>
    <t>REEL 74</t>
  </si>
  <si>
    <t>REEL 75</t>
  </si>
  <si>
    <t>REEL 76</t>
  </si>
  <si>
    <t>REEL 77</t>
  </si>
  <si>
    <t>REEL 78</t>
  </si>
  <si>
    <t>REEL 79</t>
  </si>
  <si>
    <t>REEL 80</t>
  </si>
  <si>
    <t>REEL 81</t>
  </si>
  <si>
    <t>REEL 82</t>
  </si>
  <si>
    <t>REEL 83</t>
  </si>
  <si>
    <t>REEL 84</t>
  </si>
  <si>
    <t>REEL 85</t>
  </si>
  <si>
    <t>REEL 86</t>
  </si>
  <si>
    <t>REEL 87</t>
  </si>
  <si>
    <t>REEL 88</t>
  </si>
  <si>
    <t>REEL 89</t>
  </si>
  <si>
    <t>REEL 90</t>
  </si>
  <si>
    <t>REEL 91</t>
  </si>
  <si>
    <t>REEL 92</t>
  </si>
  <si>
    <t>REEL 93</t>
  </si>
  <si>
    <t>REEL 94</t>
  </si>
  <si>
    <t>REEL 95</t>
  </si>
  <si>
    <t>REEL 96</t>
  </si>
  <si>
    <t>REEL 97</t>
  </si>
  <si>
    <t>REEL 98</t>
  </si>
  <si>
    <t>REEL 99</t>
  </si>
  <si>
    <t>REEL 100</t>
  </si>
  <si>
    <t>REEL 101</t>
  </si>
  <si>
    <t>REEL 102</t>
  </si>
  <si>
    <t>REEL 103</t>
  </si>
  <si>
    <t>REEL 104</t>
  </si>
  <si>
    <t>REEL 105</t>
  </si>
  <si>
    <t>REEL 106</t>
  </si>
  <si>
    <t>REEL 107</t>
  </si>
  <si>
    <t>REEL 108</t>
  </si>
  <si>
    <t>REEL 109</t>
  </si>
  <si>
    <t>REEL 110</t>
  </si>
  <si>
    <t>REEL 111</t>
  </si>
  <si>
    <t>REEL 112</t>
  </si>
  <si>
    <t>REEL 113</t>
  </si>
  <si>
    <t>REEL 114</t>
  </si>
  <si>
    <t>REEL 115</t>
  </si>
  <si>
    <t>REEL 116</t>
  </si>
  <si>
    <t>REEL 117</t>
  </si>
  <si>
    <t>REEL 118</t>
  </si>
  <si>
    <t>REEL 119</t>
  </si>
  <si>
    <t>REEL 120</t>
  </si>
  <si>
    <t>REEL 121</t>
  </si>
  <si>
    <t>REEL 122</t>
  </si>
  <si>
    <t>REEL 123</t>
  </si>
  <si>
    <t>REEL 124</t>
  </si>
  <si>
    <t>REEL 125</t>
  </si>
  <si>
    <t>REEL 126</t>
  </si>
  <si>
    <t>REEL 127</t>
  </si>
  <si>
    <t>REEL 128</t>
  </si>
  <si>
    <t>REEL 129</t>
  </si>
  <si>
    <t>REEL 130</t>
  </si>
  <si>
    <t>REEL 131</t>
  </si>
  <si>
    <t>REEL 132</t>
  </si>
  <si>
    <t>REEL 133</t>
  </si>
  <si>
    <t>REEL 134</t>
  </si>
  <si>
    <t>REEL 135</t>
  </si>
  <si>
    <t>REEL 136</t>
  </si>
  <si>
    <t>REEL 137</t>
  </si>
  <si>
    <t>REEL 138</t>
  </si>
  <si>
    <t>REEL 139</t>
  </si>
  <si>
    <t>REEL 140</t>
  </si>
  <si>
    <t>REEL 141</t>
  </si>
  <si>
    <t>REEL 142</t>
  </si>
  <si>
    <t>REEL 143</t>
  </si>
  <si>
    <t>REEL 144</t>
  </si>
  <si>
    <t>REEL 145</t>
  </si>
  <si>
    <t>REEL 146</t>
  </si>
  <si>
    <t>REEL 147</t>
  </si>
  <si>
    <t>REEL 148</t>
  </si>
  <si>
    <t>REEL 149</t>
  </si>
  <si>
    <t>REEL 150</t>
  </si>
  <si>
    <t>REEL 151</t>
  </si>
  <si>
    <t>REEL 152</t>
  </si>
  <si>
    <t>REEL 153</t>
  </si>
  <si>
    <t>REEL 154</t>
  </si>
  <si>
    <t>REEL 155</t>
  </si>
  <si>
    <t>REEL 156</t>
  </si>
  <si>
    <t>REEL 157</t>
  </si>
  <si>
    <t>REEL 158</t>
  </si>
  <si>
    <t>REEL 159</t>
  </si>
  <si>
    <t>REEL 160</t>
  </si>
  <si>
    <t>REEL 161</t>
  </si>
  <si>
    <t>REEL 162</t>
  </si>
  <si>
    <t>REEL 163</t>
  </si>
  <si>
    <t>REEL 164</t>
  </si>
  <si>
    <t>REEL 165</t>
  </si>
  <si>
    <t>REEL 166</t>
  </si>
  <si>
    <t>REEL 167</t>
  </si>
  <si>
    <t>REEL 168</t>
  </si>
  <si>
    <t>REEL 169</t>
  </si>
  <si>
    <t>REEL 170</t>
  </si>
  <si>
    <t>REEL 171</t>
  </si>
  <si>
    <t>REEL 172</t>
  </si>
  <si>
    <t>REEL 173</t>
  </si>
  <si>
    <t>REEL 174</t>
  </si>
  <si>
    <t>REEL 175</t>
  </si>
  <si>
    <t>REEL 176</t>
  </si>
  <si>
    <t>REEL 177</t>
  </si>
  <si>
    <t>REEL 178</t>
  </si>
  <si>
    <t>REEL 179</t>
  </si>
  <si>
    <t>REEL 180</t>
  </si>
  <si>
    <t>REEL 181</t>
  </si>
  <si>
    <t>REEL 182</t>
  </si>
  <si>
    <t>REEL 183</t>
  </si>
  <si>
    <t>REEL 184</t>
  </si>
  <si>
    <t>REEL 185</t>
  </si>
  <si>
    <t>REEL 186</t>
  </si>
  <si>
    <t>REEL 187</t>
  </si>
  <si>
    <t>REEL 188</t>
  </si>
  <si>
    <t>REEL 189</t>
  </si>
  <si>
    <t>REEL 190</t>
  </si>
  <si>
    <t>REEL 191</t>
  </si>
  <si>
    <t>REEL 192</t>
  </si>
  <si>
    <t>REEL 193</t>
  </si>
  <si>
    <t>REEL 194</t>
  </si>
  <si>
    <t>REEL 195</t>
  </si>
  <si>
    <t>REEL 196</t>
  </si>
  <si>
    <t>REEL 197</t>
  </si>
  <si>
    <t>REEL 198</t>
  </si>
  <si>
    <t>REEL 199</t>
  </si>
  <si>
    <t>REEL 200</t>
  </si>
  <si>
    <t>REEL 201</t>
  </si>
  <si>
    <t>REEL 202</t>
  </si>
  <si>
    <t>REEL 203</t>
  </si>
  <si>
    <t>REEL 204</t>
  </si>
  <si>
    <t>REEL 205</t>
  </si>
  <si>
    <t>REEL 206</t>
  </si>
  <si>
    <t>REEL 207</t>
  </si>
  <si>
    <t>REEL 208</t>
  </si>
  <si>
    <t>REEL 209</t>
  </si>
  <si>
    <t>REEL 210</t>
  </si>
  <si>
    <t>#Reels</t>
  </si>
  <si>
    <t>A</t>
  </si>
  <si>
    <t>K</t>
  </si>
  <si>
    <t>Q</t>
  </si>
  <si>
    <t>P1</t>
  </si>
  <si>
    <t>P2</t>
  </si>
  <si>
    <t>P3</t>
  </si>
  <si>
    <t>P4</t>
  </si>
  <si>
    <t>SCATTERS*</t>
  </si>
  <si>
    <t>FEATURE REELS</t>
  </si>
  <si>
    <t>Free Game Pays</t>
  </si>
  <si>
    <t>SCAT2</t>
  </si>
  <si>
    <t>All</t>
  </si>
  <si>
    <t>TEN</t>
  </si>
  <si>
    <t>SCAT1</t>
  </si>
  <si>
    <t>J</t>
  </si>
  <si>
    <t>SYM1</t>
  </si>
  <si>
    <t>SYM2</t>
  </si>
  <si>
    <t>Game Name</t>
  </si>
  <si>
    <t>Project Number:</t>
  </si>
  <si>
    <t>13E000</t>
  </si>
  <si>
    <t>Combination Lookup</t>
  </si>
  <si>
    <t>Par Sheet Lookup</t>
  </si>
  <si>
    <t>All Par Sheets: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</si>
</sst>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sz val="10"/>
      <name val="Arial"/>
      <family val="3"/>
    </font>
    <font>
      <sz val="10"/>
      <color rgb="FFFF0000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1" fillId="0" borderId="0"/>
    <xf numFmtId="0" fontId="8" fillId="0" borderId="0"/>
    <xf numFmtId="0" fontId="16" fillId="0" borderId="0"/>
  </cellStyleXfs>
  <cellXfs count="155">
    <xf numFmtId="0" fontId="0" fillId="0" borderId="0" xfId="0"/>
    <xf numFmtId="0" fontId="4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8" fillId="0" borderId="0" xfId="1"/>
    <xf numFmtId="0" fontId="6" fillId="0" borderId="0" xfId="1" applyFont="1" applyAlignment="1">
      <alignment horizontal="center"/>
    </xf>
    <xf numFmtId="0" fontId="6" fillId="0" borderId="0" xfId="1" applyFont="1"/>
    <xf numFmtId="0" fontId="8" fillId="0" borderId="1" xfId="1" applyBorder="1"/>
    <xf numFmtId="0" fontId="4" fillId="0" borderId="0" xfId="1" applyFont="1"/>
    <xf numFmtId="0" fontId="8" fillId="0" borderId="0" xfId="1" applyFont="1"/>
    <xf numFmtId="0" fontId="11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Border="1"/>
    <xf numFmtId="0" fontId="8" fillId="0" borderId="1" xfId="1" applyFont="1" applyBorder="1"/>
    <xf numFmtId="0" fontId="8" fillId="0" borderId="22" xfId="1" applyBorder="1"/>
    <xf numFmtId="9" fontId="0" fillId="0" borderId="0" xfId="0" applyNumberFormat="1"/>
    <xf numFmtId="0" fontId="4" fillId="0" borderId="12" xfId="1" applyFont="1" applyBorder="1" applyAlignment="1">
      <alignment horizontal="center" vertical="center"/>
    </xf>
    <xf numFmtId="0" fontId="8" fillId="0" borderId="1" xfId="1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8" fillId="0" borderId="24" xfId="1" applyFont="1" applyFill="1" applyBorder="1" applyAlignment="1">
      <alignment horizontal="left"/>
    </xf>
    <xf numFmtId="0" fontId="8" fillId="0" borderId="27" xfId="1" applyBorder="1"/>
    <xf numFmtId="0" fontId="8" fillId="0" borderId="22" xfId="1" applyBorder="1" applyAlignment="1">
      <alignment horizontal="left"/>
    </xf>
    <xf numFmtId="0" fontId="8" fillId="0" borderId="7" xfId="1" applyBorder="1" applyAlignment="1">
      <alignment horizontal="left"/>
    </xf>
    <xf numFmtId="0" fontId="8" fillId="2" borderId="22" xfId="1" applyFill="1" applyBorder="1"/>
    <xf numFmtId="0" fontId="8" fillId="2" borderId="1" xfId="1" applyFill="1" applyBorder="1"/>
    <xf numFmtId="0" fontId="8" fillId="2" borderId="7" xfId="1" applyFill="1" applyBorder="1"/>
    <xf numFmtId="0" fontId="8" fillId="0" borderId="7" xfId="1" applyFont="1" applyBorder="1" applyAlignment="1">
      <alignment horizontal="left"/>
    </xf>
    <xf numFmtId="0" fontId="8" fillId="0" borderId="7" xfId="1" applyBorder="1"/>
    <xf numFmtId="0" fontId="8" fillId="0" borderId="6" xfId="1" applyBorder="1"/>
    <xf numFmtId="0" fontId="8" fillId="2" borderId="6" xfId="1" applyFill="1" applyBorder="1"/>
    <xf numFmtId="0" fontId="8" fillId="0" borderId="8" xfId="1" applyBorder="1"/>
    <xf numFmtId="0" fontId="8" fillId="0" borderId="2" xfId="1" applyBorder="1"/>
    <xf numFmtId="0" fontId="8" fillId="0" borderId="9" xfId="1" applyBorder="1"/>
    <xf numFmtId="0" fontId="8" fillId="2" borderId="8" xfId="1" applyFill="1" applyBorder="1"/>
    <xf numFmtId="0" fontId="8" fillId="2" borderId="2" xfId="1" applyFill="1" applyBorder="1"/>
    <xf numFmtId="0" fontId="8" fillId="2" borderId="9" xfId="1" applyFill="1" applyBorder="1"/>
    <xf numFmtId="0" fontId="8" fillId="0" borderId="4" xfId="1" applyBorder="1" applyAlignment="1">
      <alignment horizontal="left"/>
    </xf>
    <xf numFmtId="0" fontId="8" fillId="0" borderId="3" xfId="1" applyBorder="1" applyAlignment="1">
      <alignment horizontal="left"/>
    </xf>
    <xf numFmtId="0" fontId="8" fillId="0" borderId="5" xfId="1" applyBorder="1" applyAlignment="1">
      <alignment horizontal="left"/>
    </xf>
    <xf numFmtId="0" fontId="8" fillId="2" borderId="4" xfId="1" applyFill="1" applyBorder="1"/>
    <xf numFmtId="0" fontId="8" fillId="2" borderId="3" xfId="1" applyFill="1" applyBorder="1"/>
    <xf numFmtId="0" fontId="8" fillId="2" borderId="5" xfId="1" applyFill="1" applyBorder="1"/>
    <xf numFmtId="0" fontId="8" fillId="0" borderId="6" xfId="1" applyBorder="1" applyAlignment="1">
      <alignment horizontal="left"/>
    </xf>
    <xf numFmtId="0" fontId="4" fillId="0" borderId="25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49" fontId="8" fillId="0" borderId="0" xfId="0" applyNumberFormat="1" applyFont="1"/>
    <xf numFmtId="49" fontId="0" fillId="0" borderId="0" xfId="0" applyNumberFormat="1"/>
    <xf numFmtId="0" fontId="17" fillId="0" borderId="0" xfId="0" applyFont="1"/>
    <xf numFmtId="0" fontId="7" fillId="0" borderId="0" xfId="1" applyFont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29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Border="1" applyAlignment="1">
      <alignment horizontal="center" vertical="center"/>
    </xf>
    <xf numFmtId="49" fontId="9" fillId="0" borderId="0" xfId="1" applyNumberFormat="1" applyFont="1" applyFill="1" applyBorder="1" applyAlignment="1">
      <alignment horizontal="center" vertical="center" wrapText="1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18" fillId="0" borderId="0" xfId="9" applyFont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0" xfId="0" quotePrefix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0" borderId="1" xfId="10" applyFont="1" applyFill="1" applyBorder="1" applyAlignment="1">
      <alignment horizontal="center" vertical="center"/>
    </xf>
    <xf numFmtId="0" fontId="8" fillId="0" borderId="1" xfId="11" applyFont="1" applyFill="1" applyBorder="1" applyAlignment="1">
      <alignment horizontal="center" vertical="center"/>
    </xf>
    <xf numFmtId="0" fontId="8" fillId="0" borderId="1" xfId="1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0" fontId="8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3" borderId="14" xfId="1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8" fillId="0" borderId="14" xfId="1" applyNumberFormat="1" applyFont="1" applyFill="1" applyBorder="1" applyAlignment="1">
      <alignment horizontal="center" vertical="center"/>
    </xf>
    <xf numFmtId="0" fontId="8" fillId="2" borderId="14" xfId="1" applyNumberFormat="1" applyFont="1" applyFill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0" fontId="8" fillId="0" borderId="10" xfId="1" applyNumberFormat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8" fillId="2" borderId="10" xfId="1" applyNumberFormat="1" applyFont="1" applyFill="1" applyBorder="1" applyAlignment="1">
      <alignment horizontal="center" vertical="center"/>
    </xf>
    <xf numFmtId="0" fontId="8" fillId="0" borderId="0" xfId="1" applyNumberFormat="1" applyFont="1" applyFill="1" applyBorder="1" applyAlignment="1">
      <alignment horizontal="center" vertical="center"/>
    </xf>
    <xf numFmtId="0" fontId="8" fillId="2" borderId="0" xfId="1" applyNumberFormat="1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  <protection locked="0"/>
    </xf>
    <xf numFmtId="0" fontId="3" fillId="0" borderId="0" xfId="0" quotePrefix="1" applyNumberFormat="1" applyFont="1" applyBorder="1" applyAlignment="1" applyProtection="1">
      <alignment horizontal="center" vertical="center"/>
      <protection locked="0"/>
    </xf>
    <xf numFmtId="0" fontId="8" fillId="0" borderId="0" xfId="1" applyFont="1" applyAlignment="1" applyProtection="1">
      <alignment horizontal="center" vertical="center"/>
      <protection locked="0"/>
    </xf>
    <xf numFmtId="0" fontId="3" fillId="0" borderId="0" xfId="0" applyNumberFormat="1" applyFont="1" applyAlignment="1" applyProtection="1">
      <alignment horizontal="center" vertical="center"/>
      <protection locked="0"/>
    </xf>
    <xf numFmtId="0" fontId="3" fillId="0" borderId="11" xfId="0" applyNumberFormat="1" applyFont="1" applyBorder="1" applyAlignment="1" applyProtection="1">
      <alignment horizontal="center" vertical="center"/>
      <protection locked="0"/>
    </xf>
    <xf numFmtId="0" fontId="18" fillId="0" borderId="0" xfId="9" applyNumberFormat="1" applyFont="1" applyAlignment="1" applyProtection="1">
      <alignment horizontal="center" vertical="center"/>
      <protection locked="0"/>
    </xf>
    <xf numFmtId="0" fontId="3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0" fontId="8" fillId="0" borderId="0" xfId="1" applyNumberFormat="1" applyFont="1" applyAlignment="1" applyProtection="1">
      <alignment horizontal="center" vertical="center"/>
    </xf>
    <xf numFmtId="0" fontId="8" fillId="4" borderId="1" xfId="1" applyNumberFormat="1" applyFont="1" applyFill="1" applyBorder="1" applyAlignment="1" applyProtection="1">
      <alignment horizontal="center" vertical="center"/>
    </xf>
    <xf numFmtId="0" fontId="8" fillId="3" borderId="0" xfId="1" applyNumberFormat="1" applyFont="1" applyFill="1" applyBorder="1" applyAlignment="1" applyProtection="1">
      <alignment horizontal="center" vertical="center"/>
    </xf>
    <xf numFmtId="0" fontId="19" fillId="0" borderId="1" xfId="9" applyNumberFormat="1" applyFont="1" applyBorder="1" applyAlignment="1" applyProtection="1">
      <alignment horizontal="center" vertical="center"/>
    </xf>
    <xf numFmtId="0" fontId="8" fillId="0" borderId="1" xfId="0" applyNumberFormat="1" applyFont="1" applyBorder="1" applyAlignment="1" applyProtection="1">
      <alignment horizontal="center" vertical="center"/>
    </xf>
    <xf numFmtId="0" fontId="8" fillId="0" borderId="0" xfId="1" applyNumberFormat="1" applyFont="1" applyBorder="1" applyAlignment="1" applyProtection="1">
      <alignment horizontal="center" vertical="center"/>
    </xf>
    <xf numFmtId="0" fontId="8" fillId="0" borderId="1" xfId="0" applyNumberFormat="1" applyFont="1" applyFill="1" applyBorder="1" applyAlignment="1" applyProtection="1">
      <alignment horizontal="center" vertical="center"/>
    </xf>
    <xf numFmtId="0" fontId="8" fillId="4" borderId="0" xfId="1" applyNumberFormat="1" applyFont="1" applyFill="1" applyBorder="1" applyAlignment="1" applyProtection="1">
      <alignment horizontal="center" vertical="center"/>
    </xf>
    <xf numFmtId="0" fontId="13" fillId="0" borderId="0" xfId="1" applyFont="1" applyFill="1" applyBorder="1" applyAlignment="1">
      <alignment horizontal="center"/>
    </xf>
    <xf numFmtId="0" fontId="3" fillId="0" borderId="11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49" fontId="9" fillId="0" borderId="0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</cellXfs>
  <cellStyles count="12">
    <cellStyle name="Normal" xfId="0" builtinId="0"/>
    <cellStyle name="Normal 2" xfId="1"/>
    <cellStyle name="Normal 2 2" xfId="2"/>
    <cellStyle name="Normal 2 3" xfId="3"/>
    <cellStyle name="Normal 2 3 2" xfId="4"/>
    <cellStyle name="Normal 3" xfId="5"/>
    <cellStyle name="Normal 3 2" xfId="6"/>
    <cellStyle name="Normal 4" xfId="7"/>
    <cellStyle name="Normal 4 2" xfId="8"/>
    <cellStyle name="Normal 5" xfId="9"/>
    <cellStyle name="Normal_TAKE4 2" xfId="10"/>
    <cellStyle name="Normal_TigerOfSiamVar07QLD" xfId="1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38100</xdr:rowOff>
        </xdr:from>
        <xdr:to>
          <xdr:col>17</xdr:col>
          <xdr:colOff>228600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9</xdr:col>
          <xdr:colOff>600075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Sub%20CD\Doc\Submission\Math\US343%20Persian%20Prize%20PA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Doc\Submission\Math\US320%20Mad%20Scatter%20PA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Reel Strips"/>
      <sheetName val="Var99 Math"/>
      <sheetName val="Var01 Math"/>
      <sheetName val="Var02 Math"/>
      <sheetName val="Var03 Math"/>
      <sheetName val="Var99 Combo"/>
      <sheetName val="Var01 Combo"/>
      <sheetName val="Var02 Combo"/>
      <sheetName val="Var03 Combo"/>
      <sheetName val="Var99 Distribution"/>
      <sheetName val="Var01 Distribution"/>
      <sheetName val="Var02 Distribution"/>
      <sheetName val="Var03 Distribution"/>
      <sheetName val="Var99 Genie"/>
      <sheetName val="Var01 Genie"/>
      <sheetName val="Var02 Genie"/>
      <sheetName val="Var03 Genie"/>
      <sheetName val="Lamp Bonus"/>
      <sheetName val="Free Spins"/>
      <sheetName val="Progressive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122093568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Var99 Reel Strips"/>
      <sheetName val="Var01 Reel Strips"/>
      <sheetName val="Var02 Reel Strips"/>
      <sheetName val="Var03 Reel Strips"/>
      <sheetName val="Var99 Math"/>
      <sheetName val="Var01 Math"/>
      <sheetName val="Var02 Math"/>
      <sheetName val="Var03 Math"/>
      <sheetName val="Var99 Combos"/>
      <sheetName val="Var01 Combos"/>
      <sheetName val="Var02 Combos"/>
      <sheetName val="Var03 Combos"/>
      <sheetName val="Var99 Distribution"/>
      <sheetName val="Var01 Distribution"/>
      <sheetName val="Var02 Distribution"/>
      <sheetName val="Var03 Distribution"/>
      <sheetName val="Var99 BonusS1_Freeee! Spins"/>
      <sheetName val="Var01 BonusS1_Freeee! Spins"/>
      <sheetName val="Var02 BonusS1_Freeee! Spins"/>
      <sheetName val="Var03 BonusS1_Freeee! Spins"/>
      <sheetName val="Var99 BonusS2_Mad Mad Reel"/>
      <sheetName val="Var01 BonusS2_Mad Mad Reel"/>
      <sheetName val="Var02 BonusS2_Mad Mad Reel"/>
      <sheetName val="Var03 BonusS2_Mad Mad Reel"/>
      <sheetName val="Var99 BonusS3_NeverEnding Nudge"/>
      <sheetName val="Var01 BonusS3_NeverEnding Nudge"/>
      <sheetName val="Var02 BonusS3_NeverEnding Nudge"/>
      <sheetName val="Var03 BonusS3_NeverEnding Nudge"/>
      <sheetName val="BonusA1_Hookah Luck"/>
      <sheetName val="BonusA2_Tea Party Pick'em"/>
      <sheetName val="BonusA3_Scatter Boost"/>
      <sheetName val="BonusA4_4x Spin Win"/>
      <sheetName val="BonusP1_Queen's Croquet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13474560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641"/>
  <sheetViews>
    <sheetView workbookViewId="0"/>
  </sheetViews>
  <sheetFormatPr defaultRowHeight="12.75" x14ac:dyDescent="0.2"/>
  <cols>
    <col min="2" max="2" width="20.7109375" customWidth="1"/>
  </cols>
  <sheetData>
    <row r="2" spans="1:3" x14ac:dyDescent="0.2">
      <c r="A2" s="1" t="s">
        <v>27</v>
      </c>
      <c r="C2" s="2" t="s">
        <v>254</v>
      </c>
    </row>
    <row r="3" spans="1:3" x14ac:dyDescent="0.2">
      <c r="A3" s="1" t="s">
        <v>255</v>
      </c>
      <c r="C3" s="64" t="s">
        <v>256</v>
      </c>
    </row>
    <row r="4" spans="1:3" x14ac:dyDescent="0.2">
      <c r="A4" s="1" t="s">
        <v>28</v>
      </c>
      <c r="C4" s="2" t="s">
        <v>248</v>
      </c>
    </row>
    <row r="5" spans="1:3" x14ac:dyDescent="0.2">
      <c r="C5" s="2"/>
    </row>
    <row r="6" spans="1:3" x14ac:dyDescent="0.2">
      <c r="B6" s="1" t="s">
        <v>259</v>
      </c>
      <c r="C6" s="66" t="str">
        <f>IF(ISNA(MATCH("ERROR",C7:C260)), "ALL MATCH", "ERROR")</f>
        <v>ALL MATCH</v>
      </c>
    </row>
    <row r="7" spans="1:3" x14ac:dyDescent="0.2">
      <c r="B7" s="64"/>
      <c r="C7" s="66"/>
    </row>
    <row r="8" spans="1:3" x14ac:dyDescent="0.2">
      <c r="B8" s="64"/>
      <c r="C8" s="66"/>
    </row>
    <row r="9" spans="1:3" x14ac:dyDescent="0.2">
      <c r="B9" s="64"/>
      <c r="C9" s="66"/>
    </row>
    <row r="10" spans="1:3" x14ac:dyDescent="0.2">
      <c r="B10" s="64"/>
      <c r="C10" s="66"/>
    </row>
    <row r="11" spans="1:3" x14ac:dyDescent="0.2">
      <c r="B11" s="65"/>
      <c r="C11" s="66"/>
    </row>
    <row r="12" spans="1:3" x14ac:dyDescent="0.2">
      <c r="B12" s="65"/>
      <c r="C12" s="66"/>
    </row>
    <row r="13" spans="1:3" x14ac:dyDescent="0.2">
      <c r="B13" s="65"/>
      <c r="C13" s="66"/>
    </row>
    <row r="14" spans="1:3" x14ac:dyDescent="0.2">
      <c r="B14" s="65"/>
      <c r="C14" s="66"/>
    </row>
    <row r="15" spans="1:3" x14ac:dyDescent="0.2">
      <c r="B15" s="65"/>
      <c r="C15" s="66"/>
    </row>
    <row r="16" spans="1:3" x14ac:dyDescent="0.2">
      <c r="C16" s="66"/>
    </row>
    <row r="17" spans="2:3" x14ac:dyDescent="0.2">
      <c r="B17" s="64"/>
      <c r="C17" s="66"/>
    </row>
    <row r="18" spans="2:3" x14ac:dyDescent="0.2">
      <c r="C18" s="66"/>
    </row>
    <row r="19" spans="2:3" x14ac:dyDescent="0.2">
      <c r="C19" s="66"/>
    </row>
    <row r="20" spans="2:3" x14ac:dyDescent="0.2">
      <c r="C20" s="66"/>
    </row>
    <row r="21" spans="2:3" x14ac:dyDescent="0.2">
      <c r="C21" s="66"/>
    </row>
    <row r="22" spans="2:3" x14ac:dyDescent="0.2">
      <c r="C22" s="66"/>
    </row>
    <row r="23" spans="2:3" x14ac:dyDescent="0.2">
      <c r="C23" s="66"/>
    </row>
    <row r="24" spans="2:3" x14ac:dyDescent="0.2">
      <c r="C24" s="66"/>
    </row>
    <row r="25" spans="2:3" x14ac:dyDescent="0.2">
      <c r="C25" s="66"/>
    </row>
    <row r="26" spans="2:3" x14ac:dyDescent="0.2">
      <c r="C26" s="66"/>
    </row>
    <row r="27" spans="2:3" x14ac:dyDescent="0.2">
      <c r="C27" s="66"/>
    </row>
    <row r="28" spans="2:3" x14ac:dyDescent="0.2">
      <c r="C28" s="66"/>
    </row>
    <row r="29" spans="2:3" x14ac:dyDescent="0.2">
      <c r="C29" s="66"/>
    </row>
    <row r="30" spans="2:3" x14ac:dyDescent="0.2">
      <c r="C30" s="66"/>
    </row>
    <row r="31" spans="2:3" x14ac:dyDescent="0.2">
      <c r="C31" s="66"/>
    </row>
    <row r="32" spans="2:3" x14ac:dyDescent="0.2">
      <c r="C32" s="66"/>
    </row>
    <row r="33" spans="3:3" x14ac:dyDescent="0.2">
      <c r="C33" s="66"/>
    </row>
    <row r="34" spans="3:3" x14ac:dyDescent="0.2">
      <c r="C34" s="66"/>
    </row>
    <row r="35" spans="3:3" x14ac:dyDescent="0.2">
      <c r="C35" s="66"/>
    </row>
    <row r="36" spans="3:3" x14ac:dyDescent="0.2">
      <c r="C36" s="66"/>
    </row>
    <row r="37" spans="3:3" x14ac:dyDescent="0.2">
      <c r="C37" s="66"/>
    </row>
    <row r="38" spans="3:3" x14ac:dyDescent="0.2">
      <c r="C38" s="66"/>
    </row>
    <row r="39" spans="3:3" x14ac:dyDescent="0.2">
      <c r="C39" s="66"/>
    </row>
    <row r="40" spans="3:3" x14ac:dyDescent="0.2">
      <c r="C40" s="66"/>
    </row>
    <row r="41" spans="3:3" x14ac:dyDescent="0.2">
      <c r="C41" s="66"/>
    </row>
    <row r="42" spans="3:3" x14ac:dyDescent="0.2">
      <c r="C42" s="66"/>
    </row>
    <row r="43" spans="3:3" x14ac:dyDescent="0.2">
      <c r="C43" s="66"/>
    </row>
    <row r="44" spans="3:3" x14ac:dyDescent="0.2">
      <c r="C44" s="66"/>
    </row>
    <row r="45" spans="3:3" x14ac:dyDescent="0.2">
      <c r="C45" s="66"/>
    </row>
    <row r="46" spans="3:3" x14ac:dyDescent="0.2">
      <c r="C46" s="66"/>
    </row>
    <row r="47" spans="3:3" x14ac:dyDescent="0.2">
      <c r="C47" s="66"/>
    </row>
    <row r="48" spans="3:3" x14ac:dyDescent="0.2">
      <c r="C48" s="66"/>
    </row>
    <row r="49" spans="3:3" x14ac:dyDescent="0.2">
      <c r="C49" s="66"/>
    </row>
    <row r="50" spans="3:3" x14ac:dyDescent="0.2">
      <c r="C50" s="66"/>
    </row>
    <row r="51" spans="3:3" x14ac:dyDescent="0.2">
      <c r="C51" s="66"/>
    </row>
    <row r="52" spans="3:3" x14ac:dyDescent="0.2">
      <c r="C52" s="66"/>
    </row>
    <row r="53" spans="3:3" x14ac:dyDescent="0.2">
      <c r="C53" s="66"/>
    </row>
    <row r="54" spans="3:3" x14ac:dyDescent="0.2">
      <c r="C54" s="66"/>
    </row>
    <row r="55" spans="3:3" x14ac:dyDescent="0.2">
      <c r="C55" s="66"/>
    </row>
    <row r="56" spans="3:3" x14ac:dyDescent="0.2">
      <c r="C56" s="66"/>
    </row>
    <row r="57" spans="3:3" x14ac:dyDescent="0.2">
      <c r="C57" s="66"/>
    </row>
    <row r="58" spans="3:3" x14ac:dyDescent="0.2">
      <c r="C58" s="66"/>
    </row>
    <row r="59" spans="3:3" x14ac:dyDescent="0.2">
      <c r="C59" s="66"/>
    </row>
    <row r="60" spans="3:3" x14ac:dyDescent="0.2">
      <c r="C60" s="66"/>
    </row>
    <row r="61" spans="3:3" x14ac:dyDescent="0.2">
      <c r="C61" s="66"/>
    </row>
    <row r="62" spans="3:3" x14ac:dyDescent="0.2">
      <c r="C62" s="66"/>
    </row>
    <row r="63" spans="3:3" x14ac:dyDescent="0.2">
      <c r="C63" s="66"/>
    </row>
    <row r="64" spans="3:3" x14ac:dyDescent="0.2">
      <c r="C64" s="66"/>
    </row>
    <row r="65" spans="3:3" x14ac:dyDescent="0.2">
      <c r="C65" s="66"/>
    </row>
    <row r="66" spans="3:3" x14ac:dyDescent="0.2">
      <c r="C66" s="66"/>
    </row>
    <row r="67" spans="3:3" x14ac:dyDescent="0.2">
      <c r="C67" s="66"/>
    </row>
    <row r="68" spans="3:3" x14ac:dyDescent="0.2">
      <c r="C68" s="66"/>
    </row>
    <row r="69" spans="3:3" x14ac:dyDescent="0.2">
      <c r="C69" s="66"/>
    </row>
    <row r="70" spans="3:3" x14ac:dyDescent="0.2">
      <c r="C70" s="66"/>
    </row>
    <row r="71" spans="3:3" x14ac:dyDescent="0.2">
      <c r="C71" s="66"/>
    </row>
    <row r="72" spans="3:3" x14ac:dyDescent="0.2">
      <c r="C72" s="66"/>
    </row>
    <row r="73" spans="3:3" x14ac:dyDescent="0.2">
      <c r="C73" s="66"/>
    </row>
    <row r="74" spans="3:3" x14ac:dyDescent="0.2">
      <c r="C74" s="66"/>
    </row>
    <row r="75" spans="3:3" x14ac:dyDescent="0.2">
      <c r="C75" s="66"/>
    </row>
    <row r="76" spans="3:3" x14ac:dyDescent="0.2">
      <c r="C76" s="66"/>
    </row>
    <row r="77" spans="3:3" x14ac:dyDescent="0.2">
      <c r="C77" s="66"/>
    </row>
    <row r="78" spans="3:3" x14ac:dyDescent="0.2">
      <c r="C78" s="66"/>
    </row>
    <row r="79" spans="3:3" x14ac:dyDescent="0.2">
      <c r="C79" s="66"/>
    </row>
    <row r="80" spans="3:3" x14ac:dyDescent="0.2">
      <c r="C80" s="66"/>
    </row>
    <row r="81" spans="3:3" x14ac:dyDescent="0.2">
      <c r="C81" s="66"/>
    </row>
    <row r="82" spans="3:3" x14ac:dyDescent="0.2">
      <c r="C82" s="66"/>
    </row>
    <row r="83" spans="3:3" x14ac:dyDescent="0.2">
      <c r="C83" s="66"/>
    </row>
    <row r="84" spans="3:3" x14ac:dyDescent="0.2">
      <c r="C84" s="66"/>
    </row>
    <row r="85" spans="3:3" x14ac:dyDescent="0.2">
      <c r="C85" s="66"/>
    </row>
    <row r="86" spans="3:3" x14ac:dyDescent="0.2">
      <c r="C86" s="66"/>
    </row>
    <row r="87" spans="3:3" x14ac:dyDescent="0.2">
      <c r="C87" s="66"/>
    </row>
    <row r="88" spans="3:3" x14ac:dyDescent="0.2">
      <c r="C88" s="66"/>
    </row>
    <row r="89" spans="3:3" x14ac:dyDescent="0.2">
      <c r="C89" s="66"/>
    </row>
    <row r="90" spans="3:3" x14ac:dyDescent="0.2">
      <c r="C90" s="66"/>
    </row>
    <row r="91" spans="3:3" x14ac:dyDescent="0.2">
      <c r="C91" s="66"/>
    </row>
    <row r="92" spans="3:3" x14ac:dyDescent="0.2">
      <c r="C92" s="66"/>
    </row>
    <row r="93" spans="3:3" x14ac:dyDescent="0.2">
      <c r="C93" s="66"/>
    </row>
    <row r="94" spans="3:3" x14ac:dyDescent="0.2">
      <c r="C94" s="66"/>
    </row>
    <row r="95" spans="3:3" x14ac:dyDescent="0.2">
      <c r="C95" s="66"/>
    </row>
    <row r="96" spans="3:3" x14ac:dyDescent="0.2">
      <c r="C96" s="66"/>
    </row>
    <row r="97" spans="3:3" x14ac:dyDescent="0.2">
      <c r="C97" s="66"/>
    </row>
    <row r="98" spans="3:3" x14ac:dyDescent="0.2">
      <c r="C98" s="66"/>
    </row>
    <row r="99" spans="3:3" x14ac:dyDescent="0.2">
      <c r="C99" s="66"/>
    </row>
    <row r="100" spans="3:3" x14ac:dyDescent="0.2">
      <c r="C100" s="66"/>
    </row>
    <row r="101" spans="3:3" x14ac:dyDescent="0.2">
      <c r="C101" s="66"/>
    </row>
    <row r="102" spans="3:3" x14ac:dyDescent="0.2">
      <c r="C102" s="66"/>
    </row>
    <row r="103" spans="3:3" x14ac:dyDescent="0.2">
      <c r="C103" s="66"/>
    </row>
    <row r="104" spans="3:3" x14ac:dyDescent="0.2">
      <c r="C104" s="66"/>
    </row>
    <row r="105" spans="3:3" x14ac:dyDescent="0.2">
      <c r="C105" s="66"/>
    </row>
    <row r="106" spans="3:3" x14ac:dyDescent="0.2">
      <c r="C106" s="66"/>
    </row>
    <row r="107" spans="3:3" x14ac:dyDescent="0.2">
      <c r="C107" s="66"/>
    </row>
    <row r="108" spans="3:3" x14ac:dyDescent="0.2">
      <c r="C108" s="66"/>
    </row>
    <row r="109" spans="3:3" x14ac:dyDescent="0.2">
      <c r="C109" s="66"/>
    </row>
    <row r="110" spans="3:3" x14ac:dyDescent="0.2">
      <c r="C110" s="66"/>
    </row>
    <row r="111" spans="3:3" x14ac:dyDescent="0.2">
      <c r="C111" s="66"/>
    </row>
    <row r="112" spans="3:3" x14ac:dyDescent="0.2">
      <c r="C112" s="66"/>
    </row>
    <row r="113" spans="3:3" x14ac:dyDescent="0.2">
      <c r="C113" s="66"/>
    </row>
    <row r="114" spans="3:3" x14ac:dyDescent="0.2">
      <c r="C114" s="66"/>
    </row>
    <row r="115" spans="3:3" x14ac:dyDescent="0.2">
      <c r="C115" s="66"/>
    </row>
    <row r="116" spans="3:3" x14ac:dyDescent="0.2">
      <c r="C116" s="66"/>
    </row>
    <row r="117" spans="3:3" x14ac:dyDescent="0.2">
      <c r="C117" s="66"/>
    </row>
    <row r="118" spans="3:3" x14ac:dyDescent="0.2">
      <c r="C118" s="66"/>
    </row>
    <row r="119" spans="3:3" x14ac:dyDescent="0.2">
      <c r="C119" s="66"/>
    </row>
    <row r="120" spans="3:3" x14ac:dyDescent="0.2">
      <c r="C120" s="66"/>
    </row>
    <row r="121" spans="3:3" x14ac:dyDescent="0.2">
      <c r="C121" s="66"/>
    </row>
    <row r="122" spans="3:3" x14ac:dyDescent="0.2">
      <c r="C122" s="66"/>
    </row>
    <row r="123" spans="3:3" x14ac:dyDescent="0.2">
      <c r="C123" s="66"/>
    </row>
    <row r="124" spans="3:3" x14ac:dyDescent="0.2">
      <c r="C124" s="66"/>
    </row>
    <row r="125" spans="3:3" x14ac:dyDescent="0.2">
      <c r="C125" s="66"/>
    </row>
    <row r="126" spans="3:3" x14ac:dyDescent="0.2">
      <c r="C126" s="66"/>
    </row>
    <row r="127" spans="3:3" x14ac:dyDescent="0.2">
      <c r="C127" s="66"/>
    </row>
    <row r="128" spans="3:3" x14ac:dyDescent="0.2">
      <c r="C128" s="66"/>
    </row>
    <row r="129" spans="3:3" x14ac:dyDescent="0.2">
      <c r="C129" s="66"/>
    </row>
    <row r="130" spans="3:3" x14ac:dyDescent="0.2">
      <c r="C130" s="66"/>
    </row>
    <row r="131" spans="3:3" x14ac:dyDescent="0.2">
      <c r="C131" s="66"/>
    </row>
    <row r="132" spans="3:3" x14ac:dyDescent="0.2">
      <c r="C132" s="66"/>
    </row>
    <row r="133" spans="3:3" x14ac:dyDescent="0.2">
      <c r="C133" s="66"/>
    </row>
    <row r="134" spans="3:3" x14ac:dyDescent="0.2">
      <c r="C134" s="66"/>
    </row>
    <row r="135" spans="3:3" x14ac:dyDescent="0.2">
      <c r="C135" s="66"/>
    </row>
    <row r="136" spans="3:3" x14ac:dyDescent="0.2">
      <c r="C136" s="66"/>
    </row>
    <row r="137" spans="3:3" x14ac:dyDescent="0.2">
      <c r="C137" s="66"/>
    </row>
    <row r="138" spans="3:3" x14ac:dyDescent="0.2">
      <c r="C138" s="66"/>
    </row>
    <row r="139" spans="3:3" x14ac:dyDescent="0.2">
      <c r="C139" s="66"/>
    </row>
    <row r="140" spans="3:3" x14ac:dyDescent="0.2">
      <c r="C140" s="66"/>
    </row>
    <row r="141" spans="3:3" x14ac:dyDescent="0.2">
      <c r="C141" s="66"/>
    </row>
    <row r="142" spans="3:3" x14ac:dyDescent="0.2">
      <c r="C142" s="66"/>
    </row>
    <row r="143" spans="3:3" x14ac:dyDescent="0.2">
      <c r="C143" s="66"/>
    </row>
    <row r="144" spans="3:3" x14ac:dyDescent="0.2">
      <c r="C144" s="66"/>
    </row>
    <row r="145" spans="3:3" x14ac:dyDescent="0.2">
      <c r="C145" s="66"/>
    </row>
    <row r="146" spans="3:3" x14ac:dyDescent="0.2">
      <c r="C146" s="66"/>
    </row>
    <row r="147" spans="3:3" x14ac:dyDescent="0.2">
      <c r="C147" s="66"/>
    </row>
    <row r="148" spans="3:3" x14ac:dyDescent="0.2">
      <c r="C148" s="66"/>
    </row>
    <row r="149" spans="3:3" x14ac:dyDescent="0.2">
      <c r="C149" s="66"/>
    </row>
    <row r="150" spans="3:3" x14ac:dyDescent="0.2">
      <c r="C150" s="66"/>
    </row>
    <row r="151" spans="3:3" x14ac:dyDescent="0.2">
      <c r="C151" s="66"/>
    </row>
    <row r="152" spans="3:3" x14ac:dyDescent="0.2">
      <c r="C152" s="66"/>
    </row>
    <row r="153" spans="3:3" x14ac:dyDescent="0.2">
      <c r="C153" s="66"/>
    </row>
    <row r="154" spans="3:3" x14ac:dyDescent="0.2">
      <c r="C154" s="66"/>
    </row>
    <row r="155" spans="3:3" x14ac:dyDescent="0.2">
      <c r="C155" s="66"/>
    </row>
    <row r="156" spans="3:3" x14ac:dyDescent="0.2">
      <c r="C156" s="66"/>
    </row>
    <row r="157" spans="3:3" x14ac:dyDescent="0.2">
      <c r="C157" s="66"/>
    </row>
    <row r="158" spans="3:3" x14ac:dyDescent="0.2">
      <c r="C158" s="66"/>
    </row>
    <row r="159" spans="3:3" x14ac:dyDescent="0.2">
      <c r="C159" s="66"/>
    </row>
    <row r="160" spans="3:3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  <row r="311" spans="3:3" x14ac:dyDescent="0.2">
      <c r="C311" s="66"/>
    </row>
    <row r="312" spans="3:3" x14ac:dyDescent="0.2">
      <c r="C312" s="66"/>
    </row>
    <row r="313" spans="3:3" x14ac:dyDescent="0.2">
      <c r="C313" s="66"/>
    </row>
    <row r="314" spans="3:3" x14ac:dyDescent="0.2">
      <c r="C314" s="66"/>
    </row>
    <row r="315" spans="3:3" x14ac:dyDescent="0.2">
      <c r="C315" s="66"/>
    </row>
    <row r="316" spans="3:3" x14ac:dyDescent="0.2">
      <c r="C316" s="66"/>
    </row>
    <row r="317" spans="3:3" x14ac:dyDescent="0.2">
      <c r="C317" s="66"/>
    </row>
    <row r="318" spans="3:3" x14ac:dyDescent="0.2">
      <c r="C318" s="66"/>
    </row>
    <row r="319" spans="3:3" x14ac:dyDescent="0.2">
      <c r="C319" s="66"/>
    </row>
    <row r="320" spans="3:3" x14ac:dyDescent="0.2">
      <c r="C320" s="66"/>
    </row>
    <row r="321" spans="3:3" x14ac:dyDescent="0.2">
      <c r="C321" s="66"/>
    </row>
    <row r="322" spans="3:3" x14ac:dyDescent="0.2">
      <c r="C322" s="66"/>
    </row>
    <row r="323" spans="3:3" x14ac:dyDescent="0.2">
      <c r="C323" s="66"/>
    </row>
    <row r="324" spans="3:3" x14ac:dyDescent="0.2">
      <c r="C324" s="66"/>
    </row>
    <row r="325" spans="3:3" x14ac:dyDescent="0.2">
      <c r="C325" s="66"/>
    </row>
    <row r="326" spans="3:3" x14ac:dyDescent="0.2">
      <c r="C326" s="66"/>
    </row>
    <row r="327" spans="3:3" x14ac:dyDescent="0.2">
      <c r="C327" s="66"/>
    </row>
    <row r="328" spans="3:3" x14ac:dyDescent="0.2">
      <c r="C328" s="66"/>
    </row>
    <row r="329" spans="3:3" x14ac:dyDescent="0.2">
      <c r="C329" s="66"/>
    </row>
    <row r="330" spans="3:3" x14ac:dyDescent="0.2">
      <c r="C330" s="66"/>
    </row>
    <row r="331" spans="3:3" x14ac:dyDescent="0.2">
      <c r="C331" s="66"/>
    </row>
    <row r="332" spans="3:3" x14ac:dyDescent="0.2">
      <c r="C332" s="66"/>
    </row>
    <row r="333" spans="3:3" x14ac:dyDescent="0.2">
      <c r="C333" s="66"/>
    </row>
    <row r="334" spans="3:3" x14ac:dyDescent="0.2">
      <c r="C334" s="66"/>
    </row>
    <row r="335" spans="3:3" x14ac:dyDescent="0.2">
      <c r="C335" s="66"/>
    </row>
    <row r="336" spans="3:3" x14ac:dyDescent="0.2">
      <c r="C336" s="66"/>
    </row>
    <row r="337" spans="3:3" x14ac:dyDescent="0.2">
      <c r="C337" s="66"/>
    </row>
    <row r="338" spans="3:3" x14ac:dyDescent="0.2">
      <c r="C338" s="66"/>
    </row>
    <row r="339" spans="3:3" x14ac:dyDescent="0.2">
      <c r="C339" s="66"/>
    </row>
    <row r="340" spans="3:3" x14ac:dyDescent="0.2">
      <c r="C340" s="66"/>
    </row>
    <row r="341" spans="3:3" x14ac:dyDescent="0.2">
      <c r="C341" s="66"/>
    </row>
    <row r="342" spans="3:3" x14ac:dyDescent="0.2">
      <c r="C342" s="66"/>
    </row>
    <row r="343" spans="3:3" x14ac:dyDescent="0.2">
      <c r="C343" s="66"/>
    </row>
    <row r="344" spans="3:3" x14ac:dyDescent="0.2">
      <c r="C344" s="66"/>
    </row>
    <row r="345" spans="3:3" x14ac:dyDescent="0.2">
      <c r="C345" s="66"/>
    </row>
    <row r="346" spans="3:3" x14ac:dyDescent="0.2">
      <c r="C346" s="66"/>
    </row>
    <row r="347" spans="3:3" x14ac:dyDescent="0.2">
      <c r="C347" s="66"/>
    </row>
    <row r="348" spans="3:3" x14ac:dyDescent="0.2">
      <c r="C348" s="66"/>
    </row>
    <row r="349" spans="3:3" x14ac:dyDescent="0.2">
      <c r="C349" s="66"/>
    </row>
    <row r="350" spans="3:3" x14ac:dyDescent="0.2">
      <c r="C350" s="66"/>
    </row>
    <row r="351" spans="3:3" x14ac:dyDescent="0.2">
      <c r="C351" s="66"/>
    </row>
    <row r="352" spans="3:3" x14ac:dyDescent="0.2">
      <c r="C352" s="66"/>
    </row>
    <row r="353" spans="3:3" x14ac:dyDescent="0.2">
      <c r="C353" s="66"/>
    </row>
    <row r="354" spans="3:3" x14ac:dyDescent="0.2">
      <c r="C354" s="66"/>
    </row>
    <row r="355" spans="3:3" x14ac:dyDescent="0.2">
      <c r="C355" s="66"/>
    </row>
    <row r="356" spans="3:3" x14ac:dyDescent="0.2">
      <c r="C356" s="66"/>
    </row>
    <row r="357" spans="3:3" x14ac:dyDescent="0.2">
      <c r="C357" s="66"/>
    </row>
    <row r="358" spans="3:3" x14ac:dyDescent="0.2">
      <c r="C358" s="66"/>
    </row>
    <row r="359" spans="3:3" x14ac:dyDescent="0.2">
      <c r="C359" s="66"/>
    </row>
    <row r="360" spans="3:3" x14ac:dyDescent="0.2">
      <c r="C360" s="66"/>
    </row>
    <row r="361" spans="3:3" x14ac:dyDescent="0.2">
      <c r="C361" s="66"/>
    </row>
    <row r="362" spans="3:3" x14ac:dyDescent="0.2">
      <c r="C362" s="66"/>
    </row>
    <row r="363" spans="3:3" x14ac:dyDescent="0.2">
      <c r="C363" s="66"/>
    </row>
    <row r="364" spans="3:3" x14ac:dyDescent="0.2">
      <c r="C364" s="66"/>
    </row>
    <row r="365" spans="3:3" x14ac:dyDescent="0.2">
      <c r="C365" s="66"/>
    </row>
    <row r="366" spans="3:3" x14ac:dyDescent="0.2">
      <c r="C366" s="66"/>
    </row>
    <row r="367" spans="3:3" x14ac:dyDescent="0.2">
      <c r="C367" s="66"/>
    </row>
    <row r="368" spans="3:3" x14ac:dyDescent="0.2">
      <c r="C368" s="66"/>
    </row>
    <row r="369" spans="3:3" x14ac:dyDescent="0.2">
      <c r="C369" s="66"/>
    </row>
    <row r="370" spans="3:3" x14ac:dyDescent="0.2">
      <c r="C370" s="66"/>
    </row>
    <row r="371" spans="3:3" x14ac:dyDescent="0.2">
      <c r="C371" s="66"/>
    </row>
    <row r="372" spans="3:3" x14ac:dyDescent="0.2">
      <c r="C372" s="66"/>
    </row>
    <row r="373" spans="3:3" x14ac:dyDescent="0.2">
      <c r="C373" s="66"/>
    </row>
    <row r="374" spans="3:3" x14ac:dyDescent="0.2">
      <c r="C374" s="66"/>
    </row>
    <row r="375" spans="3:3" x14ac:dyDescent="0.2">
      <c r="C375" s="66"/>
    </row>
    <row r="376" spans="3:3" x14ac:dyDescent="0.2">
      <c r="C376" s="66"/>
    </row>
    <row r="377" spans="3:3" x14ac:dyDescent="0.2">
      <c r="C377" s="66"/>
    </row>
    <row r="378" spans="3:3" x14ac:dyDescent="0.2">
      <c r="C378" s="66"/>
    </row>
    <row r="379" spans="3:3" x14ac:dyDescent="0.2">
      <c r="C379" s="66"/>
    </row>
    <row r="380" spans="3:3" x14ac:dyDescent="0.2">
      <c r="C380" s="66"/>
    </row>
    <row r="381" spans="3:3" x14ac:dyDescent="0.2">
      <c r="C381" s="66"/>
    </row>
    <row r="382" spans="3:3" x14ac:dyDescent="0.2">
      <c r="C382" s="66"/>
    </row>
    <row r="383" spans="3:3" x14ac:dyDescent="0.2">
      <c r="C383" s="66"/>
    </row>
    <row r="384" spans="3:3" x14ac:dyDescent="0.2">
      <c r="C384" s="66"/>
    </row>
    <row r="385" spans="3:3" x14ac:dyDescent="0.2">
      <c r="C385" s="66"/>
    </row>
    <row r="386" spans="3:3" x14ac:dyDescent="0.2">
      <c r="C386" s="66"/>
    </row>
    <row r="387" spans="3:3" x14ac:dyDescent="0.2">
      <c r="C387" s="66"/>
    </row>
    <row r="388" spans="3:3" x14ac:dyDescent="0.2">
      <c r="C388" s="66"/>
    </row>
    <row r="389" spans="3:3" x14ac:dyDescent="0.2">
      <c r="C389" s="66"/>
    </row>
    <row r="390" spans="3:3" x14ac:dyDescent="0.2">
      <c r="C390" s="66"/>
    </row>
    <row r="391" spans="3:3" x14ac:dyDescent="0.2">
      <c r="C391" s="66"/>
    </row>
    <row r="392" spans="3:3" x14ac:dyDescent="0.2">
      <c r="C392" s="66"/>
    </row>
    <row r="393" spans="3:3" x14ac:dyDescent="0.2">
      <c r="C393" s="66"/>
    </row>
    <row r="394" spans="3:3" x14ac:dyDescent="0.2">
      <c r="C394" s="66"/>
    </row>
    <row r="395" spans="3:3" x14ac:dyDescent="0.2">
      <c r="C395" s="66"/>
    </row>
    <row r="396" spans="3:3" x14ac:dyDescent="0.2">
      <c r="C396" s="66"/>
    </row>
    <row r="397" spans="3:3" x14ac:dyDescent="0.2">
      <c r="C397" s="66"/>
    </row>
    <row r="398" spans="3:3" x14ac:dyDescent="0.2">
      <c r="C398" s="66"/>
    </row>
    <row r="399" spans="3:3" x14ac:dyDescent="0.2">
      <c r="C399" s="66"/>
    </row>
    <row r="400" spans="3:3" x14ac:dyDescent="0.2">
      <c r="C400" s="66"/>
    </row>
    <row r="401" spans="3:3" x14ac:dyDescent="0.2">
      <c r="C401" s="66"/>
    </row>
    <row r="402" spans="3:3" x14ac:dyDescent="0.2">
      <c r="C402" s="66"/>
    </row>
    <row r="403" spans="3:3" x14ac:dyDescent="0.2">
      <c r="C403" s="66"/>
    </row>
    <row r="404" spans="3:3" x14ac:dyDescent="0.2">
      <c r="C404" s="66"/>
    </row>
    <row r="405" spans="3:3" x14ac:dyDescent="0.2">
      <c r="C405" s="66"/>
    </row>
    <row r="406" spans="3:3" x14ac:dyDescent="0.2">
      <c r="C406" s="66"/>
    </row>
    <row r="407" spans="3:3" x14ac:dyDescent="0.2">
      <c r="C407" s="66"/>
    </row>
    <row r="408" spans="3:3" x14ac:dyDescent="0.2">
      <c r="C408" s="66"/>
    </row>
    <row r="409" spans="3:3" x14ac:dyDescent="0.2">
      <c r="C409" s="66"/>
    </row>
    <row r="410" spans="3:3" x14ac:dyDescent="0.2">
      <c r="C410" s="66"/>
    </row>
    <row r="411" spans="3:3" x14ac:dyDescent="0.2">
      <c r="C411" s="66"/>
    </row>
    <row r="412" spans="3:3" x14ac:dyDescent="0.2">
      <c r="C412" s="66"/>
    </row>
    <row r="413" spans="3:3" x14ac:dyDescent="0.2">
      <c r="C413" s="66"/>
    </row>
    <row r="414" spans="3:3" x14ac:dyDescent="0.2">
      <c r="C414" s="66"/>
    </row>
    <row r="415" spans="3:3" x14ac:dyDescent="0.2">
      <c r="C415" s="66"/>
    </row>
    <row r="416" spans="3:3" x14ac:dyDescent="0.2">
      <c r="C416" s="66"/>
    </row>
    <row r="417" spans="3:3" x14ac:dyDescent="0.2">
      <c r="C417" s="66"/>
    </row>
    <row r="418" spans="3:3" x14ac:dyDescent="0.2">
      <c r="C418" s="66"/>
    </row>
    <row r="419" spans="3:3" x14ac:dyDescent="0.2">
      <c r="C419" s="66"/>
    </row>
    <row r="420" spans="3:3" x14ac:dyDescent="0.2">
      <c r="C420" s="66"/>
    </row>
    <row r="421" spans="3:3" x14ac:dyDescent="0.2">
      <c r="C421" s="66"/>
    </row>
    <row r="422" spans="3:3" x14ac:dyDescent="0.2">
      <c r="C422" s="66"/>
    </row>
    <row r="423" spans="3:3" x14ac:dyDescent="0.2">
      <c r="C423" s="66"/>
    </row>
    <row r="424" spans="3:3" x14ac:dyDescent="0.2">
      <c r="C424" s="66"/>
    </row>
    <row r="425" spans="3:3" x14ac:dyDescent="0.2">
      <c r="C425" s="66"/>
    </row>
    <row r="426" spans="3:3" x14ac:dyDescent="0.2">
      <c r="C426" s="66"/>
    </row>
    <row r="427" spans="3:3" x14ac:dyDescent="0.2">
      <c r="C427" s="66"/>
    </row>
    <row r="428" spans="3:3" x14ac:dyDescent="0.2">
      <c r="C428" s="66"/>
    </row>
    <row r="429" spans="3:3" x14ac:dyDescent="0.2">
      <c r="C429" s="66"/>
    </row>
    <row r="430" spans="3:3" x14ac:dyDescent="0.2">
      <c r="C430" s="66"/>
    </row>
    <row r="431" spans="3:3" x14ac:dyDescent="0.2">
      <c r="C431" s="66"/>
    </row>
    <row r="432" spans="3:3" x14ac:dyDescent="0.2">
      <c r="C432" s="66"/>
    </row>
    <row r="433" spans="3:3" x14ac:dyDescent="0.2">
      <c r="C433" s="66"/>
    </row>
    <row r="434" spans="3:3" x14ac:dyDescent="0.2">
      <c r="C434" s="66"/>
    </row>
    <row r="435" spans="3:3" x14ac:dyDescent="0.2">
      <c r="C435" s="66"/>
    </row>
    <row r="436" spans="3:3" x14ac:dyDescent="0.2">
      <c r="C436" s="66"/>
    </row>
    <row r="437" spans="3:3" x14ac:dyDescent="0.2">
      <c r="C437" s="66"/>
    </row>
    <row r="438" spans="3:3" x14ac:dyDescent="0.2">
      <c r="C438" s="66"/>
    </row>
    <row r="439" spans="3:3" x14ac:dyDescent="0.2">
      <c r="C439" s="66"/>
    </row>
    <row r="440" spans="3:3" x14ac:dyDescent="0.2">
      <c r="C440" s="66"/>
    </row>
    <row r="441" spans="3:3" x14ac:dyDescent="0.2">
      <c r="C441" s="66"/>
    </row>
    <row r="442" spans="3:3" x14ac:dyDescent="0.2">
      <c r="C442" s="66"/>
    </row>
    <row r="443" spans="3:3" x14ac:dyDescent="0.2">
      <c r="C443" s="66"/>
    </row>
    <row r="444" spans="3:3" x14ac:dyDescent="0.2">
      <c r="C444" s="66"/>
    </row>
    <row r="445" spans="3:3" x14ac:dyDescent="0.2">
      <c r="C445" s="66"/>
    </row>
    <row r="446" spans="3:3" x14ac:dyDescent="0.2">
      <c r="C446" s="66"/>
    </row>
    <row r="447" spans="3:3" x14ac:dyDescent="0.2">
      <c r="C447" s="66"/>
    </row>
    <row r="448" spans="3:3" x14ac:dyDescent="0.2">
      <c r="C448" s="66"/>
    </row>
    <row r="449" spans="3:3" x14ac:dyDescent="0.2">
      <c r="C449" s="66"/>
    </row>
    <row r="450" spans="3:3" x14ac:dyDescent="0.2">
      <c r="C450" s="66"/>
    </row>
    <row r="451" spans="3:3" x14ac:dyDescent="0.2">
      <c r="C451" s="66"/>
    </row>
    <row r="452" spans="3:3" x14ac:dyDescent="0.2">
      <c r="C452" s="66"/>
    </row>
    <row r="453" spans="3:3" x14ac:dyDescent="0.2">
      <c r="C453" s="66"/>
    </row>
    <row r="454" spans="3:3" x14ac:dyDescent="0.2">
      <c r="C454" s="66"/>
    </row>
    <row r="455" spans="3:3" x14ac:dyDescent="0.2">
      <c r="C455" s="66"/>
    </row>
    <row r="456" spans="3:3" x14ac:dyDescent="0.2">
      <c r="C456" s="66"/>
    </row>
    <row r="457" spans="3:3" x14ac:dyDescent="0.2">
      <c r="C457" s="66"/>
    </row>
    <row r="458" spans="3:3" x14ac:dyDescent="0.2">
      <c r="C458" s="66"/>
    </row>
    <row r="459" spans="3:3" x14ac:dyDescent="0.2">
      <c r="C459" s="66"/>
    </row>
    <row r="460" spans="3:3" x14ac:dyDescent="0.2">
      <c r="C460" s="66"/>
    </row>
    <row r="461" spans="3:3" x14ac:dyDescent="0.2">
      <c r="C461" s="66"/>
    </row>
    <row r="462" spans="3:3" x14ac:dyDescent="0.2">
      <c r="C462" s="66"/>
    </row>
    <row r="463" spans="3:3" x14ac:dyDescent="0.2">
      <c r="C463" s="66"/>
    </row>
    <row r="464" spans="3:3" x14ac:dyDescent="0.2">
      <c r="C464" s="66"/>
    </row>
    <row r="465" spans="3:3" x14ac:dyDescent="0.2">
      <c r="C465" s="66"/>
    </row>
    <row r="466" spans="3:3" x14ac:dyDescent="0.2">
      <c r="C466" s="66"/>
    </row>
    <row r="467" spans="3:3" x14ac:dyDescent="0.2">
      <c r="C467" s="66"/>
    </row>
    <row r="468" spans="3:3" x14ac:dyDescent="0.2">
      <c r="C468" s="66"/>
    </row>
    <row r="469" spans="3:3" x14ac:dyDescent="0.2">
      <c r="C469" s="66"/>
    </row>
    <row r="470" spans="3:3" x14ac:dyDescent="0.2">
      <c r="C470" s="66"/>
    </row>
    <row r="471" spans="3:3" x14ac:dyDescent="0.2">
      <c r="C471" s="66"/>
    </row>
    <row r="472" spans="3:3" x14ac:dyDescent="0.2">
      <c r="C472" s="66"/>
    </row>
    <row r="473" spans="3:3" x14ac:dyDescent="0.2">
      <c r="C473" s="66"/>
    </row>
    <row r="474" spans="3:3" x14ac:dyDescent="0.2">
      <c r="C474" s="66"/>
    </row>
    <row r="475" spans="3:3" x14ac:dyDescent="0.2">
      <c r="C475" s="66"/>
    </row>
    <row r="476" spans="3:3" x14ac:dyDescent="0.2">
      <c r="C476" s="66"/>
    </row>
    <row r="477" spans="3:3" x14ac:dyDescent="0.2">
      <c r="C477" s="66"/>
    </row>
    <row r="478" spans="3:3" x14ac:dyDescent="0.2">
      <c r="C478" s="66"/>
    </row>
    <row r="479" spans="3:3" x14ac:dyDescent="0.2">
      <c r="C479" s="66"/>
    </row>
    <row r="480" spans="3:3" x14ac:dyDescent="0.2">
      <c r="C480" s="66"/>
    </row>
    <row r="481" spans="3:3" x14ac:dyDescent="0.2">
      <c r="C481" s="66"/>
    </row>
    <row r="482" spans="3:3" x14ac:dyDescent="0.2">
      <c r="C482" s="66"/>
    </row>
    <row r="483" spans="3:3" x14ac:dyDescent="0.2">
      <c r="C483" s="66"/>
    </row>
    <row r="484" spans="3:3" x14ac:dyDescent="0.2">
      <c r="C484" s="66"/>
    </row>
    <row r="485" spans="3:3" x14ac:dyDescent="0.2">
      <c r="C485" s="66"/>
    </row>
    <row r="486" spans="3:3" x14ac:dyDescent="0.2">
      <c r="C486" s="66"/>
    </row>
    <row r="487" spans="3:3" x14ac:dyDescent="0.2">
      <c r="C487" s="66"/>
    </row>
    <row r="488" spans="3:3" x14ac:dyDescent="0.2">
      <c r="C488" s="66"/>
    </row>
    <row r="489" spans="3:3" x14ac:dyDescent="0.2">
      <c r="C489" s="66"/>
    </row>
    <row r="490" spans="3:3" x14ac:dyDescent="0.2">
      <c r="C490" s="66"/>
    </row>
    <row r="491" spans="3:3" x14ac:dyDescent="0.2">
      <c r="C491" s="66"/>
    </row>
    <row r="492" spans="3:3" x14ac:dyDescent="0.2">
      <c r="C492" s="66"/>
    </row>
    <row r="493" spans="3:3" x14ac:dyDescent="0.2">
      <c r="C493" s="66"/>
    </row>
    <row r="494" spans="3:3" x14ac:dyDescent="0.2">
      <c r="C494" s="66"/>
    </row>
    <row r="495" spans="3:3" x14ac:dyDescent="0.2">
      <c r="C495" s="66"/>
    </row>
    <row r="496" spans="3:3" x14ac:dyDescent="0.2">
      <c r="C496" s="66"/>
    </row>
    <row r="497" spans="3:3" x14ac:dyDescent="0.2">
      <c r="C497" s="66"/>
    </row>
    <row r="498" spans="3:3" x14ac:dyDescent="0.2">
      <c r="C498" s="66"/>
    </row>
    <row r="499" spans="3:3" x14ac:dyDescent="0.2">
      <c r="C499" s="66"/>
    </row>
    <row r="500" spans="3:3" x14ac:dyDescent="0.2">
      <c r="C500" s="66"/>
    </row>
    <row r="501" spans="3:3" x14ac:dyDescent="0.2">
      <c r="C501" s="66"/>
    </row>
    <row r="502" spans="3:3" x14ac:dyDescent="0.2">
      <c r="C502" s="66"/>
    </row>
    <row r="503" spans="3:3" x14ac:dyDescent="0.2">
      <c r="C503" s="66"/>
    </row>
    <row r="504" spans="3:3" x14ac:dyDescent="0.2">
      <c r="C504" s="66"/>
    </row>
    <row r="505" spans="3:3" x14ac:dyDescent="0.2">
      <c r="C505" s="66"/>
    </row>
    <row r="506" spans="3:3" x14ac:dyDescent="0.2">
      <c r="C506" s="66"/>
    </row>
    <row r="507" spans="3:3" x14ac:dyDescent="0.2">
      <c r="C507" s="66"/>
    </row>
    <row r="508" spans="3:3" x14ac:dyDescent="0.2">
      <c r="C508" s="66"/>
    </row>
    <row r="509" spans="3:3" x14ac:dyDescent="0.2">
      <c r="C509" s="66"/>
    </row>
    <row r="510" spans="3:3" x14ac:dyDescent="0.2">
      <c r="C510" s="66"/>
    </row>
    <row r="511" spans="3:3" x14ac:dyDescent="0.2">
      <c r="C511" s="66"/>
    </row>
    <row r="512" spans="3:3" x14ac:dyDescent="0.2">
      <c r="C512" s="66"/>
    </row>
    <row r="513" spans="3:3" x14ac:dyDescent="0.2">
      <c r="C513" s="66"/>
    </row>
    <row r="514" spans="3:3" x14ac:dyDescent="0.2">
      <c r="C514" s="66"/>
    </row>
    <row r="515" spans="3:3" x14ac:dyDescent="0.2">
      <c r="C515" s="66"/>
    </row>
    <row r="516" spans="3:3" x14ac:dyDescent="0.2">
      <c r="C516" s="66"/>
    </row>
    <row r="517" spans="3:3" x14ac:dyDescent="0.2">
      <c r="C517" s="66"/>
    </row>
    <row r="518" spans="3:3" x14ac:dyDescent="0.2">
      <c r="C518" s="66"/>
    </row>
    <row r="519" spans="3:3" x14ac:dyDescent="0.2">
      <c r="C519" s="66"/>
    </row>
    <row r="520" spans="3:3" x14ac:dyDescent="0.2">
      <c r="C520" s="66"/>
    </row>
    <row r="521" spans="3:3" x14ac:dyDescent="0.2">
      <c r="C521" s="66"/>
    </row>
    <row r="522" spans="3:3" x14ac:dyDescent="0.2">
      <c r="C522" s="66"/>
    </row>
    <row r="523" spans="3:3" x14ac:dyDescent="0.2">
      <c r="C523" s="66"/>
    </row>
    <row r="524" spans="3:3" x14ac:dyDescent="0.2">
      <c r="C524" s="66"/>
    </row>
    <row r="525" spans="3:3" x14ac:dyDescent="0.2">
      <c r="C525" s="66"/>
    </row>
    <row r="526" spans="3:3" x14ac:dyDescent="0.2">
      <c r="C526" s="66"/>
    </row>
    <row r="527" spans="3:3" x14ac:dyDescent="0.2">
      <c r="C527" s="66"/>
    </row>
    <row r="528" spans="3:3" x14ac:dyDescent="0.2">
      <c r="C528" s="66"/>
    </row>
    <row r="529" spans="3:3" x14ac:dyDescent="0.2">
      <c r="C529" s="66"/>
    </row>
    <row r="530" spans="3:3" x14ac:dyDescent="0.2">
      <c r="C530" s="66"/>
    </row>
    <row r="531" spans="3:3" x14ac:dyDescent="0.2">
      <c r="C531" s="66"/>
    </row>
    <row r="532" spans="3:3" x14ac:dyDescent="0.2">
      <c r="C532" s="66"/>
    </row>
    <row r="533" spans="3:3" x14ac:dyDescent="0.2">
      <c r="C533" s="66"/>
    </row>
    <row r="534" spans="3:3" x14ac:dyDescent="0.2">
      <c r="C534" s="66"/>
    </row>
    <row r="535" spans="3:3" x14ac:dyDescent="0.2">
      <c r="C535" s="66"/>
    </row>
    <row r="536" spans="3:3" x14ac:dyDescent="0.2">
      <c r="C536" s="66"/>
    </row>
    <row r="537" spans="3:3" x14ac:dyDescent="0.2">
      <c r="C537" s="66"/>
    </row>
    <row r="538" spans="3:3" x14ac:dyDescent="0.2">
      <c r="C538" s="66"/>
    </row>
    <row r="539" spans="3:3" x14ac:dyDescent="0.2">
      <c r="C539" s="66"/>
    </row>
    <row r="540" spans="3:3" x14ac:dyDescent="0.2">
      <c r="C540" s="66"/>
    </row>
    <row r="541" spans="3:3" x14ac:dyDescent="0.2">
      <c r="C541" s="66"/>
    </row>
    <row r="542" spans="3:3" x14ac:dyDescent="0.2">
      <c r="C542" s="66"/>
    </row>
    <row r="543" spans="3:3" x14ac:dyDescent="0.2">
      <c r="C543" s="66"/>
    </row>
    <row r="544" spans="3:3" x14ac:dyDescent="0.2">
      <c r="C544" s="66"/>
    </row>
    <row r="545" spans="3:3" x14ac:dyDescent="0.2">
      <c r="C545" s="66"/>
    </row>
    <row r="546" spans="3:3" x14ac:dyDescent="0.2">
      <c r="C546" s="66"/>
    </row>
    <row r="547" spans="3:3" x14ac:dyDescent="0.2">
      <c r="C547" s="66"/>
    </row>
    <row r="548" spans="3:3" x14ac:dyDescent="0.2">
      <c r="C548" s="66"/>
    </row>
    <row r="549" spans="3:3" x14ac:dyDescent="0.2">
      <c r="C549" s="66"/>
    </row>
    <row r="550" spans="3:3" x14ac:dyDescent="0.2">
      <c r="C550" s="66"/>
    </row>
    <row r="551" spans="3:3" x14ac:dyDescent="0.2">
      <c r="C551" s="66"/>
    </row>
    <row r="552" spans="3:3" x14ac:dyDescent="0.2">
      <c r="C552" s="66"/>
    </row>
    <row r="553" spans="3:3" x14ac:dyDescent="0.2">
      <c r="C553" s="66"/>
    </row>
    <row r="554" spans="3:3" x14ac:dyDescent="0.2">
      <c r="C554" s="66"/>
    </row>
    <row r="555" spans="3:3" x14ac:dyDescent="0.2">
      <c r="C555" s="66"/>
    </row>
    <row r="556" spans="3:3" x14ac:dyDescent="0.2">
      <c r="C556" s="66"/>
    </row>
    <row r="557" spans="3:3" x14ac:dyDescent="0.2">
      <c r="C557" s="66"/>
    </row>
    <row r="558" spans="3:3" x14ac:dyDescent="0.2">
      <c r="C558" s="66"/>
    </row>
    <row r="559" spans="3:3" x14ac:dyDescent="0.2">
      <c r="C559" s="66"/>
    </row>
    <row r="560" spans="3:3" x14ac:dyDescent="0.2">
      <c r="C560" s="66"/>
    </row>
    <row r="561" spans="3:3" x14ac:dyDescent="0.2">
      <c r="C561" s="66"/>
    </row>
    <row r="562" spans="3:3" x14ac:dyDescent="0.2">
      <c r="C562" s="66"/>
    </row>
    <row r="563" spans="3:3" x14ac:dyDescent="0.2">
      <c r="C563" s="66"/>
    </row>
    <row r="564" spans="3:3" x14ac:dyDescent="0.2">
      <c r="C564" s="66"/>
    </row>
    <row r="565" spans="3:3" x14ac:dyDescent="0.2">
      <c r="C565" s="66"/>
    </row>
    <row r="566" spans="3:3" x14ac:dyDescent="0.2">
      <c r="C566" s="66"/>
    </row>
    <row r="567" spans="3:3" x14ac:dyDescent="0.2">
      <c r="C567" s="66"/>
    </row>
    <row r="568" spans="3:3" x14ac:dyDescent="0.2">
      <c r="C568" s="66"/>
    </row>
    <row r="569" spans="3:3" x14ac:dyDescent="0.2">
      <c r="C569" s="66"/>
    </row>
    <row r="570" spans="3:3" x14ac:dyDescent="0.2">
      <c r="C570" s="66"/>
    </row>
    <row r="571" spans="3:3" x14ac:dyDescent="0.2">
      <c r="C571" s="66"/>
    </row>
    <row r="572" spans="3:3" x14ac:dyDescent="0.2">
      <c r="C572" s="66"/>
    </row>
    <row r="573" spans="3:3" x14ac:dyDescent="0.2">
      <c r="C573" s="66"/>
    </row>
    <row r="574" spans="3:3" x14ac:dyDescent="0.2">
      <c r="C574" s="66"/>
    </row>
    <row r="575" spans="3:3" x14ac:dyDescent="0.2">
      <c r="C575" s="66"/>
    </row>
    <row r="576" spans="3:3" x14ac:dyDescent="0.2">
      <c r="C576" s="66"/>
    </row>
    <row r="577" spans="3:3" x14ac:dyDescent="0.2">
      <c r="C577" s="66"/>
    </row>
    <row r="578" spans="3:3" x14ac:dyDescent="0.2">
      <c r="C578" s="66"/>
    </row>
    <row r="579" spans="3:3" x14ac:dyDescent="0.2">
      <c r="C579" s="66"/>
    </row>
    <row r="580" spans="3:3" x14ac:dyDescent="0.2">
      <c r="C580" s="66"/>
    </row>
    <row r="581" spans="3:3" x14ac:dyDescent="0.2">
      <c r="C581" s="66"/>
    </row>
    <row r="582" spans="3:3" x14ac:dyDescent="0.2">
      <c r="C582" s="66"/>
    </row>
    <row r="583" spans="3:3" x14ac:dyDescent="0.2">
      <c r="C583" s="66"/>
    </row>
    <row r="584" spans="3:3" x14ac:dyDescent="0.2">
      <c r="C584" s="66"/>
    </row>
    <row r="585" spans="3:3" x14ac:dyDescent="0.2">
      <c r="C585" s="66"/>
    </row>
    <row r="586" spans="3:3" x14ac:dyDescent="0.2">
      <c r="C586" s="66"/>
    </row>
    <row r="587" spans="3:3" x14ac:dyDescent="0.2">
      <c r="C587" s="66"/>
    </row>
    <row r="588" spans="3:3" x14ac:dyDescent="0.2">
      <c r="C588" s="66"/>
    </row>
    <row r="589" spans="3:3" x14ac:dyDescent="0.2">
      <c r="C589" s="66"/>
    </row>
    <row r="590" spans="3:3" x14ac:dyDescent="0.2">
      <c r="C590" s="66"/>
    </row>
    <row r="591" spans="3:3" x14ac:dyDescent="0.2">
      <c r="C591" s="66"/>
    </row>
    <row r="592" spans="3:3" x14ac:dyDescent="0.2">
      <c r="C592" s="66"/>
    </row>
    <row r="593" spans="3:3" x14ac:dyDescent="0.2">
      <c r="C593" s="66"/>
    </row>
    <row r="594" spans="3:3" x14ac:dyDescent="0.2">
      <c r="C594" s="66"/>
    </row>
    <row r="595" spans="3:3" x14ac:dyDescent="0.2">
      <c r="C595" s="66"/>
    </row>
    <row r="596" spans="3:3" x14ac:dyDescent="0.2">
      <c r="C596" s="66"/>
    </row>
    <row r="597" spans="3:3" x14ac:dyDescent="0.2">
      <c r="C597" s="66"/>
    </row>
    <row r="598" spans="3:3" x14ac:dyDescent="0.2">
      <c r="C598" s="66"/>
    </row>
    <row r="599" spans="3:3" x14ac:dyDescent="0.2">
      <c r="C599" s="66"/>
    </row>
    <row r="600" spans="3:3" x14ac:dyDescent="0.2">
      <c r="C600" s="66"/>
    </row>
    <row r="601" spans="3:3" x14ac:dyDescent="0.2">
      <c r="C601" s="66"/>
    </row>
    <row r="602" spans="3:3" x14ac:dyDescent="0.2">
      <c r="C602" s="66"/>
    </row>
    <row r="603" spans="3:3" x14ac:dyDescent="0.2">
      <c r="C603" s="66"/>
    </row>
    <row r="604" spans="3:3" x14ac:dyDescent="0.2">
      <c r="C604" s="66"/>
    </row>
    <row r="605" spans="3:3" x14ac:dyDescent="0.2">
      <c r="C605" s="66"/>
    </row>
    <row r="606" spans="3:3" x14ac:dyDescent="0.2">
      <c r="C606" s="66"/>
    </row>
    <row r="607" spans="3:3" x14ac:dyDescent="0.2">
      <c r="C607" s="66"/>
    </row>
    <row r="608" spans="3:3" x14ac:dyDescent="0.2">
      <c r="C608" s="66"/>
    </row>
    <row r="609" spans="3:3" x14ac:dyDescent="0.2">
      <c r="C609" s="66"/>
    </row>
    <row r="610" spans="3:3" x14ac:dyDescent="0.2">
      <c r="C610" s="66"/>
    </row>
    <row r="611" spans="3:3" x14ac:dyDescent="0.2">
      <c r="C611" s="66"/>
    </row>
    <row r="612" spans="3:3" x14ac:dyDescent="0.2">
      <c r="C612" s="66"/>
    </row>
    <row r="613" spans="3:3" x14ac:dyDescent="0.2">
      <c r="C613" s="66"/>
    </row>
    <row r="614" spans="3:3" x14ac:dyDescent="0.2">
      <c r="C614" s="66"/>
    </row>
    <row r="615" spans="3:3" x14ac:dyDescent="0.2">
      <c r="C615" s="66"/>
    </row>
    <row r="616" spans="3:3" x14ac:dyDescent="0.2">
      <c r="C616" s="66"/>
    </row>
    <row r="617" spans="3:3" x14ac:dyDescent="0.2">
      <c r="C617" s="66"/>
    </row>
    <row r="618" spans="3:3" x14ac:dyDescent="0.2">
      <c r="C618" s="66"/>
    </row>
    <row r="619" spans="3:3" x14ac:dyDescent="0.2">
      <c r="C619" s="66"/>
    </row>
    <row r="620" spans="3:3" x14ac:dyDescent="0.2">
      <c r="C620" s="66"/>
    </row>
    <row r="621" spans="3:3" x14ac:dyDescent="0.2">
      <c r="C621" s="66"/>
    </row>
    <row r="622" spans="3:3" x14ac:dyDescent="0.2">
      <c r="C622" s="66"/>
    </row>
    <row r="623" spans="3:3" x14ac:dyDescent="0.2">
      <c r="C623" s="66"/>
    </row>
    <row r="624" spans="3:3" x14ac:dyDescent="0.2">
      <c r="C624" s="66"/>
    </row>
    <row r="625" spans="3:3" x14ac:dyDescent="0.2">
      <c r="C625" s="66"/>
    </row>
    <row r="626" spans="3:3" x14ac:dyDescent="0.2">
      <c r="C626" s="66"/>
    </row>
    <row r="627" spans="3:3" x14ac:dyDescent="0.2">
      <c r="C627" s="66"/>
    </row>
    <row r="628" spans="3:3" x14ac:dyDescent="0.2">
      <c r="C628" s="66"/>
    </row>
    <row r="629" spans="3:3" x14ac:dyDescent="0.2">
      <c r="C629" s="66"/>
    </row>
    <row r="630" spans="3:3" x14ac:dyDescent="0.2">
      <c r="C630" s="66"/>
    </row>
    <row r="631" spans="3:3" x14ac:dyDescent="0.2">
      <c r="C631" s="66"/>
    </row>
    <row r="632" spans="3:3" x14ac:dyDescent="0.2">
      <c r="C632" s="66"/>
    </row>
    <row r="633" spans="3:3" x14ac:dyDescent="0.2">
      <c r="C633" s="66"/>
    </row>
    <row r="634" spans="3:3" x14ac:dyDescent="0.2">
      <c r="C634" s="66"/>
    </row>
    <row r="635" spans="3:3" x14ac:dyDescent="0.2">
      <c r="C635" s="66"/>
    </row>
    <row r="636" spans="3:3" x14ac:dyDescent="0.2">
      <c r="C636" s="66"/>
    </row>
    <row r="637" spans="3:3" x14ac:dyDescent="0.2">
      <c r="C637" s="66"/>
    </row>
    <row r="638" spans="3:3" x14ac:dyDescent="0.2">
      <c r="C638" s="66"/>
    </row>
    <row r="639" spans="3:3" x14ac:dyDescent="0.2">
      <c r="C639" s="66"/>
    </row>
    <row r="640" spans="3:3" x14ac:dyDescent="0.2">
      <c r="C640" s="66"/>
    </row>
    <row r="641" spans="3:3" x14ac:dyDescent="0.2">
      <c r="C641" s="66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9773"/>
  <sheetViews>
    <sheetView zoomScale="85" zoomScaleNormal="85" workbookViewId="0"/>
  </sheetViews>
  <sheetFormatPr defaultRowHeight="12.75" x14ac:dyDescent="0.2"/>
  <cols>
    <col min="1" max="7" width="12.7109375" style="12" bestFit="1" customWidth="1"/>
    <col min="8" max="8" width="11.5703125" style="12" bestFit="1" customWidth="1"/>
    <col min="9" max="10" width="12.7109375" style="12" bestFit="1" customWidth="1"/>
    <col min="11" max="256" width="9.140625" style="12"/>
    <col min="257" max="263" width="12.7109375" style="12" bestFit="1" customWidth="1"/>
    <col min="264" max="264" width="11.5703125" style="12" bestFit="1" customWidth="1"/>
    <col min="265" max="266" width="12.7109375" style="12" bestFit="1" customWidth="1"/>
    <col min="267" max="512" width="9.140625" style="12"/>
    <col min="513" max="519" width="12.7109375" style="12" bestFit="1" customWidth="1"/>
    <col min="520" max="520" width="11.5703125" style="12" bestFit="1" customWidth="1"/>
    <col min="521" max="522" width="12.7109375" style="12" bestFit="1" customWidth="1"/>
    <col min="523" max="768" width="9.140625" style="12"/>
    <col min="769" max="775" width="12.7109375" style="12" bestFit="1" customWidth="1"/>
    <col min="776" max="776" width="11.5703125" style="12" bestFit="1" customWidth="1"/>
    <col min="777" max="778" width="12.7109375" style="12" bestFit="1" customWidth="1"/>
    <col min="779" max="1024" width="9.140625" style="12"/>
    <col min="1025" max="1031" width="12.7109375" style="12" bestFit="1" customWidth="1"/>
    <col min="1032" max="1032" width="11.5703125" style="12" bestFit="1" customWidth="1"/>
    <col min="1033" max="1034" width="12.7109375" style="12" bestFit="1" customWidth="1"/>
    <col min="1035" max="1280" width="9.140625" style="12"/>
    <col min="1281" max="1287" width="12.7109375" style="12" bestFit="1" customWidth="1"/>
    <col min="1288" max="1288" width="11.5703125" style="12" bestFit="1" customWidth="1"/>
    <col min="1289" max="1290" width="12.7109375" style="12" bestFit="1" customWidth="1"/>
    <col min="1291" max="1536" width="9.140625" style="12"/>
    <col min="1537" max="1543" width="12.7109375" style="12" bestFit="1" customWidth="1"/>
    <col min="1544" max="1544" width="11.5703125" style="12" bestFit="1" customWidth="1"/>
    <col min="1545" max="1546" width="12.7109375" style="12" bestFit="1" customWidth="1"/>
    <col min="1547" max="1792" width="9.140625" style="12"/>
    <col min="1793" max="1799" width="12.7109375" style="12" bestFit="1" customWidth="1"/>
    <col min="1800" max="1800" width="11.5703125" style="12" bestFit="1" customWidth="1"/>
    <col min="1801" max="1802" width="12.7109375" style="12" bestFit="1" customWidth="1"/>
    <col min="1803" max="2048" width="9.140625" style="12"/>
    <col min="2049" max="2055" width="12.7109375" style="12" bestFit="1" customWidth="1"/>
    <col min="2056" max="2056" width="11.5703125" style="12" bestFit="1" customWidth="1"/>
    <col min="2057" max="2058" width="12.7109375" style="12" bestFit="1" customWidth="1"/>
    <col min="2059" max="2304" width="9.140625" style="12"/>
    <col min="2305" max="2311" width="12.7109375" style="12" bestFit="1" customWidth="1"/>
    <col min="2312" max="2312" width="11.5703125" style="12" bestFit="1" customWidth="1"/>
    <col min="2313" max="2314" width="12.7109375" style="12" bestFit="1" customWidth="1"/>
    <col min="2315" max="2560" width="9.140625" style="12"/>
    <col min="2561" max="2567" width="12.7109375" style="12" bestFit="1" customWidth="1"/>
    <col min="2568" max="2568" width="11.5703125" style="12" bestFit="1" customWidth="1"/>
    <col min="2569" max="2570" width="12.7109375" style="12" bestFit="1" customWidth="1"/>
    <col min="2571" max="2816" width="9.140625" style="12"/>
    <col min="2817" max="2823" width="12.7109375" style="12" bestFit="1" customWidth="1"/>
    <col min="2824" max="2824" width="11.5703125" style="12" bestFit="1" customWidth="1"/>
    <col min="2825" max="2826" width="12.7109375" style="12" bestFit="1" customWidth="1"/>
    <col min="2827" max="3072" width="9.140625" style="12"/>
    <col min="3073" max="3079" width="12.7109375" style="12" bestFit="1" customWidth="1"/>
    <col min="3080" max="3080" width="11.5703125" style="12" bestFit="1" customWidth="1"/>
    <col min="3081" max="3082" width="12.7109375" style="12" bestFit="1" customWidth="1"/>
    <col min="3083" max="3328" width="9.140625" style="12"/>
    <col min="3329" max="3335" width="12.7109375" style="12" bestFit="1" customWidth="1"/>
    <col min="3336" max="3336" width="11.5703125" style="12" bestFit="1" customWidth="1"/>
    <col min="3337" max="3338" width="12.7109375" style="12" bestFit="1" customWidth="1"/>
    <col min="3339" max="3584" width="9.140625" style="12"/>
    <col min="3585" max="3591" width="12.7109375" style="12" bestFit="1" customWidth="1"/>
    <col min="3592" max="3592" width="11.5703125" style="12" bestFit="1" customWidth="1"/>
    <col min="3593" max="3594" width="12.7109375" style="12" bestFit="1" customWidth="1"/>
    <col min="3595" max="3840" width="9.140625" style="12"/>
    <col min="3841" max="3847" width="12.7109375" style="12" bestFit="1" customWidth="1"/>
    <col min="3848" max="3848" width="11.5703125" style="12" bestFit="1" customWidth="1"/>
    <col min="3849" max="3850" width="12.7109375" style="12" bestFit="1" customWidth="1"/>
    <col min="3851" max="4096" width="9.140625" style="12"/>
    <col min="4097" max="4103" width="12.7109375" style="12" bestFit="1" customWidth="1"/>
    <col min="4104" max="4104" width="11.5703125" style="12" bestFit="1" customWidth="1"/>
    <col min="4105" max="4106" width="12.7109375" style="12" bestFit="1" customWidth="1"/>
    <col min="4107" max="4352" width="9.140625" style="12"/>
    <col min="4353" max="4359" width="12.7109375" style="12" bestFit="1" customWidth="1"/>
    <col min="4360" max="4360" width="11.5703125" style="12" bestFit="1" customWidth="1"/>
    <col min="4361" max="4362" width="12.7109375" style="12" bestFit="1" customWidth="1"/>
    <col min="4363" max="4608" width="9.140625" style="12"/>
    <col min="4609" max="4615" width="12.7109375" style="12" bestFit="1" customWidth="1"/>
    <col min="4616" max="4616" width="11.5703125" style="12" bestFit="1" customWidth="1"/>
    <col min="4617" max="4618" width="12.7109375" style="12" bestFit="1" customWidth="1"/>
    <col min="4619" max="4864" width="9.140625" style="12"/>
    <col min="4865" max="4871" width="12.7109375" style="12" bestFit="1" customWidth="1"/>
    <col min="4872" max="4872" width="11.5703125" style="12" bestFit="1" customWidth="1"/>
    <col min="4873" max="4874" width="12.7109375" style="12" bestFit="1" customWidth="1"/>
    <col min="4875" max="5120" width="9.140625" style="12"/>
    <col min="5121" max="5127" width="12.7109375" style="12" bestFit="1" customWidth="1"/>
    <col min="5128" max="5128" width="11.5703125" style="12" bestFit="1" customWidth="1"/>
    <col min="5129" max="5130" width="12.7109375" style="12" bestFit="1" customWidth="1"/>
    <col min="5131" max="5376" width="9.140625" style="12"/>
    <col min="5377" max="5383" width="12.7109375" style="12" bestFit="1" customWidth="1"/>
    <col min="5384" max="5384" width="11.5703125" style="12" bestFit="1" customWidth="1"/>
    <col min="5385" max="5386" width="12.7109375" style="12" bestFit="1" customWidth="1"/>
    <col min="5387" max="5632" width="9.140625" style="12"/>
    <col min="5633" max="5639" width="12.7109375" style="12" bestFit="1" customWidth="1"/>
    <col min="5640" max="5640" width="11.5703125" style="12" bestFit="1" customWidth="1"/>
    <col min="5641" max="5642" width="12.7109375" style="12" bestFit="1" customWidth="1"/>
    <col min="5643" max="5888" width="9.140625" style="12"/>
    <col min="5889" max="5895" width="12.7109375" style="12" bestFit="1" customWidth="1"/>
    <col min="5896" max="5896" width="11.5703125" style="12" bestFit="1" customWidth="1"/>
    <col min="5897" max="5898" width="12.7109375" style="12" bestFit="1" customWidth="1"/>
    <col min="5899" max="6144" width="9.140625" style="12"/>
    <col min="6145" max="6151" width="12.7109375" style="12" bestFit="1" customWidth="1"/>
    <col min="6152" max="6152" width="11.5703125" style="12" bestFit="1" customWidth="1"/>
    <col min="6153" max="6154" width="12.7109375" style="12" bestFit="1" customWidth="1"/>
    <col min="6155" max="6400" width="9.140625" style="12"/>
    <col min="6401" max="6407" width="12.7109375" style="12" bestFit="1" customWidth="1"/>
    <col min="6408" max="6408" width="11.5703125" style="12" bestFit="1" customWidth="1"/>
    <col min="6409" max="6410" width="12.7109375" style="12" bestFit="1" customWidth="1"/>
    <col min="6411" max="6656" width="9.140625" style="12"/>
    <col min="6657" max="6663" width="12.7109375" style="12" bestFit="1" customWidth="1"/>
    <col min="6664" max="6664" width="11.5703125" style="12" bestFit="1" customWidth="1"/>
    <col min="6665" max="6666" width="12.7109375" style="12" bestFit="1" customWidth="1"/>
    <col min="6667" max="6912" width="9.140625" style="12"/>
    <col min="6913" max="6919" width="12.7109375" style="12" bestFit="1" customWidth="1"/>
    <col min="6920" max="6920" width="11.5703125" style="12" bestFit="1" customWidth="1"/>
    <col min="6921" max="6922" width="12.7109375" style="12" bestFit="1" customWidth="1"/>
    <col min="6923" max="7168" width="9.140625" style="12"/>
    <col min="7169" max="7175" width="12.7109375" style="12" bestFit="1" customWidth="1"/>
    <col min="7176" max="7176" width="11.5703125" style="12" bestFit="1" customWidth="1"/>
    <col min="7177" max="7178" width="12.7109375" style="12" bestFit="1" customWidth="1"/>
    <col min="7179" max="7424" width="9.140625" style="12"/>
    <col min="7425" max="7431" width="12.7109375" style="12" bestFit="1" customWidth="1"/>
    <col min="7432" max="7432" width="11.5703125" style="12" bestFit="1" customWidth="1"/>
    <col min="7433" max="7434" width="12.7109375" style="12" bestFit="1" customWidth="1"/>
    <col min="7435" max="7680" width="9.140625" style="12"/>
    <col min="7681" max="7687" width="12.7109375" style="12" bestFit="1" customWidth="1"/>
    <col min="7688" max="7688" width="11.5703125" style="12" bestFit="1" customWidth="1"/>
    <col min="7689" max="7690" width="12.7109375" style="12" bestFit="1" customWidth="1"/>
    <col min="7691" max="7936" width="9.140625" style="12"/>
    <col min="7937" max="7943" width="12.7109375" style="12" bestFit="1" customWidth="1"/>
    <col min="7944" max="7944" width="11.5703125" style="12" bestFit="1" customWidth="1"/>
    <col min="7945" max="7946" width="12.7109375" style="12" bestFit="1" customWidth="1"/>
    <col min="7947" max="8192" width="9.140625" style="12"/>
    <col min="8193" max="8199" width="12.7109375" style="12" bestFit="1" customWidth="1"/>
    <col min="8200" max="8200" width="11.5703125" style="12" bestFit="1" customWidth="1"/>
    <col min="8201" max="8202" width="12.7109375" style="12" bestFit="1" customWidth="1"/>
    <col min="8203" max="8448" width="9.140625" style="12"/>
    <col min="8449" max="8455" width="12.7109375" style="12" bestFit="1" customWidth="1"/>
    <col min="8456" max="8456" width="11.5703125" style="12" bestFit="1" customWidth="1"/>
    <col min="8457" max="8458" width="12.7109375" style="12" bestFit="1" customWidth="1"/>
    <col min="8459" max="8704" width="9.140625" style="12"/>
    <col min="8705" max="8711" width="12.7109375" style="12" bestFit="1" customWidth="1"/>
    <col min="8712" max="8712" width="11.5703125" style="12" bestFit="1" customWidth="1"/>
    <col min="8713" max="8714" width="12.7109375" style="12" bestFit="1" customWidth="1"/>
    <col min="8715" max="8960" width="9.140625" style="12"/>
    <col min="8961" max="8967" width="12.7109375" style="12" bestFit="1" customWidth="1"/>
    <col min="8968" max="8968" width="11.5703125" style="12" bestFit="1" customWidth="1"/>
    <col min="8969" max="8970" width="12.7109375" style="12" bestFit="1" customWidth="1"/>
    <col min="8971" max="9216" width="9.140625" style="12"/>
    <col min="9217" max="9223" width="12.7109375" style="12" bestFit="1" customWidth="1"/>
    <col min="9224" max="9224" width="11.5703125" style="12" bestFit="1" customWidth="1"/>
    <col min="9225" max="9226" width="12.7109375" style="12" bestFit="1" customWidth="1"/>
    <col min="9227" max="9472" width="9.140625" style="12"/>
    <col min="9473" max="9479" width="12.7109375" style="12" bestFit="1" customWidth="1"/>
    <col min="9480" max="9480" width="11.5703125" style="12" bestFit="1" customWidth="1"/>
    <col min="9481" max="9482" width="12.7109375" style="12" bestFit="1" customWidth="1"/>
    <col min="9483" max="9728" width="9.140625" style="12"/>
    <col min="9729" max="9735" width="12.7109375" style="12" bestFit="1" customWidth="1"/>
    <col min="9736" max="9736" width="11.5703125" style="12" bestFit="1" customWidth="1"/>
    <col min="9737" max="9738" width="12.7109375" style="12" bestFit="1" customWidth="1"/>
    <col min="9739" max="9984" width="9.140625" style="12"/>
    <col min="9985" max="9991" width="12.7109375" style="12" bestFit="1" customWidth="1"/>
    <col min="9992" max="9992" width="11.5703125" style="12" bestFit="1" customWidth="1"/>
    <col min="9993" max="9994" width="12.7109375" style="12" bestFit="1" customWidth="1"/>
    <col min="9995" max="10240" width="9.140625" style="12"/>
    <col min="10241" max="10247" width="12.7109375" style="12" bestFit="1" customWidth="1"/>
    <col min="10248" max="10248" width="11.5703125" style="12" bestFit="1" customWidth="1"/>
    <col min="10249" max="10250" width="12.7109375" style="12" bestFit="1" customWidth="1"/>
    <col min="10251" max="10496" width="9.140625" style="12"/>
    <col min="10497" max="10503" width="12.7109375" style="12" bestFit="1" customWidth="1"/>
    <col min="10504" max="10504" width="11.5703125" style="12" bestFit="1" customWidth="1"/>
    <col min="10505" max="10506" width="12.7109375" style="12" bestFit="1" customWidth="1"/>
    <col min="10507" max="10752" width="9.140625" style="12"/>
    <col min="10753" max="10759" width="12.7109375" style="12" bestFit="1" customWidth="1"/>
    <col min="10760" max="10760" width="11.5703125" style="12" bestFit="1" customWidth="1"/>
    <col min="10761" max="10762" width="12.7109375" style="12" bestFit="1" customWidth="1"/>
    <col min="10763" max="11008" width="9.140625" style="12"/>
    <col min="11009" max="11015" width="12.7109375" style="12" bestFit="1" customWidth="1"/>
    <col min="11016" max="11016" width="11.5703125" style="12" bestFit="1" customWidth="1"/>
    <col min="11017" max="11018" width="12.7109375" style="12" bestFit="1" customWidth="1"/>
    <col min="11019" max="11264" width="9.140625" style="12"/>
    <col min="11265" max="11271" width="12.7109375" style="12" bestFit="1" customWidth="1"/>
    <col min="11272" max="11272" width="11.5703125" style="12" bestFit="1" customWidth="1"/>
    <col min="11273" max="11274" width="12.7109375" style="12" bestFit="1" customWidth="1"/>
    <col min="11275" max="11520" width="9.140625" style="12"/>
    <col min="11521" max="11527" width="12.7109375" style="12" bestFit="1" customWidth="1"/>
    <col min="11528" max="11528" width="11.5703125" style="12" bestFit="1" customWidth="1"/>
    <col min="11529" max="11530" width="12.7109375" style="12" bestFit="1" customWidth="1"/>
    <col min="11531" max="11776" width="9.140625" style="12"/>
    <col min="11777" max="11783" width="12.7109375" style="12" bestFit="1" customWidth="1"/>
    <col min="11784" max="11784" width="11.5703125" style="12" bestFit="1" customWidth="1"/>
    <col min="11785" max="11786" width="12.7109375" style="12" bestFit="1" customWidth="1"/>
    <col min="11787" max="12032" width="9.140625" style="12"/>
    <col min="12033" max="12039" width="12.7109375" style="12" bestFit="1" customWidth="1"/>
    <col min="12040" max="12040" width="11.5703125" style="12" bestFit="1" customWidth="1"/>
    <col min="12041" max="12042" width="12.7109375" style="12" bestFit="1" customWidth="1"/>
    <col min="12043" max="12288" width="9.140625" style="12"/>
    <col min="12289" max="12295" width="12.7109375" style="12" bestFit="1" customWidth="1"/>
    <col min="12296" max="12296" width="11.5703125" style="12" bestFit="1" customWidth="1"/>
    <col min="12297" max="12298" width="12.7109375" style="12" bestFit="1" customWidth="1"/>
    <col min="12299" max="12544" width="9.140625" style="12"/>
    <col min="12545" max="12551" width="12.7109375" style="12" bestFit="1" customWidth="1"/>
    <col min="12552" max="12552" width="11.5703125" style="12" bestFit="1" customWidth="1"/>
    <col min="12553" max="12554" width="12.7109375" style="12" bestFit="1" customWidth="1"/>
    <col min="12555" max="12800" width="9.140625" style="12"/>
    <col min="12801" max="12807" width="12.7109375" style="12" bestFit="1" customWidth="1"/>
    <col min="12808" max="12808" width="11.5703125" style="12" bestFit="1" customWidth="1"/>
    <col min="12809" max="12810" width="12.7109375" style="12" bestFit="1" customWidth="1"/>
    <col min="12811" max="13056" width="9.140625" style="12"/>
    <col min="13057" max="13063" width="12.7109375" style="12" bestFit="1" customWidth="1"/>
    <col min="13064" max="13064" width="11.5703125" style="12" bestFit="1" customWidth="1"/>
    <col min="13065" max="13066" width="12.7109375" style="12" bestFit="1" customWidth="1"/>
    <col min="13067" max="13312" width="9.140625" style="12"/>
    <col min="13313" max="13319" width="12.7109375" style="12" bestFit="1" customWidth="1"/>
    <col min="13320" max="13320" width="11.5703125" style="12" bestFit="1" customWidth="1"/>
    <col min="13321" max="13322" width="12.7109375" style="12" bestFit="1" customWidth="1"/>
    <col min="13323" max="13568" width="9.140625" style="12"/>
    <col min="13569" max="13575" width="12.7109375" style="12" bestFit="1" customWidth="1"/>
    <col min="13576" max="13576" width="11.5703125" style="12" bestFit="1" customWidth="1"/>
    <col min="13577" max="13578" width="12.7109375" style="12" bestFit="1" customWidth="1"/>
    <col min="13579" max="13824" width="9.140625" style="12"/>
    <col min="13825" max="13831" width="12.7109375" style="12" bestFit="1" customWidth="1"/>
    <col min="13832" max="13832" width="11.5703125" style="12" bestFit="1" customWidth="1"/>
    <col min="13833" max="13834" width="12.7109375" style="12" bestFit="1" customWidth="1"/>
    <col min="13835" max="14080" width="9.140625" style="12"/>
    <col min="14081" max="14087" width="12.7109375" style="12" bestFit="1" customWidth="1"/>
    <col min="14088" max="14088" width="11.5703125" style="12" bestFit="1" customWidth="1"/>
    <col min="14089" max="14090" width="12.7109375" style="12" bestFit="1" customWidth="1"/>
    <col min="14091" max="14336" width="9.140625" style="12"/>
    <col min="14337" max="14343" width="12.7109375" style="12" bestFit="1" customWidth="1"/>
    <col min="14344" max="14344" width="11.5703125" style="12" bestFit="1" customWidth="1"/>
    <col min="14345" max="14346" width="12.7109375" style="12" bestFit="1" customWidth="1"/>
    <col min="14347" max="14592" width="9.140625" style="12"/>
    <col min="14593" max="14599" width="12.7109375" style="12" bestFit="1" customWidth="1"/>
    <col min="14600" max="14600" width="11.5703125" style="12" bestFit="1" customWidth="1"/>
    <col min="14601" max="14602" width="12.7109375" style="12" bestFit="1" customWidth="1"/>
    <col min="14603" max="14848" width="9.140625" style="12"/>
    <col min="14849" max="14855" width="12.7109375" style="12" bestFit="1" customWidth="1"/>
    <col min="14856" max="14856" width="11.5703125" style="12" bestFit="1" customWidth="1"/>
    <col min="14857" max="14858" width="12.7109375" style="12" bestFit="1" customWidth="1"/>
    <col min="14859" max="15104" width="9.140625" style="12"/>
    <col min="15105" max="15111" width="12.7109375" style="12" bestFit="1" customWidth="1"/>
    <col min="15112" max="15112" width="11.5703125" style="12" bestFit="1" customWidth="1"/>
    <col min="15113" max="15114" width="12.7109375" style="12" bestFit="1" customWidth="1"/>
    <col min="15115" max="15360" width="9.140625" style="12"/>
    <col min="15361" max="15367" width="12.7109375" style="12" bestFit="1" customWidth="1"/>
    <col min="15368" max="15368" width="11.5703125" style="12" bestFit="1" customWidth="1"/>
    <col min="15369" max="15370" width="12.7109375" style="12" bestFit="1" customWidth="1"/>
    <col min="15371" max="15616" width="9.140625" style="12"/>
    <col min="15617" max="15623" width="12.7109375" style="12" bestFit="1" customWidth="1"/>
    <col min="15624" max="15624" width="11.5703125" style="12" bestFit="1" customWidth="1"/>
    <col min="15625" max="15626" width="12.7109375" style="12" bestFit="1" customWidth="1"/>
    <col min="15627" max="15872" width="9.140625" style="12"/>
    <col min="15873" max="15879" width="12.7109375" style="12" bestFit="1" customWidth="1"/>
    <col min="15880" max="15880" width="11.5703125" style="12" bestFit="1" customWidth="1"/>
    <col min="15881" max="15882" width="12.7109375" style="12" bestFit="1" customWidth="1"/>
    <col min="15883" max="16128" width="9.140625" style="12"/>
    <col min="16129" max="16135" width="12.7109375" style="12" bestFit="1" customWidth="1"/>
    <col min="16136" max="16136" width="11.5703125" style="12" bestFit="1" customWidth="1"/>
    <col min="16137" max="16138" width="12.7109375" style="12" bestFit="1" customWidth="1"/>
    <col min="16139" max="16384" width="9.140625" style="12"/>
  </cols>
  <sheetData>
    <row r="1" spans="1:14" x14ac:dyDescent="0.2">
      <c r="A1"/>
      <c r="B1"/>
      <c r="C1"/>
      <c r="D1"/>
      <c r="E1"/>
      <c r="F1"/>
      <c r="G1"/>
      <c r="H1"/>
    </row>
    <row r="2" spans="1:14" x14ac:dyDescent="0.2">
      <c r="A2"/>
      <c r="B2"/>
      <c r="C2"/>
      <c r="D2"/>
      <c r="E2"/>
      <c r="F2"/>
      <c r="G2"/>
      <c r="H2"/>
      <c r="L2" s="24"/>
      <c r="M2" s="15">
        <v>5</v>
      </c>
      <c r="N2" s="25" t="s">
        <v>236</v>
      </c>
    </row>
    <row r="3" spans="1:14" x14ac:dyDescent="0.2">
      <c r="A3"/>
      <c r="B3"/>
      <c r="C3"/>
      <c r="D3"/>
      <c r="E3"/>
      <c r="F3"/>
      <c r="G3"/>
      <c r="H3"/>
      <c r="L3" s="24"/>
    </row>
    <row r="4" spans="1:14" x14ac:dyDescent="0.2">
      <c r="A4"/>
      <c r="B4"/>
      <c r="C4"/>
      <c r="D4"/>
      <c r="E4"/>
      <c r="F4"/>
      <c r="G4"/>
      <c r="H4"/>
    </row>
    <row r="5" spans="1:14" x14ac:dyDescent="0.2">
      <c r="A5"/>
      <c r="B5"/>
      <c r="C5"/>
      <c r="D5"/>
      <c r="E5"/>
      <c r="F5"/>
      <c r="G5"/>
      <c r="H5"/>
    </row>
    <row r="6" spans="1:14" x14ac:dyDescent="0.2">
      <c r="A6"/>
      <c r="B6"/>
      <c r="C6"/>
      <c r="D6"/>
      <c r="E6"/>
      <c r="F6"/>
      <c r="G6"/>
      <c r="H6"/>
    </row>
    <row r="7" spans="1:14" x14ac:dyDescent="0.2">
      <c r="A7"/>
      <c r="B7"/>
      <c r="C7"/>
      <c r="D7"/>
      <c r="E7"/>
      <c r="F7"/>
      <c r="G7"/>
      <c r="H7"/>
    </row>
    <row r="8" spans="1:14" x14ac:dyDescent="0.2">
      <c r="A8"/>
      <c r="B8"/>
      <c r="C8"/>
      <c r="D8"/>
      <c r="E8"/>
      <c r="F8"/>
      <c r="G8"/>
      <c r="H8"/>
    </row>
    <row r="9" spans="1:14" x14ac:dyDescent="0.2">
      <c r="A9"/>
      <c r="B9"/>
      <c r="C9"/>
      <c r="D9"/>
      <c r="E9"/>
      <c r="F9"/>
      <c r="G9"/>
      <c r="H9"/>
    </row>
    <row r="10" spans="1:14" x14ac:dyDescent="0.2">
      <c r="A10"/>
      <c r="B10"/>
      <c r="C10"/>
      <c r="D10"/>
      <c r="E10"/>
      <c r="F10"/>
      <c r="G10"/>
      <c r="H10"/>
    </row>
    <row r="11" spans="1:14" x14ac:dyDescent="0.2">
      <c r="A11"/>
      <c r="B11"/>
      <c r="C11"/>
      <c r="D11"/>
      <c r="E11"/>
      <c r="F11"/>
      <c r="G11"/>
      <c r="H11"/>
    </row>
    <row r="12" spans="1:14" x14ac:dyDescent="0.2">
      <c r="A12"/>
      <c r="B12"/>
      <c r="C12"/>
      <c r="D12"/>
      <c r="E12"/>
      <c r="F12"/>
      <c r="G12"/>
      <c r="H12"/>
    </row>
    <row r="13" spans="1:14" x14ac:dyDescent="0.2">
      <c r="A13"/>
      <c r="B13"/>
      <c r="C13"/>
      <c r="D13"/>
      <c r="E13"/>
      <c r="F13"/>
      <c r="G13"/>
      <c r="H13"/>
    </row>
    <row r="14" spans="1:14" x14ac:dyDescent="0.2">
      <c r="A14"/>
      <c r="B14"/>
      <c r="C14"/>
      <c r="D14"/>
      <c r="E14"/>
      <c r="F14"/>
      <c r="G14"/>
      <c r="H14"/>
    </row>
    <row r="15" spans="1:14" x14ac:dyDescent="0.2">
      <c r="A15"/>
      <c r="B15"/>
      <c r="C15"/>
      <c r="D15"/>
      <c r="E15"/>
      <c r="F15"/>
      <c r="G15"/>
      <c r="H15"/>
    </row>
    <row r="16" spans="1:14" x14ac:dyDescent="0.2">
      <c r="A16"/>
      <c r="B16"/>
      <c r="C16"/>
      <c r="D16"/>
      <c r="E16"/>
      <c r="F16"/>
      <c r="G16"/>
      <c r="H16"/>
    </row>
    <row r="17" spans="1:8" x14ac:dyDescent="0.2">
      <c r="A17"/>
      <c r="B17"/>
      <c r="C17"/>
      <c r="D17"/>
      <c r="E17"/>
      <c r="F17"/>
      <c r="G17"/>
      <c r="H17"/>
    </row>
    <row r="18" spans="1:8" x14ac:dyDescent="0.2">
      <c r="A18"/>
      <c r="B18"/>
      <c r="C18"/>
      <c r="D18"/>
      <c r="E18"/>
      <c r="F18"/>
      <c r="G18"/>
      <c r="H18"/>
    </row>
    <row r="19" spans="1:8" x14ac:dyDescent="0.2">
      <c r="A19"/>
      <c r="B19"/>
      <c r="C19"/>
      <c r="D19"/>
      <c r="E19"/>
      <c r="F19"/>
      <c r="G19"/>
      <c r="H19"/>
    </row>
    <row r="20" spans="1:8" x14ac:dyDescent="0.2">
      <c r="A20"/>
      <c r="B20"/>
      <c r="C20"/>
      <c r="D20"/>
      <c r="E20"/>
      <c r="F20"/>
      <c r="G20"/>
      <c r="H20"/>
    </row>
    <row r="21" spans="1:8" x14ac:dyDescent="0.2">
      <c r="A21"/>
      <c r="B21"/>
      <c r="C21"/>
      <c r="D21"/>
      <c r="E21"/>
      <c r="F21"/>
      <c r="G21"/>
      <c r="H21"/>
    </row>
    <row r="22" spans="1:8" x14ac:dyDescent="0.2">
      <c r="A22"/>
      <c r="B22"/>
      <c r="C22"/>
      <c r="D22"/>
      <c r="E22"/>
      <c r="F22"/>
      <c r="G22"/>
      <c r="H22"/>
    </row>
    <row r="23" spans="1:8" x14ac:dyDescent="0.2">
      <c r="A23"/>
      <c r="B23"/>
      <c r="C23"/>
      <c r="D23"/>
      <c r="E23"/>
      <c r="F23"/>
      <c r="G23"/>
      <c r="H23"/>
    </row>
    <row r="24" spans="1:8" x14ac:dyDescent="0.2">
      <c r="A24"/>
      <c r="B24"/>
      <c r="C24"/>
      <c r="D24"/>
      <c r="E24"/>
      <c r="F24"/>
      <c r="G24"/>
      <c r="H24"/>
    </row>
    <row r="25" spans="1:8" x14ac:dyDescent="0.2">
      <c r="A25"/>
      <c r="B25"/>
      <c r="C25"/>
      <c r="D25"/>
      <c r="E25"/>
      <c r="F25"/>
      <c r="G25"/>
      <c r="H25"/>
    </row>
    <row r="26" spans="1:8" x14ac:dyDescent="0.2">
      <c r="A26"/>
      <c r="B26"/>
      <c r="C26"/>
      <c r="D26"/>
      <c r="E26"/>
      <c r="F26"/>
      <c r="G26"/>
      <c r="H26"/>
    </row>
    <row r="27" spans="1:8" x14ac:dyDescent="0.2">
      <c r="A27"/>
      <c r="B27"/>
      <c r="C27"/>
      <c r="D27"/>
      <c r="E27"/>
      <c r="F27"/>
      <c r="G27"/>
      <c r="H27"/>
    </row>
    <row r="28" spans="1:8" x14ac:dyDescent="0.2">
      <c r="A28"/>
      <c r="B28"/>
      <c r="C28"/>
      <c r="D28"/>
      <c r="E28"/>
      <c r="F28"/>
      <c r="G28"/>
      <c r="H28"/>
    </row>
    <row r="29" spans="1:8" x14ac:dyDescent="0.2">
      <c r="A29"/>
      <c r="B29"/>
      <c r="C29"/>
      <c r="D29"/>
      <c r="E29"/>
      <c r="F29"/>
      <c r="G29"/>
      <c r="H29"/>
    </row>
    <row r="30" spans="1:8" x14ac:dyDescent="0.2">
      <c r="A30"/>
      <c r="B30"/>
      <c r="C30"/>
      <c r="D30"/>
      <c r="E30"/>
      <c r="F30"/>
      <c r="G30"/>
      <c r="H30"/>
    </row>
    <row r="31" spans="1:8" x14ac:dyDescent="0.2">
      <c r="A31"/>
      <c r="B31"/>
      <c r="C31"/>
      <c r="D31"/>
      <c r="E31"/>
      <c r="F31"/>
      <c r="G31"/>
      <c r="H31"/>
    </row>
    <row r="32" spans="1:8" x14ac:dyDescent="0.2">
      <c r="A32"/>
      <c r="B32"/>
      <c r="C32"/>
      <c r="D32"/>
      <c r="E32"/>
      <c r="F32"/>
      <c r="G32"/>
      <c r="H32"/>
    </row>
    <row r="33" spans="1:8" x14ac:dyDescent="0.2">
      <c r="A33"/>
      <c r="B33"/>
      <c r="C33"/>
      <c r="D33"/>
      <c r="E33"/>
      <c r="F33"/>
      <c r="G33"/>
      <c r="H33"/>
    </row>
    <row r="34" spans="1:8" x14ac:dyDescent="0.2">
      <c r="A34"/>
      <c r="B34"/>
      <c r="C34"/>
      <c r="D34"/>
      <c r="E34"/>
      <c r="F34"/>
      <c r="G34"/>
      <c r="H34"/>
    </row>
    <row r="35" spans="1:8" x14ac:dyDescent="0.2">
      <c r="A35"/>
      <c r="B35"/>
      <c r="C35"/>
      <c r="D35"/>
      <c r="E35"/>
      <c r="F35"/>
      <c r="G35"/>
      <c r="H35"/>
    </row>
    <row r="36" spans="1:8" x14ac:dyDescent="0.2">
      <c r="A36"/>
      <c r="B36"/>
      <c r="C36"/>
      <c r="D36"/>
      <c r="E36"/>
      <c r="F36"/>
      <c r="G36"/>
      <c r="H36"/>
    </row>
    <row r="37" spans="1:8" x14ac:dyDescent="0.2">
      <c r="A37"/>
      <c r="B37"/>
      <c r="C37"/>
      <c r="D37"/>
      <c r="E37"/>
      <c r="F37"/>
      <c r="G37"/>
      <c r="H37"/>
    </row>
    <row r="38" spans="1:8" x14ac:dyDescent="0.2">
      <c r="A38"/>
      <c r="B38"/>
      <c r="C38"/>
      <c r="D38"/>
      <c r="E38"/>
      <c r="F38"/>
      <c r="G38"/>
      <c r="H38"/>
    </row>
    <row r="39" spans="1:8" x14ac:dyDescent="0.2">
      <c r="A39"/>
      <c r="B39"/>
      <c r="C39"/>
      <c r="D39"/>
      <c r="E39"/>
      <c r="F39"/>
      <c r="G39"/>
      <c r="H39"/>
    </row>
    <row r="40" spans="1:8" x14ac:dyDescent="0.2">
      <c r="A40"/>
      <c r="B40"/>
      <c r="C40"/>
      <c r="D40"/>
      <c r="E40"/>
      <c r="F40"/>
      <c r="G40"/>
      <c r="H40"/>
    </row>
    <row r="41" spans="1:8" x14ac:dyDescent="0.2">
      <c r="A41"/>
      <c r="B41"/>
      <c r="C41"/>
      <c r="D41"/>
      <c r="E41"/>
      <c r="F41"/>
      <c r="G41"/>
      <c r="H41"/>
    </row>
    <row r="42" spans="1:8" x14ac:dyDescent="0.2">
      <c r="A42"/>
      <c r="B42"/>
      <c r="C42"/>
      <c r="D42"/>
      <c r="E42"/>
      <c r="F42"/>
      <c r="G42"/>
      <c r="H42"/>
    </row>
    <row r="43" spans="1:8" x14ac:dyDescent="0.2">
      <c r="A43"/>
      <c r="B43"/>
      <c r="C43"/>
      <c r="D43"/>
      <c r="E43"/>
      <c r="F43"/>
      <c r="G43"/>
      <c r="H43"/>
    </row>
    <row r="44" spans="1:8" x14ac:dyDescent="0.2">
      <c r="A44"/>
      <c r="B44"/>
      <c r="C44"/>
      <c r="D44"/>
      <c r="E44"/>
      <c r="F44"/>
      <c r="G44"/>
      <c r="H44"/>
    </row>
    <row r="45" spans="1:8" x14ac:dyDescent="0.2">
      <c r="A45"/>
      <c r="B45"/>
      <c r="C45"/>
      <c r="D45"/>
      <c r="E45"/>
      <c r="F45"/>
      <c r="G45"/>
      <c r="H45"/>
    </row>
    <row r="46" spans="1:8" x14ac:dyDescent="0.2">
      <c r="A46"/>
      <c r="B46"/>
      <c r="C46"/>
      <c r="D46"/>
      <c r="E46"/>
      <c r="F46"/>
      <c r="G46"/>
      <c r="H46"/>
    </row>
    <row r="47" spans="1:8" x14ac:dyDescent="0.2">
      <c r="A47"/>
      <c r="B47"/>
      <c r="C47"/>
      <c r="D47"/>
      <c r="E47"/>
      <c r="F47"/>
      <c r="G47"/>
      <c r="H47"/>
    </row>
    <row r="48" spans="1:8" x14ac:dyDescent="0.2">
      <c r="A48"/>
      <c r="B48"/>
      <c r="C48"/>
      <c r="D48"/>
      <c r="E48"/>
      <c r="F48"/>
      <c r="G48"/>
      <c r="H48"/>
    </row>
    <row r="49" spans="1:8" x14ac:dyDescent="0.2">
      <c r="A49"/>
      <c r="B49"/>
      <c r="C49"/>
      <c r="D49"/>
      <c r="E49"/>
      <c r="F49"/>
      <c r="G49"/>
      <c r="H49"/>
    </row>
    <row r="50" spans="1:8" x14ac:dyDescent="0.2">
      <c r="A50"/>
      <c r="B50"/>
      <c r="C50"/>
      <c r="D50"/>
      <c r="E50"/>
      <c r="F50"/>
      <c r="G50"/>
      <c r="H50"/>
    </row>
    <row r="51" spans="1:8" x14ac:dyDescent="0.2">
      <c r="A51"/>
      <c r="B51"/>
      <c r="C51"/>
      <c r="D51"/>
      <c r="E51"/>
      <c r="F51"/>
      <c r="G51"/>
      <c r="H51"/>
    </row>
    <row r="52" spans="1:8" x14ac:dyDescent="0.2">
      <c r="A52"/>
      <c r="B52"/>
      <c r="C52"/>
      <c r="D52"/>
      <c r="E52"/>
      <c r="F52"/>
      <c r="G52"/>
      <c r="H52"/>
    </row>
    <row r="53" spans="1:8" x14ac:dyDescent="0.2">
      <c r="A53"/>
      <c r="B53"/>
      <c r="C53"/>
      <c r="D53"/>
      <c r="E53"/>
      <c r="F53"/>
      <c r="G53"/>
      <c r="H53"/>
    </row>
    <row r="54" spans="1:8" x14ac:dyDescent="0.2">
      <c r="A54"/>
      <c r="B54"/>
      <c r="C54"/>
      <c r="D54"/>
      <c r="E54"/>
      <c r="F54"/>
      <c r="G54"/>
      <c r="H54"/>
    </row>
    <row r="55" spans="1:8" x14ac:dyDescent="0.2">
      <c r="A55"/>
      <c r="B55"/>
      <c r="C55"/>
      <c r="D55"/>
      <c r="E55"/>
      <c r="F55"/>
      <c r="G55"/>
      <c r="H55"/>
    </row>
    <row r="56" spans="1:8" x14ac:dyDescent="0.2">
      <c r="A56"/>
      <c r="B56"/>
      <c r="C56"/>
      <c r="D56"/>
      <c r="E56"/>
      <c r="F56"/>
      <c r="G56"/>
      <c r="H56"/>
    </row>
    <row r="57" spans="1:8" x14ac:dyDescent="0.2">
      <c r="A57"/>
      <c r="B57"/>
      <c r="C57"/>
      <c r="D57"/>
      <c r="E57"/>
      <c r="F57"/>
      <c r="G57"/>
      <c r="H57"/>
    </row>
    <row r="58" spans="1:8" x14ac:dyDescent="0.2">
      <c r="A58"/>
      <c r="B58"/>
      <c r="C58"/>
      <c r="D58"/>
      <c r="E58"/>
      <c r="F58"/>
      <c r="G58"/>
      <c r="H58"/>
    </row>
    <row r="59" spans="1:8" x14ac:dyDescent="0.2">
      <c r="A59"/>
      <c r="B59"/>
      <c r="C59"/>
      <c r="D59"/>
      <c r="E59"/>
      <c r="F59"/>
      <c r="G59"/>
      <c r="H59"/>
    </row>
    <row r="60" spans="1:8" x14ac:dyDescent="0.2">
      <c r="A60"/>
      <c r="B60"/>
      <c r="C60"/>
      <c r="D60"/>
      <c r="E60"/>
      <c r="F60"/>
      <c r="G60"/>
      <c r="H60"/>
    </row>
    <row r="61" spans="1:8" x14ac:dyDescent="0.2">
      <c r="A61"/>
      <c r="B61"/>
      <c r="C61"/>
      <c r="D61"/>
      <c r="E61"/>
      <c r="F61"/>
      <c r="G61"/>
      <c r="H61"/>
    </row>
    <row r="62" spans="1:8" x14ac:dyDescent="0.2">
      <c r="A62"/>
      <c r="B62"/>
      <c r="C62"/>
      <c r="D62"/>
      <c r="E62"/>
      <c r="F62"/>
      <c r="G62"/>
      <c r="H62"/>
    </row>
    <row r="63" spans="1:8" x14ac:dyDescent="0.2">
      <c r="A63"/>
      <c r="B63"/>
      <c r="C63"/>
      <c r="D63"/>
      <c r="E63"/>
      <c r="F63"/>
      <c r="G63"/>
      <c r="H63"/>
    </row>
    <row r="64" spans="1:8" x14ac:dyDescent="0.2">
      <c r="A64"/>
      <c r="B64"/>
      <c r="C64"/>
      <c r="D64"/>
      <c r="E64"/>
      <c r="F64"/>
      <c r="G64"/>
      <c r="H64"/>
    </row>
    <row r="65" spans="1:8" x14ac:dyDescent="0.2">
      <c r="A65"/>
      <c r="B65"/>
      <c r="C65"/>
      <c r="D65"/>
      <c r="E65"/>
      <c r="F65"/>
      <c r="G65"/>
      <c r="H65"/>
    </row>
    <row r="66" spans="1:8" x14ac:dyDescent="0.2">
      <c r="A66"/>
      <c r="B66"/>
      <c r="C66"/>
      <c r="D66"/>
      <c r="E66"/>
      <c r="F66"/>
      <c r="G66"/>
      <c r="H66"/>
    </row>
    <row r="67" spans="1:8" x14ac:dyDescent="0.2">
      <c r="A67"/>
      <c r="B67"/>
      <c r="C67"/>
      <c r="D67"/>
      <c r="E67"/>
      <c r="F67"/>
      <c r="G67"/>
      <c r="H67"/>
    </row>
    <row r="68" spans="1:8" x14ac:dyDescent="0.2">
      <c r="A68"/>
      <c r="B68"/>
      <c r="C68"/>
      <c r="D68"/>
      <c r="E68"/>
      <c r="F68"/>
      <c r="G68"/>
      <c r="H68"/>
    </row>
    <row r="69" spans="1:8" x14ac:dyDescent="0.2">
      <c r="A69"/>
      <c r="B69"/>
      <c r="C69"/>
      <c r="D69"/>
      <c r="E69"/>
      <c r="F69"/>
      <c r="G69"/>
      <c r="H69"/>
    </row>
    <row r="70" spans="1:8" x14ac:dyDescent="0.2">
      <c r="A70"/>
      <c r="B70"/>
      <c r="C70"/>
      <c r="D70"/>
      <c r="E70"/>
      <c r="F70"/>
      <c r="G70"/>
      <c r="H70"/>
    </row>
    <row r="71" spans="1:8" x14ac:dyDescent="0.2">
      <c r="A71"/>
      <c r="B71"/>
      <c r="C71"/>
      <c r="D71"/>
      <c r="E71"/>
      <c r="F71"/>
      <c r="G71"/>
      <c r="H71"/>
    </row>
    <row r="72" spans="1:8" x14ac:dyDescent="0.2">
      <c r="A72"/>
      <c r="B72"/>
      <c r="C72"/>
      <c r="D72"/>
      <c r="E72"/>
      <c r="F72"/>
      <c r="G72"/>
      <c r="H72"/>
    </row>
    <row r="73" spans="1:8" x14ac:dyDescent="0.2">
      <c r="A73"/>
      <c r="B73"/>
      <c r="C73"/>
      <c r="D73"/>
      <c r="E73"/>
      <c r="F73"/>
      <c r="G73"/>
      <c r="H73"/>
    </row>
    <row r="74" spans="1:8" x14ac:dyDescent="0.2">
      <c r="A74"/>
      <c r="B74"/>
      <c r="C74"/>
      <c r="D74"/>
      <c r="E74"/>
      <c r="F74"/>
      <c r="G74"/>
      <c r="H74"/>
    </row>
    <row r="75" spans="1:8" x14ac:dyDescent="0.2">
      <c r="A75"/>
      <c r="B75"/>
      <c r="C75"/>
      <c r="D75"/>
      <c r="E75"/>
      <c r="F75"/>
      <c r="G75"/>
      <c r="H75"/>
    </row>
    <row r="76" spans="1:8" x14ac:dyDescent="0.2">
      <c r="A76"/>
      <c r="B76"/>
      <c r="C76"/>
      <c r="D76"/>
      <c r="E76"/>
      <c r="F76"/>
      <c r="G76"/>
      <c r="H76"/>
    </row>
    <row r="77" spans="1:8" x14ac:dyDescent="0.2">
      <c r="A77"/>
      <c r="B77"/>
      <c r="C77"/>
      <c r="D77"/>
      <c r="E77"/>
      <c r="F77"/>
      <c r="G77"/>
      <c r="H77"/>
    </row>
    <row r="78" spans="1:8" x14ac:dyDescent="0.2">
      <c r="A78"/>
      <c r="B78"/>
      <c r="C78"/>
      <c r="D78"/>
      <c r="E78"/>
      <c r="F78"/>
      <c r="G78"/>
      <c r="H78"/>
    </row>
    <row r="79" spans="1:8" x14ac:dyDescent="0.2">
      <c r="A79"/>
      <c r="B79"/>
      <c r="C79"/>
      <c r="D79"/>
      <c r="E79"/>
      <c r="F79"/>
      <c r="G79"/>
      <c r="H79"/>
    </row>
    <row r="80" spans="1:8" x14ac:dyDescent="0.2">
      <c r="A80"/>
      <c r="B80"/>
      <c r="C80"/>
      <c r="D80"/>
      <c r="E80"/>
      <c r="F80"/>
      <c r="G80"/>
      <c r="H80"/>
    </row>
    <row r="81" spans="1:12" x14ac:dyDescent="0.2">
      <c r="A81"/>
      <c r="B81"/>
      <c r="C81"/>
      <c r="D81"/>
      <c r="E81"/>
      <c r="F81"/>
      <c r="G81"/>
      <c r="H81"/>
      <c r="I81"/>
    </row>
    <row r="82" spans="1:12" x14ac:dyDescent="0.2">
      <c r="A82"/>
      <c r="B82"/>
      <c r="C82"/>
      <c r="D82"/>
      <c r="E82"/>
      <c r="F82"/>
      <c r="G82"/>
      <c r="H82"/>
      <c r="I82"/>
    </row>
    <row r="83" spans="1:12" x14ac:dyDescent="0.2">
      <c r="A83"/>
      <c r="B83"/>
      <c r="C83"/>
      <c r="D83"/>
      <c r="E83"/>
      <c r="F83"/>
      <c r="G83"/>
      <c r="H83"/>
      <c r="I83"/>
    </row>
    <row r="84" spans="1:12" x14ac:dyDescent="0.2">
      <c r="A84"/>
      <c r="B84"/>
      <c r="C84"/>
      <c r="D84"/>
      <c r="E84"/>
      <c r="F84"/>
      <c r="G84"/>
      <c r="H84"/>
      <c r="I84"/>
    </row>
    <row r="85" spans="1:12" x14ac:dyDescent="0.2">
      <c r="A85"/>
      <c r="B85"/>
      <c r="C85"/>
      <c r="D85"/>
      <c r="E85"/>
      <c r="F85"/>
      <c r="G85"/>
      <c r="H85"/>
      <c r="I85"/>
    </row>
    <row r="86" spans="1:12" x14ac:dyDescent="0.2">
      <c r="A86"/>
      <c r="B86"/>
      <c r="C86"/>
      <c r="D86"/>
      <c r="E86"/>
      <c r="F86"/>
      <c r="G86"/>
      <c r="H86"/>
      <c r="I86"/>
    </row>
    <row r="87" spans="1:12" x14ac:dyDescent="0.2">
      <c r="A87"/>
      <c r="B87"/>
      <c r="C87"/>
      <c r="D87"/>
      <c r="E87"/>
      <c r="F87"/>
      <c r="G87"/>
      <c r="H87"/>
      <c r="I87"/>
    </row>
    <row r="88" spans="1:12" x14ac:dyDescent="0.2">
      <c r="A88"/>
      <c r="B88"/>
      <c r="C88"/>
      <c r="D88"/>
      <c r="E88"/>
      <c r="F88"/>
      <c r="G88"/>
      <c r="H88"/>
      <c r="I88"/>
    </row>
    <row r="89" spans="1:12" x14ac:dyDescent="0.2">
      <c r="A89"/>
      <c r="B89"/>
      <c r="C89"/>
      <c r="D89"/>
      <c r="E89"/>
      <c r="F89"/>
      <c r="G89"/>
      <c r="H89"/>
      <c r="I89"/>
    </row>
    <row r="90" spans="1:12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2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2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2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2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2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2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2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2">
      <c r="A137"/>
      <c r="B137"/>
      <c r="C137"/>
      <c r="D137"/>
      <c r="E137"/>
      <c r="F137"/>
      <c r="G137"/>
      <c r="H137"/>
      <c r="I137"/>
    </row>
    <row r="138" spans="1:12" x14ac:dyDescent="0.2">
      <c r="A138"/>
      <c r="B138"/>
      <c r="C138"/>
      <c r="D138"/>
      <c r="E138"/>
      <c r="F138"/>
      <c r="G138"/>
      <c r="H138"/>
      <c r="I138"/>
    </row>
    <row r="139" spans="1:12" x14ac:dyDescent="0.2">
      <c r="A139"/>
      <c r="B139"/>
      <c r="C139"/>
      <c r="D139"/>
      <c r="E139"/>
      <c r="F139"/>
      <c r="G139"/>
      <c r="H139"/>
      <c r="I139"/>
    </row>
    <row r="140" spans="1:12" x14ac:dyDescent="0.2">
      <c r="A140"/>
      <c r="B140"/>
      <c r="C140"/>
      <c r="D140"/>
      <c r="E140"/>
      <c r="F140"/>
      <c r="G140"/>
      <c r="H140"/>
      <c r="I140"/>
    </row>
    <row r="141" spans="1:12" x14ac:dyDescent="0.2">
      <c r="A141"/>
      <c r="B141"/>
      <c r="C141"/>
      <c r="D141"/>
      <c r="E141"/>
      <c r="F141"/>
      <c r="G141"/>
      <c r="H141"/>
      <c r="I141"/>
    </row>
    <row r="142" spans="1:12" x14ac:dyDescent="0.2">
      <c r="A142"/>
      <c r="B142"/>
      <c r="C142"/>
      <c r="D142"/>
      <c r="E142"/>
      <c r="F142"/>
      <c r="G142"/>
      <c r="H142"/>
      <c r="I142"/>
    </row>
    <row r="143" spans="1:12" x14ac:dyDescent="0.2">
      <c r="A143"/>
      <c r="B143"/>
      <c r="C143"/>
      <c r="D143"/>
      <c r="E143"/>
      <c r="F143"/>
      <c r="G143"/>
      <c r="H143"/>
      <c r="I143"/>
    </row>
    <row r="144" spans="1:12" x14ac:dyDescent="0.2">
      <c r="A144"/>
      <c r="B144"/>
      <c r="C144"/>
      <c r="D144"/>
      <c r="E144"/>
      <c r="F144"/>
      <c r="G144"/>
      <c r="H144"/>
      <c r="I144"/>
    </row>
    <row r="145" spans="1:9" x14ac:dyDescent="0.2">
      <c r="A145"/>
      <c r="B145"/>
      <c r="C145"/>
      <c r="D145"/>
      <c r="E145"/>
      <c r="F145"/>
      <c r="G145"/>
      <c r="H145"/>
      <c r="I145"/>
    </row>
    <row r="146" spans="1:9" x14ac:dyDescent="0.2">
      <c r="A146"/>
      <c r="B146"/>
      <c r="C146"/>
      <c r="D146"/>
      <c r="E146"/>
      <c r="F146"/>
      <c r="G146"/>
      <c r="H146"/>
      <c r="I146"/>
    </row>
    <row r="147" spans="1:9" x14ac:dyDescent="0.2">
      <c r="A147"/>
      <c r="B147"/>
      <c r="C147"/>
      <c r="D147"/>
      <c r="E147"/>
      <c r="F147"/>
      <c r="G147"/>
      <c r="H147"/>
      <c r="I147"/>
    </row>
    <row r="148" spans="1:9" x14ac:dyDescent="0.2">
      <c r="A148"/>
      <c r="B148"/>
      <c r="C148"/>
      <c r="D148"/>
      <c r="E148"/>
      <c r="F148"/>
      <c r="G148"/>
      <c r="H148"/>
      <c r="I148"/>
    </row>
    <row r="149" spans="1:9" x14ac:dyDescent="0.2">
      <c r="A149"/>
      <c r="B149"/>
      <c r="C149"/>
      <c r="D149"/>
      <c r="E149"/>
      <c r="F149"/>
      <c r="G149"/>
      <c r="H149"/>
      <c r="I149"/>
    </row>
    <row r="150" spans="1:9" x14ac:dyDescent="0.2">
      <c r="A150"/>
      <c r="B150"/>
      <c r="C150"/>
      <c r="D150"/>
      <c r="E150"/>
      <c r="F150"/>
      <c r="G150"/>
      <c r="H150"/>
      <c r="I150"/>
    </row>
    <row r="151" spans="1:9" x14ac:dyDescent="0.2">
      <c r="A151"/>
      <c r="B151"/>
      <c r="C151"/>
      <c r="D151"/>
      <c r="E151"/>
      <c r="F151"/>
      <c r="G151"/>
      <c r="H151"/>
      <c r="I151"/>
    </row>
    <row r="152" spans="1:9" x14ac:dyDescent="0.2">
      <c r="A152"/>
      <c r="B152"/>
      <c r="C152"/>
      <c r="D152"/>
      <c r="E152"/>
      <c r="F152"/>
      <c r="G152"/>
      <c r="H152"/>
      <c r="I152"/>
    </row>
    <row r="153" spans="1:9" x14ac:dyDescent="0.2">
      <c r="A153"/>
      <c r="B153"/>
      <c r="C153"/>
      <c r="D153"/>
      <c r="E153"/>
      <c r="F153"/>
      <c r="G153"/>
      <c r="H153"/>
      <c r="I153"/>
    </row>
    <row r="154" spans="1:9" x14ac:dyDescent="0.2">
      <c r="A154"/>
      <c r="B154"/>
      <c r="C154"/>
      <c r="D154"/>
      <c r="E154"/>
      <c r="F154"/>
      <c r="G154"/>
      <c r="H154"/>
      <c r="I154"/>
    </row>
    <row r="155" spans="1:9" x14ac:dyDescent="0.2">
      <c r="A155"/>
      <c r="B155"/>
      <c r="C155"/>
      <c r="D155"/>
      <c r="E155"/>
      <c r="F155"/>
      <c r="G155"/>
      <c r="H155"/>
      <c r="I155"/>
    </row>
    <row r="156" spans="1:9" x14ac:dyDescent="0.2">
      <c r="A156"/>
      <c r="B156"/>
      <c r="C156"/>
      <c r="D156"/>
      <c r="E156"/>
      <c r="F156"/>
      <c r="G156"/>
      <c r="H156"/>
      <c r="I156"/>
    </row>
    <row r="157" spans="1:9" x14ac:dyDescent="0.2">
      <c r="A157"/>
      <c r="B157"/>
      <c r="C157"/>
      <c r="D157"/>
      <c r="E157"/>
      <c r="F157"/>
      <c r="G157"/>
      <c r="H157"/>
      <c r="I157"/>
    </row>
    <row r="158" spans="1:9" x14ac:dyDescent="0.2">
      <c r="A158"/>
      <c r="B158"/>
      <c r="C158"/>
      <c r="D158"/>
      <c r="E158"/>
      <c r="F158"/>
      <c r="G158"/>
      <c r="H158"/>
      <c r="I158"/>
    </row>
    <row r="159" spans="1:9" x14ac:dyDescent="0.2">
      <c r="A159"/>
      <c r="B159"/>
      <c r="C159"/>
      <c r="D159"/>
      <c r="E159"/>
      <c r="F159"/>
      <c r="G159"/>
      <c r="H159"/>
      <c r="I159"/>
    </row>
    <row r="160" spans="1:9" x14ac:dyDescent="0.2">
      <c r="A160"/>
      <c r="B160"/>
      <c r="C160"/>
      <c r="D160"/>
      <c r="E160"/>
      <c r="F160"/>
      <c r="G160"/>
      <c r="H160"/>
      <c r="I160"/>
    </row>
    <row r="161" spans="1:10" x14ac:dyDescent="0.2">
      <c r="A161"/>
      <c r="B161"/>
      <c r="C161"/>
      <c r="D161"/>
      <c r="E161"/>
      <c r="F161"/>
      <c r="G161"/>
      <c r="H161"/>
      <c r="I161"/>
    </row>
    <row r="162" spans="1:10" x14ac:dyDescent="0.2">
      <c r="A162"/>
      <c r="B162"/>
      <c r="C162"/>
      <c r="D162"/>
      <c r="E162"/>
      <c r="F162"/>
      <c r="G162"/>
      <c r="H162"/>
      <c r="I162"/>
    </row>
    <row r="163" spans="1:10" x14ac:dyDescent="0.2">
      <c r="A163"/>
      <c r="B163"/>
      <c r="C163"/>
      <c r="D163"/>
      <c r="E163"/>
      <c r="F163"/>
      <c r="G163"/>
      <c r="H163"/>
      <c r="I163"/>
    </row>
    <row r="164" spans="1:10" x14ac:dyDescent="0.2">
      <c r="A164"/>
      <c r="B164"/>
      <c r="C164"/>
      <c r="D164"/>
      <c r="E164"/>
      <c r="F164"/>
      <c r="G164"/>
      <c r="H164"/>
      <c r="I164"/>
    </row>
    <row r="165" spans="1:10" x14ac:dyDescent="0.2">
      <c r="A165"/>
      <c r="B165"/>
      <c r="C165"/>
      <c r="D165"/>
      <c r="E165"/>
      <c r="F165"/>
      <c r="G165"/>
      <c r="H165"/>
      <c r="I165"/>
    </row>
    <row r="166" spans="1:10" x14ac:dyDescent="0.2">
      <c r="A166"/>
      <c r="B166"/>
      <c r="C166"/>
      <c r="D166"/>
      <c r="E166"/>
      <c r="F166"/>
      <c r="G166"/>
      <c r="H166"/>
      <c r="I166"/>
    </row>
    <row r="167" spans="1:10" x14ac:dyDescent="0.2">
      <c r="A167"/>
      <c r="B167"/>
      <c r="C167"/>
      <c r="D167"/>
      <c r="E167"/>
      <c r="F167"/>
      <c r="G167"/>
      <c r="H167"/>
      <c r="I167"/>
    </row>
    <row r="168" spans="1:10" x14ac:dyDescent="0.2">
      <c r="A168"/>
      <c r="B168"/>
      <c r="C168"/>
      <c r="D168"/>
      <c r="E168"/>
      <c r="F168"/>
      <c r="G168"/>
      <c r="H168"/>
      <c r="I168"/>
    </row>
    <row r="169" spans="1:10" x14ac:dyDescent="0.2">
      <c r="A169"/>
      <c r="B169"/>
      <c r="C169"/>
      <c r="D169"/>
      <c r="E169"/>
      <c r="F169"/>
      <c r="G169"/>
      <c r="H169"/>
      <c r="I169"/>
    </row>
    <row r="170" spans="1:10" x14ac:dyDescent="0.2">
      <c r="A170"/>
      <c r="B170"/>
      <c r="C170"/>
      <c r="D170"/>
      <c r="E170"/>
      <c r="F170"/>
      <c r="G170"/>
      <c r="H170"/>
      <c r="I170"/>
    </row>
    <row r="171" spans="1:10" x14ac:dyDescent="0.2">
      <c r="A171"/>
      <c r="B171"/>
      <c r="C171"/>
      <c r="D171"/>
      <c r="E171"/>
      <c r="F171"/>
      <c r="G171"/>
      <c r="H171"/>
      <c r="I171"/>
      <c r="J171"/>
    </row>
    <row r="172" spans="1:10" x14ac:dyDescent="0.2">
      <c r="A172"/>
      <c r="B172"/>
      <c r="C172"/>
      <c r="D172"/>
      <c r="E172"/>
      <c r="F172"/>
      <c r="G172"/>
      <c r="H172"/>
      <c r="I172"/>
      <c r="J172"/>
    </row>
    <row r="173" spans="1:10" x14ac:dyDescent="0.2">
      <c r="A173"/>
      <c r="B173"/>
      <c r="C173"/>
      <c r="D173"/>
      <c r="E173"/>
      <c r="F173"/>
      <c r="G173"/>
      <c r="H173"/>
      <c r="I173"/>
      <c r="J173"/>
    </row>
    <row r="174" spans="1:10" x14ac:dyDescent="0.2">
      <c r="A174"/>
      <c r="B174"/>
      <c r="C174"/>
      <c r="D174"/>
      <c r="E174"/>
      <c r="F174"/>
      <c r="G174"/>
      <c r="H174"/>
      <c r="I174"/>
      <c r="J174"/>
    </row>
    <row r="175" spans="1:10" x14ac:dyDescent="0.2">
      <c r="A175"/>
      <c r="B175"/>
      <c r="C175"/>
      <c r="D175"/>
      <c r="E175"/>
      <c r="F175"/>
      <c r="G175"/>
      <c r="H175"/>
      <c r="I175"/>
      <c r="J175"/>
    </row>
    <row r="176" spans="1:10" x14ac:dyDescent="0.2">
      <c r="A176"/>
      <c r="B176"/>
      <c r="C176"/>
      <c r="D176"/>
      <c r="E176"/>
      <c r="F176"/>
      <c r="G176"/>
      <c r="H176"/>
      <c r="I176"/>
      <c r="J176"/>
    </row>
    <row r="177" spans="1:10" x14ac:dyDescent="0.2">
      <c r="A177"/>
      <c r="B177"/>
      <c r="C177"/>
      <c r="D177"/>
      <c r="E177"/>
      <c r="F177"/>
      <c r="G177"/>
      <c r="H177"/>
      <c r="I177"/>
      <c r="J177"/>
    </row>
    <row r="178" spans="1:10" x14ac:dyDescent="0.2">
      <c r="A178"/>
      <c r="B178"/>
      <c r="C178"/>
      <c r="D178"/>
      <c r="E178"/>
      <c r="F178"/>
      <c r="G178"/>
      <c r="H178"/>
      <c r="I178"/>
      <c r="J178"/>
    </row>
    <row r="179" spans="1:10" x14ac:dyDescent="0.2">
      <c r="A179"/>
      <c r="B179"/>
      <c r="C179"/>
      <c r="D179"/>
      <c r="E179"/>
      <c r="F179"/>
      <c r="G179"/>
      <c r="H179"/>
      <c r="I179"/>
      <c r="J179"/>
    </row>
    <row r="180" spans="1:10" x14ac:dyDescent="0.2">
      <c r="A180"/>
      <c r="B180"/>
      <c r="C180"/>
      <c r="D180"/>
      <c r="E180"/>
      <c r="F180"/>
      <c r="G180"/>
      <c r="H180"/>
      <c r="I180"/>
      <c r="J180"/>
    </row>
    <row r="181" spans="1:10" x14ac:dyDescent="0.2">
      <c r="A181"/>
      <c r="B181"/>
      <c r="C181"/>
      <c r="D181"/>
      <c r="E181"/>
      <c r="F181"/>
      <c r="G181"/>
      <c r="H181"/>
      <c r="I181"/>
      <c r="J181"/>
    </row>
    <row r="182" spans="1:10" x14ac:dyDescent="0.2">
      <c r="A182"/>
      <c r="B182"/>
      <c r="C182"/>
      <c r="D182"/>
      <c r="E182"/>
      <c r="F182"/>
      <c r="G182"/>
      <c r="H182"/>
      <c r="I182"/>
      <c r="J182"/>
    </row>
    <row r="183" spans="1:10" x14ac:dyDescent="0.2">
      <c r="A183"/>
      <c r="B183"/>
      <c r="C183"/>
      <c r="D183"/>
      <c r="E183"/>
      <c r="F183"/>
      <c r="G183"/>
      <c r="H183"/>
      <c r="I183"/>
      <c r="J183"/>
    </row>
    <row r="184" spans="1:10" x14ac:dyDescent="0.2">
      <c r="A184"/>
      <c r="B184"/>
      <c r="C184"/>
      <c r="D184"/>
      <c r="E184"/>
      <c r="F184"/>
      <c r="G184"/>
      <c r="H184"/>
      <c r="I184"/>
      <c r="J184"/>
    </row>
    <row r="185" spans="1:10" x14ac:dyDescent="0.2">
      <c r="A185"/>
      <c r="B185"/>
      <c r="C185"/>
      <c r="D185"/>
      <c r="E185"/>
      <c r="F185"/>
      <c r="G185"/>
      <c r="H185"/>
      <c r="I185"/>
      <c r="J185"/>
    </row>
    <row r="186" spans="1:10" x14ac:dyDescent="0.2">
      <c r="A186"/>
      <c r="B186"/>
      <c r="C186"/>
      <c r="D186"/>
      <c r="E186"/>
      <c r="F186"/>
      <c r="G186"/>
      <c r="H186"/>
      <c r="I186"/>
      <c r="J186"/>
    </row>
    <row r="187" spans="1:10" x14ac:dyDescent="0.2">
      <c r="A187"/>
      <c r="B187"/>
      <c r="C187"/>
      <c r="D187"/>
      <c r="E187"/>
      <c r="F187"/>
      <c r="G187"/>
      <c r="H187"/>
      <c r="I187"/>
      <c r="J187"/>
    </row>
    <row r="188" spans="1:10" x14ac:dyDescent="0.2">
      <c r="A188"/>
      <c r="B188"/>
      <c r="C188"/>
      <c r="D188"/>
      <c r="E188"/>
      <c r="F188"/>
      <c r="G188"/>
      <c r="H188"/>
      <c r="I188"/>
    </row>
    <row r="189" spans="1:10" x14ac:dyDescent="0.2">
      <c r="A189"/>
      <c r="B189"/>
      <c r="C189"/>
      <c r="D189"/>
      <c r="E189"/>
      <c r="F189"/>
      <c r="G189"/>
      <c r="H189"/>
      <c r="I189"/>
    </row>
    <row r="190" spans="1:10" x14ac:dyDescent="0.2">
      <c r="A190"/>
      <c r="B190"/>
      <c r="C190"/>
      <c r="D190"/>
      <c r="E190"/>
      <c r="F190"/>
      <c r="G190"/>
      <c r="H190"/>
      <c r="I190"/>
    </row>
    <row r="191" spans="1:10" x14ac:dyDescent="0.2">
      <c r="A191"/>
      <c r="B191"/>
      <c r="C191"/>
      <c r="D191"/>
      <c r="E191"/>
      <c r="F191"/>
      <c r="G191"/>
      <c r="H191"/>
      <c r="I191"/>
    </row>
    <row r="192" spans="1:10" x14ac:dyDescent="0.2">
      <c r="A192"/>
      <c r="B192"/>
      <c r="C192"/>
      <c r="D192"/>
      <c r="E192"/>
      <c r="F192"/>
      <c r="G192"/>
      <c r="H192"/>
      <c r="I192"/>
    </row>
    <row r="193" spans="1:9" x14ac:dyDescent="0.2">
      <c r="A193"/>
      <c r="B193"/>
      <c r="C193"/>
      <c r="D193"/>
      <c r="E193"/>
      <c r="F193"/>
      <c r="G193"/>
      <c r="H193"/>
      <c r="I193"/>
    </row>
    <row r="194" spans="1:9" x14ac:dyDescent="0.2">
      <c r="A194"/>
      <c r="B194"/>
      <c r="C194"/>
      <c r="D194"/>
      <c r="E194"/>
      <c r="F194"/>
      <c r="G194"/>
      <c r="H194"/>
      <c r="I194"/>
    </row>
    <row r="195" spans="1:9" x14ac:dyDescent="0.2">
      <c r="A195"/>
      <c r="B195"/>
      <c r="C195"/>
      <c r="D195"/>
      <c r="E195"/>
      <c r="F195"/>
      <c r="G195"/>
      <c r="H195"/>
      <c r="I195"/>
    </row>
    <row r="196" spans="1:9" x14ac:dyDescent="0.2">
      <c r="A196"/>
      <c r="B196"/>
      <c r="C196"/>
      <c r="D196"/>
      <c r="E196"/>
      <c r="F196"/>
      <c r="G196"/>
      <c r="H196"/>
      <c r="I196"/>
    </row>
    <row r="197" spans="1:9" x14ac:dyDescent="0.2">
      <c r="A197"/>
      <c r="B197"/>
      <c r="C197"/>
      <c r="D197"/>
      <c r="E197"/>
      <c r="F197"/>
      <c r="G197"/>
      <c r="H197"/>
      <c r="I197"/>
    </row>
    <row r="198" spans="1:9" x14ac:dyDescent="0.2">
      <c r="A198"/>
      <c r="B198"/>
      <c r="C198"/>
      <c r="D198"/>
      <c r="E198"/>
      <c r="F198"/>
      <c r="G198"/>
      <c r="H198"/>
      <c r="I198"/>
    </row>
    <row r="199" spans="1:9" x14ac:dyDescent="0.2">
      <c r="A199"/>
      <c r="B199"/>
      <c r="C199"/>
      <c r="D199"/>
      <c r="E199"/>
      <c r="F199"/>
      <c r="G199"/>
      <c r="H199"/>
      <c r="I199"/>
    </row>
    <row r="200" spans="1:9" x14ac:dyDescent="0.2">
      <c r="A200"/>
      <c r="B200"/>
      <c r="C200"/>
      <c r="D200"/>
      <c r="E200"/>
      <c r="F200"/>
      <c r="G200"/>
      <c r="H200"/>
      <c r="I200"/>
    </row>
    <row r="201" spans="1:9" x14ac:dyDescent="0.2">
      <c r="A201"/>
      <c r="B201"/>
      <c r="C201"/>
      <c r="D201"/>
      <c r="E201"/>
      <c r="F201"/>
      <c r="G201"/>
      <c r="H201"/>
      <c r="I201"/>
    </row>
    <row r="202" spans="1:9" x14ac:dyDescent="0.2">
      <c r="A202"/>
      <c r="B202"/>
      <c r="C202"/>
      <c r="D202"/>
      <c r="E202"/>
      <c r="F202"/>
      <c r="G202"/>
      <c r="H202"/>
      <c r="I202"/>
    </row>
    <row r="203" spans="1:9" x14ac:dyDescent="0.2">
      <c r="A203"/>
      <c r="B203"/>
      <c r="C203"/>
      <c r="D203"/>
      <c r="E203"/>
      <c r="F203"/>
      <c r="G203"/>
      <c r="H203"/>
      <c r="I203"/>
    </row>
    <row r="204" spans="1:9" x14ac:dyDescent="0.2">
      <c r="A204"/>
      <c r="B204"/>
      <c r="C204"/>
      <c r="D204"/>
      <c r="E204"/>
      <c r="F204"/>
      <c r="G204"/>
      <c r="H204"/>
      <c r="I204"/>
    </row>
    <row r="205" spans="1:9" x14ac:dyDescent="0.2">
      <c r="A205"/>
      <c r="B205"/>
      <c r="C205"/>
      <c r="D205"/>
      <c r="E205"/>
      <c r="F205"/>
      <c r="G205"/>
      <c r="H205"/>
      <c r="I205"/>
    </row>
    <row r="206" spans="1:9" x14ac:dyDescent="0.2">
      <c r="A206"/>
      <c r="B206"/>
      <c r="C206"/>
      <c r="D206"/>
      <c r="E206"/>
      <c r="F206"/>
      <c r="G206"/>
      <c r="H206"/>
      <c r="I206"/>
    </row>
    <row r="207" spans="1:9" x14ac:dyDescent="0.2">
      <c r="A207"/>
      <c r="B207"/>
      <c r="C207"/>
      <c r="D207"/>
      <c r="E207"/>
      <c r="F207"/>
      <c r="G207"/>
      <c r="H207"/>
      <c r="I207"/>
    </row>
    <row r="208" spans="1:9" x14ac:dyDescent="0.2">
      <c r="A208"/>
      <c r="B208"/>
      <c r="C208"/>
      <c r="D208"/>
      <c r="E208"/>
      <c r="F208"/>
      <c r="G208"/>
      <c r="H208"/>
      <c r="I208"/>
    </row>
    <row r="209" spans="1:9" x14ac:dyDescent="0.2">
      <c r="A209"/>
      <c r="B209"/>
      <c r="C209"/>
      <c r="D209"/>
      <c r="E209"/>
      <c r="F209"/>
      <c r="G209"/>
      <c r="H209"/>
      <c r="I209"/>
    </row>
    <row r="210" spans="1:9" x14ac:dyDescent="0.2">
      <c r="A210"/>
      <c r="B210"/>
      <c r="C210"/>
      <c r="D210"/>
      <c r="E210"/>
      <c r="F210"/>
      <c r="G210"/>
      <c r="H210"/>
      <c r="I210"/>
    </row>
    <row r="211" spans="1:9" x14ac:dyDescent="0.2">
      <c r="A211"/>
      <c r="B211"/>
      <c r="C211"/>
      <c r="D211"/>
      <c r="E211"/>
      <c r="F211"/>
      <c r="G211"/>
      <c r="H211"/>
      <c r="I211"/>
    </row>
    <row r="212" spans="1:9" x14ac:dyDescent="0.2">
      <c r="A212"/>
      <c r="B212"/>
      <c r="C212"/>
      <c r="D212"/>
      <c r="E212"/>
      <c r="F212"/>
      <c r="G212"/>
      <c r="H212"/>
      <c r="I212"/>
    </row>
    <row r="213" spans="1:9" x14ac:dyDescent="0.2">
      <c r="A213"/>
      <c r="B213"/>
      <c r="C213"/>
      <c r="D213"/>
      <c r="E213"/>
      <c r="F213"/>
      <c r="G213"/>
      <c r="H213"/>
      <c r="I213"/>
    </row>
    <row r="214" spans="1:9" x14ac:dyDescent="0.2">
      <c r="A214"/>
      <c r="B214"/>
      <c r="C214"/>
      <c r="D214"/>
      <c r="E214"/>
      <c r="F214"/>
      <c r="G214"/>
      <c r="H214"/>
      <c r="I214"/>
    </row>
    <row r="215" spans="1:9" x14ac:dyDescent="0.2">
      <c r="C215"/>
      <c r="D215"/>
      <c r="E215"/>
      <c r="F215"/>
      <c r="G215"/>
      <c r="H215"/>
      <c r="I215"/>
    </row>
    <row r="216" spans="1:9" x14ac:dyDescent="0.2">
      <c r="A216"/>
      <c r="B216"/>
      <c r="C216"/>
      <c r="D216"/>
      <c r="E216"/>
      <c r="F216"/>
      <c r="G216"/>
      <c r="H216"/>
      <c r="I216"/>
    </row>
    <row r="217" spans="1:9" x14ac:dyDescent="0.2">
      <c r="A217"/>
      <c r="B217"/>
      <c r="C217"/>
      <c r="D217"/>
      <c r="E217"/>
      <c r="F217"/>
      <c r="G217"/>
      <c r="H217"/>
      <c r="I217"/>
    </row>
    <row r="218" spans="1:9" x14ac:dyDescent="0.2">
      <c r="A218"/>
      <c r="B218"/>
      <c r="C218"/>
      <c r="D218"/>
      <c r="E218"/>
      <c r="F218"/>
      <c r="G218"/>
      <c r="H218"/>
      <c r="I218"/>
    </row>
    <row r="219" spans="1:9" x14ac:dyDescent="0.2">
      <c r="A219"/>
      <c r="B219"/>
      <c r="C219"/>
      <c r="D219"/>
      <c r="E219"/>
      <c r="F219"/>
      <c r="G219"/>
      <c r="H219"/>
      <c r="I219"/>
    </row>
    <row r="220" spans="1:9" x14ac:dyDescent="0.2">
      <c r="A220"/>
      <c r="B220"/>
      <c r="C220"/>
      <c r="D220"/>
      <c r="E220"/>
      <c r="F220"/>
      <c r="G220"/>
      <c r="H220"/>
      <c r="I220"/>
    </row>
    <row r="221" spans="1:9" x14ac:dyDescent="0.2">
      <c r="A221"/>
      <c r="B221"/>
      <c r="C221"/>
      <c r="D221"/>
      <c r="E221"/>
      <c r="F221"/>
      <c r="G221"/>
      <c r="H221"/>
      <c r="I221"/>
    </row>
    <row r="222" spans="1:9" x14ac:dyDescent="0.2">
      <c r="A222"/>
      <c r="B222"/>
      <c r="C222"/>
      <c r="D222"/>
      <c r="E222"/>
      <c r="F222"/>
      <c r="G222"/>
      <c r="H222"/>
      <c r="I222"/>
    </row>
    <row r="223" spans="1:9" x14ac:dyDescent="0.2">
      <c r="A223"/>
      <c r="B223"/>
      <c r="C223"/>
      <c r="D223"/>
      <c r="E223"/>
      <c r="F223"/>
      <c r="G223"/>
      <c r="H223"/>
      <c r="I223"/>
    </row>
    <row r="224" spans="1:9" x14ac:dyDescent="0.2">
      <c r="A224"/>
      <c r="B224"/>
      <c r="C224"/>
      <c r="D224"/>
      <c r="E224"/>
      <c r="F224"/>
      <c r="G224"/>
      <c r="H224"/>
      <c r="I224"/>
    </row>
    <row r="225" spans="1:9" x14ac:dyDescent="0.2">
      <c r="A225"/>
      <c r="B225"/>
      <c r="C225"/>
      <c r="D225"/>
      <c r="E225"/>
      <c r="F225"/>
      <c r="G225"/>
      <c r="H225"/>
      <c r="I225"/>
    </row>
    <row r="226" spans="1:9" x14ac:dyDescent="0.2">
      <c r="A226"/>
      <c r="B226"/>
      <c r="C226"/>
      <c r="D226"/>
      <c r="E226"/>
      <c r="F226"/>
      <c r="G226"/>
      <c r="H226"/>
      <c r="I226"/>
    </row>
    <row r="227" spans="1:9" x14ac:dyDescent="0.2">
      <c r="A227"/>
      <c r="B227"/>
      <c r="C227"/>
      <c r="D227"/>
      <c r="E227"/>
      <c r="F227"/>
      <c r="G227"/>
      <c r="H227"/>
      <c r="I227"/>
    </row>
    <row r="228" spans="1:9" x14ac:dyDescent="0.2">
      <c r="A228"/>
      <c r="B228"/>
      <c r="C228"/>
      <c r="D228"/>
      <c r="E228"/>
      <c r="F228"/>
      <c r="G228"/>
      <c r="H228"/>
      <c r="I228"/>
    </row>
    <row r="229" spans="1:9" x14ac:dyDescent="0.2">
      <c r="A229"/>
      <c r="B229"/>
      <c r="C229"/>
      <c r="D229"/>
      <c r="E229"/>
      <c r="F229"/>
      <c r="G229"/>
      <c r="H229"/>
      <c r="I229"/>
    </row>
    <row r="230" spans="1:9" x14ac:dyDescent="0.2">
      <c r="A230"/>
      <c r="B230"/>
      <c r="C230"/>
      <c r="D230"/>
      <c r="E230"/>
      <c r="F230"/>
      <c r="G230"/>
      <c r="H230"/>
      <c r="I230"/>
    </row>
    <row r="231" spans="1:9" x14ac:dyDescent="0.2">
      <c r="A231"/>
      <c r="B231"/>
      <c r="C231"/>
      <c r="D231"/>
      <c r="E231"/>
      <c r="F231"/>
      <c r="G231"/>
      <c r="H231"/>
      <c r="I231"/>
    </row>
    <row r="232" spans="1:9" x14ac:dyDescent="0.2">
      <c r="A232"/>
      <c r="B232"/>
      <c r="C232"/>
      <c r="D232"/>
      <c r="E232"/>
      <c r="F232"/>
      <c r="G232"/>
      <c r="H232"/>
      <c r="I232"/>
    </row>
    <row r="233" spans="1:9" x14ac:dyDescent="0.2">
      <c r="A233"/>
      <c r="B233"/>
      <c r="C233"/>
      <c r="D233"/>
      <c r="E233"/>
      <c r="F233"/>
      <c r="G233"/>
      <c r="H233"/>
      <c r="I233"/>
    </row>
    <row r="234" spans="1:9" x14ac:dyDescent="0.2">
      <c r="A234"/>
      <c r="B234"/>
      <c r="C234"/>
      <c r="D234"/>
      <c r="E234"/>
      <c r="F234"/>
      <c r="G234"/>
      <c r="H234"/>
      <c r="I234"/>
    </row>
    <row r="235" spans="1:9" x14ac:dyDescent="0.2">
      <c r="A235"/>
      <c r="B235"/>
      <c r="C235"/>
      <c r="D235"/>
      <c r="E235"/>
      <c r="F235"/>
      <c r="G235"/>
      <c r="H235"/>
      <c r="I235"/>
    </row>
    <row r="236" spans="1:9" x14ac:dyDescent="0.2">
      <c r="A236"/>
      <c r="B236"/>
      <c r="C236"/>
      <c r="D236"/>
      <c r="E236"/>
      <c r="F236"/>
      <c r="G236"/>
      <c r="H236"/>
      <c r="I236"/>
    </row>
    <row r="237" spans="1:9" x14ac:dyDescent="0.2">
      <c r="A237"/>
      <c r="B237"/>
      <c r="C237"/>
      <c r="D237"/>
      <c r="E237"/>
      <c r="F237"/>
      <c r="G237"/>
      <c r="H237"/>
      <c r="I237"/>
    </row>
    <row r="238" spans="1:9" x14ac:dyDescent="0.2">
      <c r="A238"/>
      <c r="B238"/>
      <c r="C238"/>
      <c r="D238"/>
      <c r="E238"/>
      <c r="F238"/>
      <c r="G238"/>
      <c r="H238"/>
      <c r="I238"/>
    </row>
    <row r="239" spans="1:9" x14ac:dyDescent="0.2">
      <c r="A239"/>
      <c r="B239"/>
      <c r="C239"/>
      <c r="D239"/>
      <c r="E239"/>
      <c r="F239"/>
      <c r="G239"/>
      <c r="H239"/>
      <c r="I239"/>
    </row>
    <row r="240" spans="1:9" x14ac:dyDescent="0.2">
      <c r="A240"/>
      <c r="B240"/>
      <c r="C240"/>
      <c r="D240"/>
      <c r="E240"/>
      <c r="F240"/>
      <c r="G240"/>
      <c r="H240"/>
      <c r="I240"/>
    </row>
    <row r="241" spans="1:9" x14ac:dyDescent="0.2">
      <c r="A241"/>
      <c r="B241"/>
      <c r="C241"/>
      <c r="D241"/>
      <c r="E241"/>
      <c r="F241"/>
      <c r="G241"/>
      <c r="H241"/>
      <c r="I241"/>
    </row>
    <row r="242" spans="1:9" x14ac:dyDescent="0.2">
      <c r="A242"/>
      <c r="B242"/>
      <c r="C242"/>
      <c r="D242"/>
      <c r="E242"/>
      <c r="F242"/>
      <c r="G242"/>
      <c r="H242"/>
      <c r="I242"/>
    </row>
    <row r="243" spans="1:9" x14ac:dyDescent="0.2">
      <c r="A243"/>
      <c r="B243"/>
      <c r="C243"/>
      <c r="D243"/>
      <c r="E243"/>
      <c r="F243"/>
      <c r="G243"/>
      <c r="H243"/>
      <c r="I243"/>
    </row>
    <row r="244" spans="1:9" x14ac:dyDescent="0.2">
      <c r="A244"/>
      <c r="B244"/>
      <c r="C244"/>
      <c r="D244"/>
      <c r="E244"/>
      <c r="F244"/>
      <c r="G244"/>
      <c r="H244"/>
      <c r="I244"/>
    </row>
    <row r="245" spans="1:9" x14ac:dyDescent="0.2">
      <c r="A245"/>
      <c r="B245"/>
      <c r="C245"/>
      <c r="D245"/>
      <c r="E245"/>
      <c r="F245"/>
      <c r="G245"/>
      <c r="H245"/>
      <c r="I245"/>
    </row>
    <row r="246" spans="1:9" x14ac:dyDescent="0.2">
      <c r="A246"/>
      <c r="B246"/>
      <c r="C246"/>
      <c r="D246"/>
      <c r="E246"/>
      <c r="F246"/>
      <c r="G246"/>
      <c r="H246"/>
      <c r="I246"/>
    </row>
    <row r="247" spans="1:9" x14ac:dyDescent="0.2">
      <c r="A247"/>
      <c r="B247"/>
      <c r="C247"/>
      <c r="D247"/>
      <c r="E247"/>
      <c r="F247"/>
      <c r="G247"/>
      <c r="H247"/>
      <c r="I247"/>
    </row>
    <row r="248" spans="1:9" x14ac:dyDescent="0.2">
      <c r="A248"/>
      <c r="B248"/>
      <c r="C248"/>
      <c r="D248"/>
      <c r="E248"/>
      <c r="F248"/>
      <c r="G248"/>
      <c r="H248"/>
      <c r="I248"/>
    </row>
    <row r="249" spans="1:9" x14ac:dyDescent="0.2">
      <c r="A249"/>
      <c r="B249"/>
      <c r="C249"/>
      <c r="D249"/>
      <c r="E249"/>
      <c r="F249"/>
      <c r="G249"/>
      <c r="H249"/>
      <c r="I249"/>
    </row>
    <row r="250" spans="1:9" x14ac:dyDescent="0.2">
      <c r="A250"/>
      <c r="B250"/>
      <c r="C250"/>
      <c r="D250"/>
      <c r="E250"/>
      <c r="F250"/>
      <c r="G250"/>
      <c r="H250"/>
      <c r="I250"/>
    </row>
    <row r="251" spans="1:9" x14ac:dyDescent="0.2">
      <c r="A251"/>
      <c r="B251"/>
      <c r="C251"/>
      <c r="D251"/>
      <c r="E251"/>
      <c r="F251"/>
      <c r="G251"/>
      <c r="H251"/>
      <c r="I251"/>
    </row>
    <row r="252" spans="1:9" x14ac:dyDescent="0.2">
      <c r="A252"/>
      <c r="B252"/>
      <c r="C252"/>
      <c r="D252"/>
      <c r="E252"/>
      <c r="F252"/>
      <c r="G252"/>
      <c r="H252"/>
      <c r="I252"/>
    </row>
    <row r="253" spans="1:9" x14ac:dyDescent="0.2">
      <c r="A253"/>
      <c r="B253"/>
      <c r="C253"/>
      <c r="D253"/>
      <c r="E253"/>
      <c r="F253"/>
      <c r="G253"/>
      <c r="H253"/>
      <c r="I253"/>
    </row>
    <row r="254" spans="1:9" x14ac:dyDescent="0.2">
      <c r="A254"/>
      <c r="B254"/>
      <c r="C254"/>
      <c r="D254"/>
      <c r="E254"/>
      <c r="F254"/>
      <c r="G254"/>
      <c r="H254"/>
      <c r="I254"/>
    </row>
    <row r="255" spans="1:9" x14ac:dyDescent="0.2">
      <c r="A255"/>
      <c r="B255"/>
      <c r="C255"/>
      <c r="D255"/>
      <c r="E255"/>
      <c r="F255"/>
      <c r="G255"/>
      <c r="H255"/>
      <c r="I255"/>
    </row>
    <row r="256" spans="1:9" x14ac:dyDescent="0.2">
      <c r="A256"/>
      <c r="B256"/>
      <c r="C256"/>
      <c r="D256"/>
      <c r="E256"/>
      <c r="F256"/>
      <c r="G256"/>
      <c r="H256"/>
      <c r="I256"/>
    </row>
    <row r="257" spans="1:10" x14ac:dyDescent="0.2">
      <c r="A257"/>
      <c r="B257"/>
      <c r="C257"/>
      <c r="D257"/>
      <c r="E257"/>
      <c r="F257"/>
      <c r="G257"/>
      <c r="H257"/>
      <c r="I257"/>
    </row>
    <row r="258" spans="1:10" x14ac:dyDescent="0.2">
      <c r="A258"/>
      <c r="B258"/>
      <c r="C258"/>
      <c r="D258"/>
      <c r="E258"/>
      <c r="F258"/>
      <c r="G258"/>
      <c r="H258"/>
      <c r="I258"/>
    </row>
    <row r="259" spans="1:10" x14ac:dyDescent="0.2">
      <c r="A259"/>
      <c r="B259"/>
      <c r="C259"/>
      <c r="D259"/>
      <c r="E259"/>
      <c r="F259"/>
      <c r="G259"/>
      <c r="H259"/>
      <c r="I259"/>
    </row>
    <row r="260" spans="1:10" x14ac:dyDescent="0.2">
      <c r="A260"/>
      <c r="B260"/>
      <c r="C260"/>
      <c r="D260"/>
      <c r="E260"/>
      <c r="F260"/>
      <c r="G260"/>
      <c r="H260"/>
      <c r="I260"/>
    </row>
    <row r="261" spans="1:10" x14ac:dyDescent="0.2">
      <c r="A261"/>
      <c r="B261"/>
      <c r="C261"/>
      <c r="D261"/>
      <c r="E261"/>
      <c r="F261"/>
      <c r="G261"/>
      <c r="H261"/>
      <c r="I261"/>
    </row>
    <row r="262" spans="1:10" x14ac:dyDescent="0.2">
      <c r="A262"/>
      <c r="B262"/>
      <c r="C262"/>
      <c r="D262"/>
      <c r="E262"/>
      <c r="F262"/>
      <c r="G262"/>
      <c r="H262"/>
      <c r="I262"/>
    </row>
    <row r="263" spans="1:10" x14ac:dyDescent="0.2">
      <c r="A263"/>
      <c r="B263"/>
      <c r="C263"/>
      <c r="D263"/>
      <c r="E263"/>
      <c r="F263"/>
      <c r="G263"/>
      <c r="H263"/>
      <c r="I263"/>
    </row>
    <row r="264" spans="1:10" x14ac:dyDescent="0.2">
      <c r="A264"/>
      <c r="B264"/>
      <c r="C264"/>
      <c r="D264"/>
      <c r="E264"/>
      <c r="F264"/>
      <c r="G264"/>
      <c r="H264"/>
      <c r="I264"/>
    </row>
    <row r="265" spans="1:10" x14ac:dyDescent="0.2">
      <c r="A265"/>
      <c r="B265"/>
      <c r="C265"/>
      <c r="D265"/>
      <c r="E265"/>
      <c r="F265"/>
      <c r="G265"/>
      <c r="H265"/>
      <c r="I265"/>
      <c r="J265"/>
    </row>
    <row r="266" spans="1:10" x14ac:dyDescent="0.2">
      <c r="A266"/>
      <c r="B266"/>
      <c r="C266"/>
      <c r="D266"/>
      <c r="E266"/>
      <c r="F266"/>
      <c r="G266"/>
      <c r="H266"/>
      <c r="I266"/>
    </row>
    <row r="267" spans="1:10" x14ac:dyDescent="0.2">
      <c r="A267"/>
      <c r="B267"/>
      <c r="C267"/>
      <c r="D267"/>
      <c r="E267"/>
      <c r="F267"/>
      <c r="G267"/>
      <c r="H267"/>
      <c r="I267"/>
    </row>
    <row r="268" spans="1:10" x14ac:dyDescent="0.2">
      <c r="A268"/>
      <c r="B268"/>
      <c r="C268"/>
      <c r="D268"/>
      <c r="E268"/>
      <c r="F268"/>
      <c r="G268"/>
      <c r="H268"/>
      <c r="I268"/>
    </row>
    <row r="269" spans="1:10" x14ac:dyDescent="0.2">
      <c r="A269"/>
      <c r="B269"/>
      <c r="C269"/>
      <c r="D269"/>
      <c r="E269"/>
      <c r="F269"/>
      <c r="G269"/>
      <c r="H269"/>
      <c r="I269"/>
    </row>
    <row r="270" spans="1:10" x14ac:dyDescent="0.2">
      <c r="A270"/>
      <c r="B270"/>
      <c r="C270"/>
      <c r="D270"/>
      <c r="E270"/>
      <c r="F270"/>
      <c r="G270"/>
      <c r="H270"/>
      <c r="I270"/>
    </row>
    <row r="271" spans="1:10" x14ac:dyDescent="0.2">
      <c r="A271"/>
      <c r="B271"/>
      <c r="C271"/>
      <c r="D271"/>
      <c r="E271"/>
      <c r="F271"/>
      <c r="G271"/>
      <c r="H271"/>
      <c r="I271"/>
    </row>
    <row r="272" spans="1:10" x14ac:dyDescent="0.2">
      <c r="A272"/>
      <c r="B272"/>
      <c r="C272"/>
      <c r="D272"/>
      <c r="E272"/>
      <c r="F272"/>
      <c r="G272"/>
      <c r="H272"/>
      <c r="I272"/>
    </row>
    <row r="273" spans="1:9" x14ac:dyDescent="0.2">
      <c r="A273"/>
      <c r="B273"/>
      <c r="C273"/>
      <c r="D273"/>
      <c r="E273"/>
      <c r="F273"/>
      <c r="G273"/>
      <c r="H273"/>
      <c r="I273"/>
    </row>
    <row r="274" spans="1:9" x14ac:dyDescent="0.2">
      <c r="A274"/>
      <c r="B274"/>
      <c r="C274"/>
      <c r="D274"/>
      <c r="E274"/>
      <c r="F274"/>
      <c r="G274"/>
      <c r="H274"/>
      <c r="I274"/>
    </row>
    <row r="275" spans="1:9" x14ac:dyDescent="0.2">
      <c r="A275"/>
      <c r="B275"/>
      <c r="C275"/>
      <c r="D275"/>
      <c r="E275"/>
      <c r="F275"/>
      <c r="G275"/>
      <c r="H275"/>
      <c r="I275"/>
    </row>
    <row r="276" spans="1:9" x14ac:dyDescent="0.2">
      <c r="A276"/>
      <c r="B276"/>
      <c r="C276"/>
      <c r="D276"/>
      <c r="E276"/>
      <c r="F276"/>
      <c r="G276"/>
      <c r="H276"/>
      <c r="I276"/>
    </row>
    <row r="277" spans="1:9" x14ac:dyDescent="0.2">
      <c r="A277"/>
      <c r="B277"/>
      <c r="C277"/>
      <c r="D277"/>
      <c r="E277"/>
      <c r="F277"/>
      <c r="G277"/>
      <c r="H277"/>
      <c r="I277"/>
    </row>
    <row r="278" spans="1:9" x14ac:dyDescent="0.2">
      <c r="A278"/>
      <c r="B278"/>
      <c r="C278"/>
      <c r="D278"/>
      <c r="E278"/>
      <c r="F278"/>
      <c r="G278"/>
      <c r="H278"/>
      <c r="I278"/>
    </row>
    <row r="279" spans="1:9" x14ac:dyDescent="0.2">
      <c r="A279"/>
      <c r="B279"/>
      <c r="C279"/>
      <c r="D279"/>
      <c r="E279"/>
      <c r="F279"/>
      <c r="G279"/>
      <c r="H279"/>
      <c r="I279"/>
    </row>
    <row r="280" spans="1:9" x14ac:dyDescent="0.2">
      <c r="A280"/>
      <c r="B280"/>
      <c r="C280"/>
      <c r="D280"/>
      <c r="E280"/>
      <c r="F280"/>
      <c r="G280"/>
      <c r="H280"/>
      <c r="I280"/>
    </row>
    <row r="281" spans="1:9" x14ac:dyDescent="0.2">
      <c r="A281"/>
      <c r="B281"/>
      <c r="C281"/>
      <c r="D281"/>
      <c r="E281"/>
      <c r="F281"/>
      <c r="G281"/>
      <c r="H281"/>
      <c r="I281"/>
    </row>
    <row r="282" spans="1:9" x14ac:dyDescent="0.2">
      <c r="A282"/>
      <c r="B282"/>
      <c r="C282"/>
      <c r="D282"/>
      <c r="E282"/>
      <c r="F282"/>
      <c r="G282"/>
      <c r="H282"/>
      <c r="I282"/>
    </row>
    <row r="283" spans="1:9" x14ac:dyDescent="0.2">
      <c r="A283"/>
      <c r="B283"/>
      <c r="C283"/>
      <c r="D283"/>
      <c r="E283"/>
      <c r="F283"/>
      <c r="G283"/>
      <c r="H283"/>
      <c r="I283"/>
    </row>
    <row r="284" spans="1:9" x14ac:dyDescent="0.2">
      <c r="A284"/>
      <c r="B284"/>
      <c r="C284"/>
      <c r="D284"/>
      <c r="E284"/>
      <c r="F284"/>
      <c r="G284"/>
      <c r="H284"/>
      <c r="I284"/>
    </row>
    <row r="285" spans="1:9" x14ac:dyDescent="0.2">
      <c r="A285"/>
      <c r="B285"/>
      <c r="C285"/>
      <c r="D285"/>
      <c r="E285"/>
      <c r="F285"/>
      <c r="G285"/>
      <c r="H285"/>
      <c r="I285"/>
    </row>
    <row r="286" spans="1:9" x14ac:dyDescent="0.2">
      <c r="A286"/>
      <c r="B286"/>
      <c r="C286"/>
      <c r="D286"/>
      <c r="E286"/>
      <c r="F286"/>
      <c r="G286"/>
      <c r="H286"/>
      <c r="I286"/>
    </row>
    <row r="287" spans="1:9" x14ac:dyDescent="0.2">
      <c r="A287"/>
      <c r="B287"/>
      <c r="C287"/>
      <c r="D287"/>
      <c r="E287"/>
      <c r="F287"/>
      <c r="G287"/>
      <c r="H287"/>
      <c r="I287"/>
    </row>
    <row r="288" spans="1:9" x14ac:dyDescent="0.2">
      <c r="A288"/>
      <c r="B288"/>
      <c r="C288"/>
      <c r="D288"/>
      <c r="E288"/>
      <c r="F288"/>
      <c r="G288"/>
      <c r="H288"/>
      <c r="I288"/>
    </row>
    <row r="289" spans="1:9" x14ac:dyDescent="0.2">
      <c r="A289"/>
      <c r="B289"/>
      <c r="C289"/>
      <c r="D289"/>
      <c r="E289"/>
      <c r="F289"/>
      <c r="G289"/>
      <c r="H289"/>
      <c r="I289"/>
    </row>
    <row r="290" spans="1:9" x14ac:dyDescent="0.2">
      <c r="A290"/>
      <c r="B290"/>
      <c r="C290"/>
      <c r="D290"/>
      <c r="E290"/>
      <c r="F290"/>
      <c r="G290"/>
      <c r="H290"/>
      <c r="I290"/>
    </row>
    <row r="291" spans="1:9" x14ac:dyDescent="0.2">
      <c r="A291"/>
      <c r="B291"/>
      <c r="C291"/>
      <c r="D291"/>
      <c r="E291"/>
      <c r="F291"/>
      <c r="G291"/>
      <c r="H291"/>
      <c r="I291"/>
    </row>
    <row r="292" spans="1:9" x14ac:dyDescent="0.2">
      <c r="A292"/>
      <c r="B292"/>
      <c r="C292"/>
      <c r="D292"/>
      <c r="E292"/>
      <c r="F292"/>
      <c r="G292"/>
      <c r="H292"/>
      <c r="I292"/>
    </row>
    <row r="293" spans="1:9" x14ac:dyDescent="0.2">
      <c r="A293"/>
      <c r="B293"/>
      <c r="C293"/>
      <c r="D293"/>
      <c r="E293"/>
      <c r="F293"/>
      <c r="G293"/>
      <c r="H293"/>
      <c r="I293"/>
    </row>
    <row r="294" spans="1:9" x14ac:dyDescent="0.2">
      <c r="A294"/>
      <c r="B294"/>
      <c r="C294"/>
      <c r="D294"/>
      <c r="E294"/>
      <c r="F294"/>
      <c r="G294"/>
      <c r="H294"/>
      <c r="I294"/>
    </row>
    <row r="295" spans="1:9" x14ac:dyDescent="0.2">
      <c r="A295"/>
      <c r="B295"/>
      <c r="C295"/>
      <c r="D295"/>
      <c r="E295"/>
      <c r="F295"/>
      <c r="G295"/>
      <c r="H295"/>
      <c r="I295"/>
    </row>
    <row r="296" spans="1:9" x14ac:dyDescent="0.2">
      <c r="A296"/>
      <c r="B296"/>
      <c r="C296"/>
      <c r="D296"/>
      <c r="E296"/>
      <c r="F296"/>
      <c r="G296"/>
      <c r="H296"/>
      <c r="I296"/>
    </row>
    <row r="297" spans="1:9" x14ac:dyDescent="0.2">
      <c r="A297"/>
      <c r="B297"/>
      <c r="C297"/>
      <c r="D297"/>
      <c r="E297"/>
      <c r="F297"/>
      <c r="G297"/>
      <c r="H297"/>
      <c r="I297"/>
    </row>
    <row r="298" spans="1:9" x14ac:dyDescent="0.2">
      <c r="A298"/>
      <c r="B298"/>
      <c r="C298"/>
      <c r="D298"/>
      <c r="E298"/>
      <c r="F298"/>
      <c r="G298"/>
      <c r="H298"/>
      <c r="I298"/>
    </row>
    <row r="299" spans="1:9" x14ac:dyDescent="0.2">
      <c r="A299"/>
      <c r="B299"/>
      <c r="C299"/>
      <c r="D299"/>
      <c r="E299"/>
      <c r="F299"/>
      <c r="G299"/>
      <c r="H299"/>
      <c r="I299"/>
    </row>
    <row r="300" spans="1:9" x14ac:dyDescent="0.2">
      <c r="A300"/>
      <c r="B300"/>
      <c r="C300"/>
      <c r="D300"/>
      <c r="E300"/>
      <c r="F300"/>
      <c r="G300"/>
      <c r="H300"/>
      <c r="I300"/>
    </row>
    <row r="301" spans="1:9" x14ac:dyDescent="0.2">
      <c r="A301"/>
      <c r="B301"/>
      <c r="C301"/>
      <c r="D301"/>
      <c r="E301"/>
      <c r="F301"/>
      <c r="G301"/>
      <c r="H301"/>
      <c r="I301"/>
    </row>
    <row r="302" spans="1:9" x14ac:dyDescent="0.2">
      <c r="A302"/>
      <c r="B302"/>
      <c r="C302"/>
      <c r="D302"/>
      <c r="E302"/>
      <c r="F302"/>
      <c r="G302"/>
      <c r="H302"/>
      <c r="I302"/>
    </row>
    <row r="303" spans="1:9" x14ac:dyDescent="0.2">
      <c r="A303"/>
      <c r="B303"/>
      <c r="C303"/>
      <c r="D303"/>
      <c r="E303"/>
      <c r="F303"/>
      <c r="G303"/>
      <c r="H303"/>
      <c r="I303"/>
    </row>
    <row r="304" spans="1:9" x14ac:dyDescent="0.2">
      <c r="A304"/>
      <c r="B304"/>
      <c r="C304"/>
      <c r="D304"/>
      <c r="E304"/>
      <c r="F304"/>
      <c r="G304"/>
      <c r="H304"/>
      <c r="I304"/>
    </row>
    <row r="305" spans="1:10" x14ac:dyDescent="0.2">
      <c r="A305"/>
      <c r="B305"/>
      <c r="C305"/>
      <c r="D305"/>
      <c r="E305"/>
      <c r="F305"/>
      <c r="G305"/>
      <c r="H305"/>
      <c r="I305"/>
    </row>
    <row r="306" spans="1:10" x14ac:dyDescent="0.2">
      <c r="A306"/>
      <c r="B306"/>
      <c r="C306"/>
      <c r="D306"/>
      <c r="E306"/>
      <c r="F306"/>
      <c r="G306"/>
      <c r="H306"/>
      <c r="I306"/>
    </row>
    <row r="307" spans="1:10" x14ac:dyDescent="0.2">
      <c r="A307"/>
      <c r="B307"/>
      <c r="C307"/>
      <c r="D307"/>
      <c r="E307"/>
      <c r="F307"/>
      <c r="G307"/>
      <c r="H307"/>
      <c r="I307"/>
    </row>
    <row r="308" spans="1:10" x14ac:dyDescent="0.2">
      <c r="A308"/>
      <c r="B308"/>
      <c r="C308"/>
      <c r="D308"/>
      <c r="E308"/>
      <c r="F308"/>
      <c r="G308"/>
      <c r="H308"/>
      <c r="I308"/>
    </row>
    <row r="309" spans="1:10" x14ac:dyDescent="0.2">
      <c r="A309"/>
      <c r="B309"/>
      <c r="C309"/>
      <c r="D309"/>
      <c r="E309"/>
      <c r="F309"/>
      <c r="G309"/>
      <c r="H309"/>
      <c r="I309"/>
    </row>
    <row r="310" spans="1:10" x14ac:dyDescent="0.2">
      <c r="A310"/>
      <c r="B310"/>
      <c r="C310"/>
      <c r="D310"/>
      <c r="E310"/>
      <c r="F310"/>
      <c r="G310"/>
      <c r="H310"/>
      <c r="I310"/>
    </row>
    <row r="311" spans="1:10" x14ac:dyDescent="0.2">
      <c r="A311"/>
      <c r="B311"/>
      <c r="C311"/>
      <c r="D311"/>
      <c r="E311"/>
      <c r="F311"/>
      <c r="G311"/>
      <c r="H311"/>
      <c r="I311"/>
    </row>
    <row r="312" spans="1:10" x14ac:dyDescent="0.2">
      <c r="A312"/>
      <c r="B312"/>
      <c r="C312"/>
      <c r="D312"/>
      <c r="E312"/>
      <c r="F312"/>
      <c r="G312"/>
      <c r="H312"/>
      <c r="I312"/>
    </row>
    <row r="313" spans="1:10" x14ac:dyDescent="0.2">
      <c r="A313"/>
      <c r="B313"/>
      <c r="C313"/>
      <c r="D313"/>
      <c r="E313"/>
      <c r="F313"/>
      <c r="G313"/>
      <c r="H313"/>
      <c r="I313"/>
    </row>
    <row r="314" spans="1:10" x14ac:dyDescent="0.2">
      <c r="A314"/>
      <c r="B314"/>
      <c r="C314"/>
      <c r="D314"/>
      <c r="E314"/>
      <c r="F314"/>
      <c r="G314"/>
      <c r="H314"/>
      <c r="I314"/>
    </row>
    <row r="315" spans="1:10" x14ac:dyDescent="0.2">
      <c r="A315"/>
      <c r="B315"/>
      <c r="C315"/>
      <c r="D315"/>
      <c r="E315"/>
      <c r="F315"/>
      <c r="G315"/>
      <c r="H315"/>
      <c r="I315"/>
    </row>
    <row r="316" spans="1:10" x14ac:dyDescent="0.2">
      <c r="A316"/>
      <c r="B316"/>
      <c r="C316"/>
      <c r="D316"/>
      <c r="E316"/>
      <c r="F316"/>
      <c r="G316"/>
      <c r="H316"/>
      <c r="I316"/>
    </row>
    <row r="317" spans="1:10" x14ac:dyDescent="0.2">
      <c r="A317"/>
      <c r="B317"/>
      <c r="C317"/>
      <c r="D317"/>
      <c r="E317"/>
      <c r="F317"/>
      <c r="G317"/>
      <c r="H317"/>
      <c r="I317"/>
    </row>
    <row r="318" spans="1:10" x14ac:dyDescent="0.2">
      <c r="A318"/>
      <c r="B318"/>
      <c r="C318"/>
      <c r="D318"/>
      <c r="E318"/>
      <c r="F318"/>
      <c r="G318"/>
      <c r="H318"/>
      <c r="I318"/>
    </row>
    <row r="319" spans="1:10" x14ac:dyDescent="0.2">
      <c r="A319"/>
      <c r="B319"/>
      <c r="C319"/>
      <c r="D319"/>
      <c r="E319"/>
      <c r="F319"/>
      <c r="G319"/>
      <c r="H319"/>
      <c r="I319"/>
    </row>
    <row r="320" spans="1:10" x14ac:dyDescent="0.2">
      <c r="A320"/>
      <c r="B320"/>
      <c r="C320"/>
      <c r="D320"/>
      <c r="E320"/>
      <c r="F320"/>
      <c r="G320"/>
      <c r="H320"/>
      <c r="I320"/>
      <c r="J320"/>
    </row>
    <row r="321" spans="1:9" x14ac:dyDescent="0.2">
      <c r="A321"/>
      <c r="B321"/>
      <c r="C321"/>
      <c r="D321"/>
      <c r="E321"/>
      <c r="F321"/>
      <c r="G321"/>
      <c r="H321"/>
      <c r="I321"/>
    </row>
    <row r="322" spans="1:9" x14ac:dyDescent="0.2">
      <c r="A322"/>
      <c r="B322"/>
      <c r="C322"/>
      <c r="D322"/>
      <c r="E322"/>
      <c r="F322"/>
      <c r="G322"/>
      <c r="H322"/>
      <c r="I322"/>
    </row>
    <row r="323" spans="1:9" x14ac:dyDescent="0.2">
      <c r="A323"/>
      <c r="B323"/>
      <c r="C323"/>
      <c r="D323"/>
      <c r="E323"/>
      <c r="F323"/>
      <c r="G323"/>
      <c r="H323"/>
      <c r="I323"/>
    </row>
    <row r="324" spans="1:9" x14ac:dyDescent="0.2">
      <c r="C324"/>
      <c r="D324"/>
      <c r="E324"/>
      <c r="F324"/>
      <c r="G324"/>
      <c r="H324"/>
      <c r="I324"/>
    </row>
    <row r="325" spans="1:9" x14ac:dyDescent="0.2">
      <c r="A325"/>
      <c r="B325"/>
      <c r="C325"/>
      <c r="D325"/>
      <c r="E325"/>
      <c r="F325"/>
      <c r="G325"/>
      <c r="H325"/>
      <c r="I325"/>
    </row>
    <row r="326" spans="1:9" x14ac:dyDescent="0.2">
      <c r="A326"/>
      <c r="B326"/>
      <c r="C326"/>
      <c r="D326"/>
      <c r="E326"/>
      <c r="F326"/>
      <c r="G326"/>
      <c r="H326"/>
      <c r="I326"/>
    </row>
    <row r="327" spans="1:9" x14ac:dyDescent="0.2">
      <c r="A327"/>
      <c r="B327"/>
      <c r="C327"/>
      <c r="D327"/>
      <c r="E327"/>
      <c r="F327"/>
      <c r="G327"/>
      <c r="H327"/>
      <c r="I327"/>
    </row>
    <row r="328" spans="1:9" x14ac:dyDescent="0.2">
      <c r="A328"/>
      <c r="B328"/>
      <c r="C328"/>
      <c r="D328"/>
      <c r="E328"/>
      <c r="F328"/>
      <c r="G328"/>
      <c r="H328"/>
      <c r="I328"/>
    </row>
    <row r="329" spans="1:9" x14ac:dyDescent="0.2">
      <c r="A329"/>
      <c r="B329"/>
      <c r="C329"/>
      <c r="D329"/>
      <c r="E329"/>
      <c r="F329"/>
      <c r="G329"/>
      <c r="H329"/>
      <c r="I329"/>
    </row>
    <row r="330" spans="1:9" x14ac:dyDescent="0.2">
      <c r="A330"/>
      <c r="B330"/>
      <c r="C330"/>
      <c r="D330"/>
      <c r="E330"/>
      <c r="F330"/>
      <c r="G330"/>
      <c r="H330"/>
      <c r="I330"/>
    </row>
    <row r="331" spans="1:9" x14ac:dyDescent="0.2">
      <c r="A331"/>
      <c r="B331"/>
      <c r="C331"/>
      <c r="D331"/>
      <c r="E331"/>
      <c r="F331"/>
      <c r="G331"/>
      <c r="H331"/>
      <c r="I331"/>
    </row>
    <row r="332" spans="1:9" x14ac:dyDescent="0.2">
      <c r="A332"/>
      <c r="B332"/>
      <c r="C332"/>
      <c r="D332"/>
      <c r="E332"/>
      <c r="F332"/>
      <c r="G332"/>
      <c r="H332"/>
      <c r="I332"/>
    </row>
    <row r="333" spans="1:9" x14ac:dyDescent="0.2">
      <c r="A333"/>
      <c r="B333"/>
      <c r="C333"/>
      <c r="D333"/>
      <c r="E333"/>
      <c r="F333"/>
      <c r="G333"/>
      <c r="H333"/>
      <c r="I333"/>
    </row>
    <row r="334" spans="1:9" x14ac:dyDescent="0.2">
      <c r="A334"/>
      <c r="B334"/>
      <c r="C334"/>
      <c r="D334"/>
      <c r="E334"/>
      <c r="F334"/>
      <c r="G334"/>
      <c r="H334"/>
      <c r="I334"/>
    </row>
    <row r="335" spans="1:9" x14ac:dyDescent="0.2">
      <c r="A335"/>
      <c r="B335"/>
      <c r="C335"/>
      <c r="D335"/>
      <c r="E335"/>
      <c r="F335"/>
      <c r="G335"/>
      <c r="H335"/>
      <c r="I335"/>
    </row>
    <row r="336" spans="1:9" x14ac:dyDescent="0.2">
      <c r="A336"/>
      <c r="B336"/>
      <c r="C336"/>
      <c r="D336"/>
      <c r="E336"/>
      <c r="F336"/>
      <c r="G336"/>
      <c r="H336"/>
      <c r="I336"/>
    </row>
    <row r="337" spans="1:10" x14ac:dyDescent="0.2">
      <c r="A337"/>
      <c r="B337"/>
      <c r="C337"/>
      <c r="D337"/>
      <c r="E337"/>
      <c r="F337"/>
      <c r="G337"/>
      <c r="H337"/>
      <c r="I337"/>
    </row>
    <row r="338" spans="1:10" x14ac:dyDescent="0.2">
      <c r="A338"/>
      <c r="B338"/>
      <c r="C338"/>
      <c r="D338"/>
      <c r="E338"/>
      <c r="F338"/>
      <c r="G338"/>
      <c r="H338"/>
      <c r="I338"/>
    </row>
    <row r="339" spans="1:10" x14ac:dyDescent="0.2">
      <c r="A339"/>
      <c r="B339"/>
      <c r="C339"/>
      <c r="D339"/>
      <c r="E339"/>
      <c r="F339"/>
      <c r="G339"/>
      <c r="H339"/>
      <c r="I339"/>
    </row>
    <row r="340" spans="1:10" x14ac:dyDescent="0.2">
      <c r="A340"/>
      <c r="B340"/>
      <c r="C340"/>
      <c r="D340"/>
      <c r="E340"/>
      <c r="F340"/>
      <c r="G340"/>
      <c r="H340"/>
      <c r="I340"/>
    </row>
    <row r="341" spans="1:10" x14ac:dyDescent="0.2">
      <c r="A341"/>
      <c r="B341"/>
      <c r="C341"/>
      <c r="D341"/>
      <c r="E341"/>
      <c r="F341"/>
      <c r="G341"/>
      <c r="H341"/>
      <c r="I341"/>
    </row>
    <row r="342" spans="1:10" x14ac:dyDescent="0.2">
      <c r="A342"/>
      <c r="B342"/>
      <c r="C342"/>
      <c r="D342"/>
      <c r="E342"/>
      <c r="F342"/>
      <c r="G342"/>
      <c r="H342"/>
      <c r="I342"/>
    </row>
    <row r="343" spans="1:10" x14ac:dyDescent="0.2">
      <c r="A343"/>
      <c r="B343"/>
      <c r="C343"/>
      <c r="D343"/>
      <c r="E343"/>
      <c r="F343"/>
      <c r="G343"/>
      <c r="H343"/>
      <c r="I343"/>
    </row>
    <row r="344" spans="1:10" x14ac:dyDescent="0.2">
      <c r="A344"/>
      <c r="B344"/>
      <c r="C344"/>
      <c r="D344"/>
      <c r="E344"/>
      <c r="F344"/>
      <c r="G344"/>
      <c r="H344"/>
      <c r="I344"/>
    </row>
    <row r="345" spans="1:10" x14ac:dyDescent="0.2">
      <c r="A345"/>
      <c r="B345"/>
      <c r="C345"/>
      <c r="D345"/>
      <c r="E345"/>
      <c r="F345"/>
      <c r="G345"/>
      <c r="H345"/>
      <c r="I345"/>
    </row>
    <row r="346" spans="1:10" x14ac:dyDescent="0.2">
      <c r="A346"/>
      <c r="B346"/>
      <c r="C346"/>
      <c r="D346"/>
      <c r="E346"/>
      <c r="F346"/>
      <c r="G346"/>
      <c r="H346"/>
      <c r="I346"/>
    </row>
    <row r="347" spans="1:10" x14ac:dyDescent="0.2">
      <c r="A347"/>
      <c r="B347"/>
      <c r="C347"/>
      <c r="D347"/>
      <c r="E347"/>
      <c r="F347"/>
      <c r="G347"/>
      <c r="H347"/>
      <c r="I347"/>
      <c r="J347"/>
    </row>
    <row r="348" spans="1:10" x14ac:dyDescent="0.2">
      <c r="A348" s="27"/>
      <c r="B348"/>
      <c r="C348"/>
      <c r="D348"/>
      <c r="E348"/>
      <c r="F348"/>
      <c r="G348"/>
      <c r="H348"/>
      <c r="I348"/>
    </row>
    <row r="349" spans="1:10" x14ac:dyDescent="0.2">
      <c r="A349"/>
      <c r="B349"/>
      <c r="C349"/>
      <c r="D349"/>
      <c r="E349"/>
      <c r="F349"/>
      <c r="G349"/>
      <c r="H349"/>
      <c r="I349"/>
    </row>
    <row r="350" spans="1:10" x14ac:dyDescent="0.2">
      <c r="A350"/>
      <c r="B350"/>
      <c r="C350"/>
      <c r="D350"/>
      <c r="E350"/>
      <c r="F350"/>
      <c r="G350"/>
      <c r="H350"/>
      <c r="I350"/>
    </row>
    <row r="351" spans="1:10" x14ac:dyDescent="0.2">
      <c r="A351"/>
      <c r="B351"/>
      <c r="C351"/>
      <c r="D351"/>
      <c r="E351"/>
      <c r="F351"/>
      <c r="G351"/>
      <c r="H351"/>
      <c r="I351"/>
    </row>
    <row r="352" spans="1:10" x14ac:dyDescent="0.2">
      <c r="A352"/>
      <c r="B352"/>
      <c r="C352"/>
      <c r="D352"/>
      <c r="E352"/>
      <c r="F352"/>
      <c r="G352"/>
      <c r="H352"/>
      <c r="I352"/>
    </row>
    <row r="353" spans="1:9" x14ac:dyDescent="0.2">
      <c r="A353"/>
      <c r="B353"/>
      <c r="C353"/>
      <c r="D353"/>
      <c r="E353"/>
      <c r="F353"/>
      <c r="G353"/>
      <c r="H353"/>
      <c r="I353"/>
    </row>
    <row r="354" spans="1:9" x14ac:dyDescent="0.2">
      <c r="A354"/>
      <c r="B354"/>
      <c r="C354"/>
      <c r="D354"/>
      <c r="E354"/>
      <c r="F354"/>
      <c r="G354"/>
      <c r="H354"/>
      <c r="I354"/>
    </row>
    <row r="355" spans="1:9" x14ac:dyDescent="0.2">
      <c r="A355"/>
      <c r="B355"/>
      <c r="C355"/>
      <c r="D355"/>
      <c r="E355"/>
      <c r="F355"/>
      <c r="G355"/>
      <c r="H355"/>
      <c r="I355"/>
    </row>
    <row r="356" spans="1:9" x14ac:dyDescent="0.2">
      <c r="A356"/>
      <c r="B356"/>
      <c r="C356"/>
      <c r="D356"/>
      <c r="E356"/>
      <c r="F356"/>
      <c r="G356"/>
      <c r="H356"/>
      <c r="I356"/>
    </row>
    <row r="357" spans="1:9" x14ac:dyDescent="0.2">
      <c r="A357"/>
      <c r="B357"/>
      <c r="C357"/>
      <c r="D357"/>
      <c r="E357"/>
      <c r="F357"/>
      <c r="G357"/>
      <c r="H357"/>
      <c r="I357"/>
    </row>
    <row r="358" spans="1:9" x14ac:dyDescent="0.2">
      <c r="A358"/>
      <c r="B358"/>
      <c r="C358"/>
      <c r="D358"/>
      <c r="E358"/>
      <c r="F358"/>
      <c r="G358"/>
      <c r="H358"/>
      <c r="I358"/>
    </row>
    <row r="359" spans="1:9" x14ac:dyDescent="0.2">
      <c r="A359"/>
      <c r="B359"/>
      <c r="C359"/>
      <c r="D359"/>
      <c r="E359"/>
      <c r="F359"/>
      <c r="G359"/>
      <c r="H359"/>
      <c r="I359"/>
    </row>
    <row r="360" spans="1:9" x14ac:dyDescent="0.2">
      <c r="A360"/>
      <c r="B360"/>
      <c r="C360"/>
      <c r="D360"/>
      <c r="E360"/>
      <c r="F360"/>
      <c r="G360"/>
      <c r="H360"/>
      <c r="I360"/>
    </row>
    <row r="361" spans="1:9" x14ac:dyDescent="0.2">
      <c r="A361"/>
      <c r="B361"/>
      <c r="C361"/>
      <c r="D361"/>
      <c r="E361"/>
      <c r="F361"/>
      <c r="G361"/>
      <c r="H361"/>
      <c r="I361"/>
    </row>
    <row r="362" spans="1:9" x14ac:dyDescent="0.2">
      <c r="A362"/>
      <c r="B362"/>
      <c r="C362"/>
      <c r="D362"/>
      <c r="E362"/>
      <c r="F362"/>
      <c r="G362"/>
      <c r="H362"/>
      <c r="I362"/>
    </row>
    <row r="363" spans="1:9" x14ac:dyDescent="0.2">
      <c r="A363"/>
      <c r="B363"/>
      <c r="C363"/>
      <c r="D363"/>
      <c r="E363"/>
      <c r="F363"/>
      <c r="G363"/>
      <c r="H363"/>
      <c r="I363"/>
    </row>
    <row r="364" spans="1:9" x14ac:dyDescent="0.2">
      <c r="A364"/>
      <c r="B364"/>
      <c r="C364"/>
      <c r="D364"/>
      <c r="E364"/>
      <c r="F364"/>
      <c r="G364"/>
      <c r="H364"/>
      <c r="I364"/>
    </row>
    <row r="365" spans="1:9" x14ac:dyDescent="0.2">
      <c r="A365"/>
      <c r="B365"/>
      <c r="C365"/>
      <c r="D365"/>
      <c r="E365"/>
      <c r="F365"/>
      <c r="G365"/>
      <c r="H365"/>
      <c r="I365"/>
    </row>
    <row r="366" spans="1:9" x14ac:dyDescent="0.2">
      <c r="A366"/>
      <c r="B366"/>
      <c r="C366"/>
      <c r="D366"/>
      <c r="E366"/>
      <c r="F366"/>
      <c r="G366"/>
      <c r="H366"/>
      <c r="I366"/>
    </row>
    <row r="367" spans="1:9" x14ac:dyDescent="0.2">
      <c r="A367"/>
      <c r="B367"/>
      <c r="C367"/>
      <c r="D367"/>
      <c r="E367"/>
      <c r="F367"/>
      <c r="G367"/>
      <c r="H367"/>
      <c r="I367"/>
    </row>
    <row r="368" spans="1:9" x14ac:dyDescent="0.2">
      <c r="A368"/>
      <c r="B368"/>
      <c r="C368"/>
      <c r="D368"/>
      <c r="E368"/>
      <c r="F368"/>
      <c r="G368"/>
      <c r="H368"/>
      <c r="I368"/>
    </row>
    <row r="369" spans="1:10" x14ac:dyDescent="0.2">
      <c r="A369"/>
      <c r="B369"/>
      <c r="C369"/>
      <c r="D369"/>
      <c r="E369"/>
      <c r="F369"/>
      <c r="G369"/>
      <c r="H369"/>
      <c r="I369"/>
    </row>
    <row r="370" spans="1:10" x14ac:dyDescent="0.2">
      <c r="A370"/>
      <c r="B370"/>
      <c r="C370"/>
      <c r="D370"/>
      <c r="E370"/>
      <c r="F370"/>
      <c r="G370"/>
      <c r="H370"/>
      <c r="I370"/>
    </row>
    <row r="371" spans="1:10" x14ac:dyDescent="0.2">
      <c r="A371"/>
      <c r="B371"/>
      <c r="C371"/>
      <c r="D371"/>
      <c r="E371"/>
      <c r="F371"/>
      <c r="G371"/>
      <c r="H371"/>
      <c r="I371"/>
    </row>
    <row r="372" spans="1:10" x14ac:dyDescent="0.2">
      <c r="A372"/>
      <c r="B372"/>
      <c r="C372"/>
      <c r="D372"/>
      <c r="E372"/>
      <c r="F372"/>
      <c r="G372"/>
      <c r="H372"/>
      <c r="I372"/>
    </row>
    <row r="373" spans="1:10" x14ac:dyDescent="0.2">
      <c r="A373"/>
      <c r="B373"/>
      <c r="C373"/>
      <c r="D373"/>
      <c r="E373"/>
      <c r="F373"/>
      <c r="G373"/>
      <c r="H373"/>
      <c r="I373"/>
      <c r="J373"/>
    </row>
    <row r="374" spans="1:10" x14ac:dyDescent="0.2">
      <c r="A374"/>
      <c r="B374"/>
      <c r="C374"/>
      <c r="D374"/>
      <c r="E374"/>
      <c r="F374"/>
      <c r="G374"/>
      <c r="H374"/>
      <c r="I374"/>
    </row>
    <row r="375" spans="1:10" x14ac:dyDescent="0.2">
      <c r="A375"/>
      <c r="B375"/>
      <c r="C375"/>
      <c r="D375"/>
      <c r="E375"/>
      <c r="F375"/>
      <c r="G375"/>
      <c r="H375"/>
      <c r="I375"/>
    </row>
    <row r="376" spans="1:10" x14ac:dyDescent="0.2">
      <c r="A376"/>
      <c r="B376"/>
      <c r="C376"/>
      <c r="D376"/>
      <c r="E376"/>
      <c r="F376"/>
      <c r="G376"/>
      <c r="H376"/>
      <c r="I376"/>
    </row>
    <row r="377" spans="1:10" x14ac:dyDescent="0.2">
      <c r="A377"/>
      <c r="B377"/>
      <c r="C377"/>
      <c r="D377"/>
      <c r="E377"/>
      <c r="F377"/>
      <c r="G377"/>
      <c r="H377"/>
      <c r="I377"/>
    </row>
    <row r="378" spans="1:10" x14ac:dyDescent="0.2">
      <c r="A378"/>
      <c r="B378"/>
      <c r="C378"/>
      <c r="D378"/>
      <c r="E378"/>
      <c r="F378"/>
      <c r="G378"/>
      <c r="H378"/>
      <c r="I378"/>
    </row>
    <row r="379" spans="1:10" x14ac:dyDescent="0.2">
      <c r="A379"/>
      <c r="B379"/>
      <c r="C379"/>
      <c r="D379"/>
      <c r="E379"/>
      <c r="F379"/>
      <c r="G379"/>
      <c r="H379"/>
      <c r="I379"/>
    </row>
    <row r="380" spans="1:10" x14ac:dyDescent="0.2">
      <c r="A380"/>
      <c r="B380"/>
      <c r="C380"/>
      <c r="D380"/>
      <c r="E380"/>
      <c r="F380"/>
      <c r="G380"/>
      <c r="H380"/>
      <c r="I380"/>
    </row>
    <row r="381" spans="1:10" x14ac:dyDescent="0.2">
      <c r="A381"/>
      <c r="B381"/>
      <c r="C381"/>
      <c r="D381"/>
      <c r="E381"/>
      <c r="F381"/>
      <c r="G381"/>
      <c r="H381"/>
      <c r="I381"/>
    </row>
    <row r="382" spans="1:10" x14ac:dyDescent="0.2">
      <c r="A382"/>
      <c r="B382"/>
      <c r="C382"/>
      <c r="D382"/>
      <c r="E382"/>
      <c r="F382"/>
      <c r="G382"/>
      <c r="H382"/>
      <c r="I382"/>
    </row>
    <row r="383" spans="1:10" x14ac:dyDescent="0.2">
      <c r="A383"/>
      <c r="B383"/>
      <c r="C383"/>
      <c r="D383"/>
      <c r="E383"/>
      <c r="F383"/>
      <c r="G383"/>
      <c r="H383"/>
      <c r="I383"/>
    </row>
    <row r="384" spans="1:10" x14ac:dyDescent="0.2">
      <c r="A384"/>
      <c r="B384"/>
      <c r="C384"/>
      <c r="D384"/>
      <c r="E384"/>
      <c r="F384"/>
      <c r="G384"/>
      <c r="H384"/>
      <c r="I384"/>
    </row>
    <row r="385" spans="1:10" x14ac:dyDescent="0.2">
      <c r="A385"/>
      <c r="B385"/>
      <c r="C385"/>
      <c r="D385"/>
      <c r="E385"/>
      <c r="F385"/>
      <c r="G385"/>
      <c r="H385"/>
      <c r="I385"/>
    </row>
    <row r="386" spans="1:10" x14ac:dyDescent="0.2">
      <c r="A386"/>
      <c r="B386"/>
      <c r="C386"/>
      <c r="D386"/>
      <c r="E386"/>
      <c r="F386"/>
      <c r="G386"/>
      <c r="H386"/>
      <c r="I386"/>
    </row>
    <row r="387" spans="1:10" x14ac:dyDescent="0.2">
      <c r="A387"/>
      <c r="B387"/>
      <c r="C387"/>
      <c r="D387"/>
      <c r="E387"/>
      <c r="F387"/>
      <c r="G387"/>
      <c r="H387"/>
      <c r="I387"/>
    </row>
    <row r="388" spans="1:10" x14ac:dyDescent="0.2">
      <c r="A388"/>
      <c r="B388"/>
      <c r="C388"/>
      <c r="D388"/>
      <c r="E388"/>
      <c r="F388"/>
      <c r="G388"/>
      <c r="H388"/>
      <c r="I388"/>
    </row>
    <row r="389" spans="1:10" x14ac:dyDescent="0.2">
      <c r="A389"/>
      <c r="B389"/>
      <c r="C389"/>
      <c r="D389"/>
      <c r="E389"/>
      <c r="F389"/>
      <c r="G389"/>
      <c r="H389"/>
      <c r="I389"/>
    </row>
    <row r="390" spans="1:10" x14ac:dyDescent="0.2">
      <c r="A390"/>
      <c r="B390"/>
      <c r="C390"/>
      <c r="D390"/>
      <c r="E390"/>
      <c r="F390"/>
      <c r="G390"/>
      <c r="H390"/>
      <c r="I390"/>
    </row>
    <row r="391" spans="1:10" x14ac:dyDescent="0.2">
      <c r="A391"/>
      <c r="B391"/>
      <c r="C391"/>
      <c r="D391"/>
      <c r="E391"/>
      <c r="F391"/>
      <c r="G391"/>
      <c r="H391"/>
      <c r="I391"/>
    </row>
    <row r="392" spans="1:10" x14ac:dyDescent="0.2">
      <c r="A392"/>
      <c r="B392"/>
      <c r="C392"/>
      <c r="D392"/>
      <c r="E392"/>
      <c r="F392"/>
      <c r="G392"/>
      <c r="H392"/>
      <c r="I392"/>
    </row>
    <row r="393" spans="1:10" x14ac:dyDescent="0.2">
      <c r="A393"/>
      <c r="B393"/>
      <c r="C393"/>
      <c r="D393"/>
      <c r="E393"/>
      <c r="F393"/>
      <c r="G393"/>
      <c r="H393"/>
      <c r="I393"/>
    </row>
    <row r="394" spans="1:10" x14ac:dyDescent="0.2">
      <c r="A394"/>
      <c r="B394"/>
      <c r="C394"/>
      <c r="D394"/>
      <c r="E394"/>
      <c r="F394"/>
      <c r="G394"/>
      <c r="H394"/>
      <c r="I394"/>
    </row>
    <row r="395" spans="1:10" x14ac:dyDescent="0.2">
      <c r="A395"/>
      <c r="B395"/>
      <c r="C395"/>
      <c r="D395"/>
      <c r="E395"/>
      <c r="F395"/>
      <c r="G395"/>
      <c r="H395"/>
      <c r="I395"/>
    </row>
    <row r="396" spans="1:10" x14ac:dyDescent="0.2">
      <c r="A396"/>
      <c r="B396"/>
      <c r="C396"/>
      <c r="D396"/>
      <c r="E396"/>
      <c r="F396"/>
      <c r="G396"/>
      <c r="H396"/>
      <c r="I396"/>
    </row>
    <row r="397" spans="1:10" x14ac:dyDescent="0.2">
      <c r="A397"/>
      <c r="B397"/>
      <c r="C397"/>
      <c r="D397"/>
      <c r="E397"/>
      <c r="F397"/>
      <c r="G397"/>
      <c r="H397"/>
      <c r="I397"/>
    </row>
    <row r="398" spans="1:10" x14ac:dyDescent="0.2">
      <c r="A398"/>
      <c r="B398"/>
      <c r="C398"/>
      <c r="D398"/>
      <c r="E398"/>
      <c r="F398"/>
      <c r="G398"/>
      <c r="H398"/>
      <c r="I398"/>
      <c r="J398"/>
    </row>
    <row r="399" spans="1:10" x14ac:dyDescent="0.2">
      <c r="A399"/>
      <c r="B399"/>
      <c r="C399"/>
      <c r="D399"/>
      <c r="E399"/>
      <c r="F399"/>
      <c r="G399"/>
      <c r="H399"/>
      <c r="I399"/>
    </row>
    <row r="400" spans="1:10" x14ac:dyDescent="0.2">
      <c r="A400"/>
      <c r="B400"/>
      <c r="C400"/>
      <c r="D400"/>
      <c r="E400"/>
      <c r="F400"/>
      <c r="G400"/>
      <c r="H400"/>
      <c r="I400"/>
    </row>
    <row r="401" spans="1:9" x14ac:dyDescent="0.2">
      <c r="A401"/>
      <c r="B401"/>
      <c r="C401"/>
      <c r="D401"/>
      <c r="E401"/>
      <c r="F401"/>
      <c r="G401"/>
      <c r="H401"/>
      <c r="I401"/>
    </row>
    <row r="402" spans="1:9" x14ac:dyDescent="0.2">
      <c r="A402"/>
      <c r="B402"/>
      <c r="C402"/>
      <c r="D402"/>
      <c r="E402"/>
      <c r="F402"/>
      <c r="G402"/>
      <c r="H402"/>
      <c r="I402"/>
    </row>
    <row r="403" spans="1:9" x14ac:dyDescent="0.2">
      <c r="A403"/>
      <c r="B403"/>
      <c r="C403"/>
      <c r="D403"/>
      <c r="E403"/>
      <c r="F403"/>
      <c r="G403"/>
      <c r="H403"/>
      <c r="I403"/>
    </row>
    <row r="404" spans="1:9" x14ac:dyDescent="0.2">
      <c r="A404"/>
      <c r="B404"/>
      <c r="C404"/>
      <c r="D404"/>
      <c r="E404"/>
      <c r="F404"/>
      <c r="G404"/>
      <c r="H404"/>
      <c r="I404"/>
    </row>
    <row r="405" spans="1:9" x14ac:dyDescent="0.2">
      <c r="A405"/>
      <c r="B405"/>
      <c r="C405"/>
      <c r="D405"/>
      <c r="E405"/>
      <c r="F405"/>
      <c r="G405"/>
      <c r="H405"/>
      <c r="I405"/>
    </row>
    <row r="406" spans="1:9" x14ac:dyDescent="0.2">
      <c r="A406"/>
      <c r="B406"/>
      <c r="C406"/>
      <c r="D406"/>
      <c r="E406"/>
      <c r="F406"/>
      <c r="G406"/>
      <c r="H406"/>
      <c r="I406"/>
    </row>
    <row r="407" spans="1:9" x14ac:dyDescent="0.2">
      <c r="A407"/>
      <c r="B407"/>
      <c r="C407"/>
      <c r="D407"/>
      <c r="E407"/>
      <c r="F407"/>
      <c r="G407"/>
      <c r="H407"/>
      <c r="I407"/>
    </row>
    <row r="408" spans="1:9" x14ac:dyDescent="0.2">
      <c r="A408"/>
      <c r="B408"/>
      <c r="C408"/>
      <c r="D408"/>
      <c r="E408"/>
      <c r="F408"/>
      <c r="G408"/>
      <c r="H408"/>
      <c r="I408"/>
    </row>
    <row r="409" spans="1:9" x14ac:dyDescent="0.2">
      <c r="A409"/>
      <c r="B409"/>
      <c r="C409"/>
      <c r="D409"/>
      <c r="E409"/>
      <c r="F409"/>
      <c r="G409"/>
      <c r="H409"/>
      <c r="I409"/>
    </row>
    <row r="410" spans="1:9" x14ac:dyDescent="0.2">
      <c r="A410"/>
      <c r="B410"/>
      <c r="C410"/>
      <c r="D410"/>
      <c r="E410"/>
      <c r="F410"/>
      <c r="G410"/>
      <c r="H410"/>
      <c r="I410"/>
    </row>
    <row r="411" spans="1:9" x14ac:dyDescent="0.2">
      <c r="A411"/>
      <c r="B411"/>
      <c r="C411"/>
      <c r="D411"/>
      <c r="E411"/>
      <c r="F411"/>
      <c r="G411"/>
      <c r="H411"/>
      <c r="I411"/>
    </row>
    <row r="412" spans="1:9" x14ac:dyDescent="0.2">
      <c r="A412"/>
      <c r="B412"/>
      <c r="C412"/>
      <c r="D412"/>
      <c r="E412"/>
      <c r="F412"/>
      <c r="G412"/>
      <c r="H412"/>
      <c r="I412"/>
    </row>
    <row r="413" spans="1:9" x14ac:dyDescent="0.2">
      <c r="A413"/>
      <c r="B413"/>
      <c r="C413"/>
      <c r="D413"/>
      <c r="E413"/>
      <c r="F413"/>
      <c r="G413"/>
      <c r="H413"/>
      <c r="I413"/>
    </row>
    <row r="414" spans="1:9" x14ac:dyDescent="0.2">
      <c r="A414"/>
      <c r="B414"/>
      <c r="C414"/>
      <c r="D414"/>
      <c r="E414"/>
      <c r="F414"/>
      <c r="G414"/>
      <c r="H414"/>
      <c r="I414"/>
    </row>
    <row r="415" spans="1:9" x14ac:dyDescent="0.2">
      <c r="A415"/>
      <c r="B415"/>
      <c r="C415"/>
      <c r="D415"/>
      <c r="E415"/>
      <c r="F415"/>
      <c r="G415"/>
      <c r="H415"/>
      <c r="I415"/>
    </row>
    <row r="416" spans="1:9" x14ac:dyDescent="0.2">
      <c r="A416"/>
      <c r="B416"/>
      <c r="C416"/>
      <c r="D416"/>
      <c r="E416"/>
      <c r="F416"/>
      <c r="G416"/>
      <c r="H416"/>
      <c r="I416"/>
    </row>
    <row r="417" spans="1:9" x14ac:dyDescent="0.2">
      <c r="A417"/>
      <c r="B417"/>
      <c r="C417"/>
      <c r="D417"/>
      <c r="E417"/>
      <c r="F417"/>
      <c r="G417"/>
      <c r="H417"/>
      <c r="I417"/>
    </row>
    <row r="418" spans="1:9" x14ac:dyDescent="0.2">
      <c r="A418"/>
      <c r="B418"/>
      <c r="C418"/>
      <c r="D418"/>
      <c r="E418"/>
      <c r="F418"/>
      <c r="G418"/>
      <c r="H418"/>
      <c r="I418"/>
    </row>
    <row r="419" spans="1:9" x14ac:dyDescent="0.2">
      <c r="A419"/>
      <c r="B419"/>
      <c r="C419"/>
      <c r="D419"/>
      <c r="E419"/>
      <c r="F419"/>
      <c r="G419"/>
      <c r="H419"/>
      <c r="I419"/>
    </row>
    <row r="420" spans="1:9" x14ac:dyDescent="0.2">
      <c r="A420"/>
      <c r="B420"/>
      <c r="C420"/>
      <c r="D420"/>
      <c r="E420"/>
      <c r="F420"/>
      <c r="G420"/>
      <c r="H420"/>
      <c r="I420"/>
    </row>
    <row r="421" spans="1:9" x14ac:dyDescent="0.2">
      <c r="A421"/>
      <c r="B421"/>
      <c r="C421"/>
      <c r="D421"/>
      <c r="E421"/>
      <c r="F421"/>
      <c r="G421"/>
      <c r="H421"/>
      <c r="I421"/>
    </row>
    <row r="422" spans="1:9" x14ac:dyDescent="0.2">
      <c r="A422"/>
      <c r="B422"/>
      <c r="C422"/>
      <c r="D422"/>
      <c r="E422"/>
      <c r="F422"/>
      <c r="G422"/>
      <c r="H422"/>
      <c r="I422"/>
    </row>
    <row r="423" spans="1:9" x14ac:dyDescent="0.2">
      <c r="A423"/>
      <c r="B423"/>
      <c r="C423"/>
      <c r="D423"/>
      <c r="E423"/>
      <c r="F423"/>
      <c r="G423"/>
      <c r="H423"/>
      <c r="I423"/>
    </row>
    <row r="424" spans="1:9" x14ac:dyDescent="0.2">
      <c r="A424"/>
      <c r="B424"/>
      <c r="C424"/>
      <c r="D424"/>
      <c r="E424"/>
      <c r="F424"/>
      <c r="G424"/>
      <c r="H424"/>
      <c r="I424"/>
    </row>
    <row r="425" spans="1:9" x14ac:dyDescent="0.2">
      <c r="A425"/>
      <c r="B425"/>
      <c r="C425"/>
      <c r="D425"/>
      <c r="E425"/>
      <c r="F425"/>
      <c r="G425"/>
      <c r="H425"/>
      <c r="I425"/>
    </row>
    <row r="426" spans="1:9" x14ac:dyDescent="0.2">
      <c r="A426"/>
      <c r="B426"/>
      <c r="C426"/>
      <c r="D426"/>
      <c r="E426"/>
      <c r="F426"/>
      <c r="G426"/>
      <c r="H426"/>
      <c r="I426"/>
    </row>
    <row r="427" spans="1:9" x14ac:dyDescent="0.2">
      <c r="A427"/>
      <c r="B427"/>
      <c r="C427"/>
      <c r="D427"/>
      <c r="E427"/>
      <c r="F427"/>
      <c r="G427"/>
      <c r="H427"/>
      <c r="I427"/>
    </row>
    <row r="428" spans="1:9" x14ac:dyDescent="0.2">
      <c r="A428"/>
      <c r="B428"/>
      <c r="C428"/>
      <c r="D428"/>
      <c r="E428"/>
      <c r="F428"/>
      <c r="G428"/>
      <c r="H428"/>
      <c r="I428"/>
    </row>
    <row r="429" spans="1:9" x14ac:dyDescent="0.2">
      <c r="A429"/>
      <c r="B429"/>
      <c r="C429"/>
      <c r="D429"/>
      <c r="E429"/>
      <c r="F429"/>
      <c r="G429"/>
      <c r="H429"/>
      <c r="I429"/>
    </row>
    <row r="430" spans="1:9" x14ac:dyDescent="0.2">
      <c r="A430"/>
      <c r="B430"/>
      <c r="C430"/>
      <c r="D430"/>
      <c r="E430"/>
      <c r="F430"/>
      <c r="G430"/>
      <c r="H430"/>
      <c r="I430"/>
    </row>
    <row r="431" spans="1:9" x14ac:dyDescent="0.2">
      <c r="A431"/>
      <c r="B431"/>
      <c r="C431"/>
      <c r="D431"/>
      <c r="E431"/>
      <c r="F431"/>
      <c r="G431"/>
      <c r="H431"/>
      <c r="I431"/>
    </row>
    <row r="432" spans="1:9" x14ac:dyDescent="0.2">
      <c r="A432"/>
      <c r="B432"/>
      <c r="C432"/>
      <c r="D432"/>
      <c r="E432"/>
      <c r="F432"/>
      <c r="G432"/>
      <c r="H432"/>
      <c r="I432"/>
    </row>
    <row r="433" spans="1:10" x14ac:dyDescent="0.2">
      <c r="A433"/>
      <c r="B433"/>
      <c r="C433"/>
      <c r="D433"/>
      <c r="E433"/>
      <c r="F433"/>
      <c r="G433"/>
      <c r="H433"/>
      <c r="I433"/>
    </row>
    <row r="434" spans="1:10" x14ac:dyDescent="0.2">
      <c r="A434"/>
      <c r="B434"/>
      <c r="C434"/>
      <c r="D434"/>
      <c r="E434"/>
      <c r="F434"/>
      <c r="G434"/>
      <c r="H434"/>
      <c r="I434"/>
    </row>
    <row r="435" spans="1:10" x14ac:dyDescent="0.2">
      <c r="A435"/>
      <c r="B435"/>
      <c r="C435"/>
      <c r="D435"/>
      <c r="E435"/>
      <c r="F435"/>
      <c r="G435"/>
      <c r="H435"/>
      <c r="I435"/>
    </row>
    <row r="436" spans="1:10" x14ac:dyDescent="0.2">
      <c r="A436"/>
      <c r="B436"/>
      <c r="C436"/>
      <c r="D436"/>
      <c r="E436"/>
      <c r="F436"/>
      <c r="G436"/>
      <c r="H436"/>
      <c r="I436"/>
    </row>
    <row r="437" spans="1:10" x14ac:dyDescent="0.2">
      <c r="A437"/>
      <c r="B437"/>
      <c r="C437"/>
      <c r="D437"/>
      <c r="E437"/>
      <c r="F437"/>
      <c r="G437"/>
      <c r="H437"/>
      <c r="I437"/>
    </row>
    <row r="438" spans="1:10" x14ac:dyDescent="0.2">
      <c r="A438"/>
      <c r="B438"/>
      <c r="C438"/>
      <c r="D438"/>
      <c r="E438"/>
      <c r="F438"/>
      <c r="G438"/>
      <c r="H438"/>
      <c r="I438"/>
    </row>
    <row r="439" spans="1:10" x14ac:dyDescent="0.2">
      <c r="A439"/>
      <c r="B439"/>
      <c r="C439"/>
      <c r="D439"/>
      <c r="E439"/>
      <c r="F439"/>
      <c r="G439"/>
      <c r="H439"/>
      <c r="I439"/>
    </row>
    <row r="440" spans="1:10" x14ac:dyDescent="0.2">
      <c r="A440"/>
      <c r="B440"/>
      <c r="C440"/>
      <c r="D440"/>
      <c r="E440"/>
      <c r="F440"/>
      <c r="G440"/>
      <c r="H440"/>
      <c r="I440"/>
    </row>
    <row r="441" spans="1:10" x14ac:dyDescent="0.2">
      <c r="A441"/>
      <c r="B441"/>
      <c r="C441"/>
      <c r="D441"/>
      <c r="E441"/>
      <c r="F441"/>
      <c r="G441"/>
      <c r="H441"/>
      <c r="I441"/>
    </row>
    <row r="442" spans="1:10" x14ac:dyDescent="0.2">
      <c r="A442"/>
      <c r="B442"/>
      <c r="C442"/>
      <c r="D442"/>
      <c r="E442"/>
      <c r="F442"/>
      <c r="G442"/>
      <c r="H442"/>
      <c r="I442"/>
    </row>
    <row r="443" spans="1:10" x14ac:dyDescent="0.2">
      <c r="A443"/>
      <c r="B443"/>
      <c r="C443"/>
      <c r="D443"/>
      <c r="E443"/>
      <c r="F443"/>
      <c r="G443"/>
      <c r="H443"/>
      <c r="I443"/>
    </row>
    <row r="444" spans="1:10" x14ac:dyDescent="0.2">
      <c r="A444"/>
      <c r="B444"/>
      <c r="C444"/>
      <c r="D444"/>
      <c r="E444"/>
      <c r="F444"/>
      <c r="G444"/>
      <c r="H444"/>
      <c r="I444"/>
    </row>
    <row r="445" spans="1:10" x14ac:dyDescent="0.2">
      <c r="A445"/>
      <c r="B445"/>
      <c r="C445"/>
      <c r="D445"/>
      <c r="E445"/>
      <c r="F445"/>
      <c r="G445"/>
      <c r="H445"/>
      <c r="I445"/>
    </row>
    <row r="446" spans="1:10" x14ac:dyDescent="0.2">
      <c r="A446"/>
      <c r="B446"/>
      <c r="C446"/>
      <c r="D446"/>
      <c r="E446"/>
      <c r="F446"/>
      <c r="G446"/>
      <c r="H446"/>
      <c r="I446"/>
    </row>
    <row r="447" spans="1:10" x14ac:dyDescent="0.2">
      <c r="A447"/>
      <c r="B447"/>
      <c r="C447"/>
      <c r="D447"/>
      <c r="E447"/>
      <c r="F447"/>
      <c r="G447"/>
      <c r="H447"/>
      <c r="I447"/>
      <c r="J447"/>
    </row>
    <row r="448" spans="1:10" x14ac:dyDescent="0.2">
      <c r="A448"/>
      <c r="B448"/>
      <c r="C448"/>
      <c r="D448"/>
      <c r="E448"/>
      <c r="F448"/>
      <c r="G448"/>
      <c r="H448"/>
      <c r="I448"/>
    </row>
    <row r="449" spans="1:9" x14ac:dyDescent="0.2">
      <c r="A449"/>
      <c r="B449"/>
      <c r="C449"/>
      <c r="D449"/>
      <c r="E449"/>
      <c r="F449"/>
      <c r="G449"/>
      <c r="H449"/>
      <c r="I449"/>
    </row>
    <row r="450" spans="1:9" x14ac:dyDescent="0.2">
      <c r="A450"/>
      <c r="B450"/>
      <c r="C450"/>
      <c r="D450"/>
      <c r="E450"/>
      <c r="F450"/>
      <c r="G450"/>
      <c r="H450"/>
      <c r="I450"/>
    </row>
    <row r="451" spans="1:9" x14ac:dyDescent="0.2">
      <c r="A451"/>
      <c r="B451"/>
      <c r="C451"/>
      <c r="D451"/>
      <c r="E451"/>
      <c r="F451"/>
      <c r="G451"/>
      <c r="H451"/>
      <c r="I451"/>
    </row>
    <row r="452" spans="1:9" x14ac:dyDescent="0.2">
      <c r="A452"/>
      <c r="B452"/>
      <c r="C452"/>
      <c r="D452"/>
      <c r="E452"/>
      <c r="F452"/>
      <c r="G452"/>
      <c r="H452"/>
      <c r="I452"/>
    </row>
    <row r="453" spans="1:9" x14ac:dyDescent="0.2">
      <c r="A453"/>
      <c r="B453"/>
      <c r="C453"/>
      <c r="D453"/>
      <c r="E453"/>
      <c r="F453"/>
      <c r="G453"/>
      <c r="H453"/>
      <c r="I453"/>
    </row>
    <row r="454" spans="1:9" x14ac:dyDescent="0.2">
      <c r="A454"/>
      <c r="B454"/>
      <c r="C454"/>
      <c r="D454"/>
      <c r="E454"/>
      <c r="F454"/>
      <c r="G454"/>
      <c r="H454"/>
      <c r="I454"/>
    </row>
    <row r="455" spans="1:9" x14ac:dyDescent="0.2">
      <c r="A455"/>
      <c r="B455"/>
      <c r="C455"/>
      <c r="D455"/>
      <c r="E455"/>
      <c r="F455"/>
      <c r="G455"/>
      <c r="H455"/>
      <c r="I455"/>
    </row>
    <row r="456" spans="1:9" x14ac:dyDescent="0.2">
      <c r="A456"/>
      <c r="B456"/>
      <c r="C456"/>
      <c r="D456"/>
      <c r="E456"/>
      <c r="F456"/>
      <c r="G456"/>
      <c r="H456"/>
      <c r="I456"/>
    </row>
    <row r="457" spans="1:9" x14ac:dyDescent="0.2">
      <c r="A457"/>
      <c r="B457"/>
      <c r="C457"/>
      <c r="D457"/>
      <c r="E457"/>
      <c r="F457"/>
      <c r="G457"/>
      <c r="H457"/>
      <c r="I457"/>
    </row>
    <row r="458" spans="1:9" x14ac:dyDescent="0.2">
      <c r="A458"/>
      <c r="B458"/>
      <c r="C458"/>
      <c r="D458"/>
      <c r="E458"/>
      <c r="F458"/>
      <c r="G458"/>
      <c r="H458"/>
      <c r="I458"/>
    </row>
    <row r="459" spans="1:9" x14ac:dyDescent="0.2">
      <c r="A459"/>
      <c r="B459"/>
      <c r="C459"/>
      <c r="D459"/>
      <c r="E459"/>
      <c r="F459"/>
      <c r="G459"/>
      <c r="H459"/>
      <c r="I459"/>
    </row>
    <row r="460" spans="1:9" x14ac:dyDescent="0.2">
      <c r="A460"/>
      <c r="B460"/>
      <c r="C460"/>
      <c r="D460"/>
      <c r="E460"/>
      <c r="F460"/>
      <c r="G460"/>
      <c r="H460"/>
      <c r="I460"/>
    </row>
    <row r="461" spans="1:9" x14ac:dyDescent="0.2">
      <c r="A461"/>
      <c r="B461"/>
      <c r="C461"/>
      <c r="D461"/>
      <c r="E461"/>
      <c r="F461"/>
      <c r="G461"/>
      <c r="H461"/>
      <c r="I461"/>
    </row>
    <row r="462" spans="1:9" x14ac:dyDescent="0.2">
      <c r="A462"/>
      <c r="B462"/>
      <c r="C462"/>
      <c r="D462"/>
      <c r="E462"/>
      <c r="F462"/>
      <c r="G462"/>
      <c r="H462"/>
      <c r="I462"/>
    </row>
    <row r="463" spans="1:9" x14ac:dyDescent="0.2">
      <c r="A463"/>
      <c r="B463"/>
      <c r="C463"/>
      <c r="D463"/>
      <c r="E463"/>
      <c r="F463"/>
      <c r="G463"/>
      <c r="H463"/>
      <c r="I463"/>
    </row>
    <row r="464" spans="1:9" x14ac:dyDescent="0.2">
      <c r="A464"/>
      <c r="B464"/>
      <c r="C464"/>
      <c r="D464"/>
      <c r="E464"/>
      <c r="F464"/>
      <c r="G464"/>
      <c r="H464"/>
      <c r="I464"/>
    </row>
    <row r="465" spans="1:10" x14ac:dyDescent="0.2">
      <c r="A465"/>
      <c r="B465"/>
      <c r="C465"/>
      <c r="D465"/>
      <c r="E465"/>
      <c r="F465"/>
      <c r="G465"/>
      <c r="H465"/>
      <c r="I465"/>
    </row>
    <row r="466" spans="1:10" x14ac:dyDescent="0.2">
      <c r="A466"/>
      <c r="B466"/>
      <c r="C466"/>
      <c r="D466"/>
      <c r="E466"/>
      <c r="F466"/>
      <c r="G466"/>
      <c r="H466"/>
      <c r="I466"/>
    </row>
    <row r="467" spans="1:10" x14ac:dyDescent="0.2">
      <c r="A467"/>
      <c r="B467"/>
      <c r="C467"/>
      <c r="D467"/>
      <c r="E467"/>
      <c r="F467"/>
      <c r="G467"/>
      <c r="H467"/>
      <c r="I467"/>
    </row>
    <row r="468" spans="1:10" x14ac:dyDescent="0.2">
      <c r="A468"/>
      <c r="B468"/>
      <c r="C468"/>
      <c r="D468"/>
      <c r="E468"/>
      <c r="F468"/>
      <c r="G468"/>
      <c r="H468"/>
      <c r="I468"/>
    </row>
    <row r="469" spans="1:10" x14ac:dyDescent="0.2">
      <c r="A469"/>
      <c r="B469"/>
      <c r="C469"/>
      <c r="D469"/>
      <c r="E469"/>
      <c r="F469"/>
      <c r="G469"/>
      <c r="H469"/>
      <c r="I469"/>
    </row>
    <row r="470" spans="1:10" x14ac:dyDescent="0.2">
      <c r="A470"/>
      <c r="B470"/>
      <c r="C470"/>
      <c r="D470"/>
      <c r="E470"/>
      <c r="F470"/>
      <c r="G470"/>
      <c r="H470"/>
      <c r="I470"/>
    </row>
    <row r="471" spans="1:10" x14ac:dyDescent="0.2">
      <c r="A471"/>
      <c r="B471"/>
      <c r="C471"/>
      <c r="D471"/>
      <c r="E471"/>
      <c r="F471"/>
      <c r="G471"/>
      <c r="H471"/>
      <c r="I471"/>
    </row>
    <row r="472" spans="1:10" x14ac:dyDescent="0.2">
      <c r="A472"/>
      <c r="B472"/>
      <c r="C472"/>
      <c r="D472"/>
      <c r="E472"/>
      <c r="F472"/>
      <c r="G472"/>
      <c r="H472"/>
      <c r="I472"/>
    </row>
    <row r="473" spans="1:10" x14ac:dyDescent="0.2">
      <c r="A473"/>
      <c r="B473"/>
      <c r="C473"/>
      <c r="D473"/>
      <c r="E473"/>
      <c r="F473"/>
      <c r="G473"/>
      <c r="H473"/>
      <c r="I473"/>
    </row>
    <row r="474" spans="1:10" x14ac:dyDescent="0.2">
      <c r="A474"/>
      <c r="B474"/>
      <c r="C474"/>
      <c r="D474"/>
      <c r="E474"/>
      <c r="F474"/>
      <c r="G474"/>
      <c r="H474"/>
      <c r="I474"/>
    </row>
    <row r="475" spans="1:10" x14ac:dyDescent="0.2">
      <c r="A475"/>
      <c r="B475"/>
      <c r="C475"/>
      <c r="D475"/>
      <c r="E475"/>
      <c r="F475"/>
      <c r="G475"/>
      <c r="H475"/>
      <c r="I475"/>
      <c r="J475"/>
    </row>
    <row r="476" spans="1:10" x14ac:dyDescent="0.2">
      <c r="A476"/>
      <c r="B476"/>
      <c r="C476"/>
      <c r="D476"/>
      <c r="E476"/>
      <c r="F476"/>
      <c r="G476"/>
      <c r="H476"/>
      <c r="I476"/>
    </row>
    <row r="477" spans="1:10" x14ac:dyDescent="0.2">
      <c r="A477"/>
      <c r="B477"/>
      <c r="C477"/>
      <c r="D477"/>
      <c r="E477"/>
      <c r="F477"/>
      <c r="G477"/>
      <c r="H477"/>
      <c r="I477"/>
    </row>
    <row r="478" spans="1:10" x14ac:dyDescent="0.2">
      <c r="A478"/>
      <c r="B478"/>
      <c r="C478"/>
      <c r="D478"/>
      <c r="E478"/>
      <c r="F478"/>
      <c r="G478"/>
      <c r="H478"/>
      <c r="I478"/>
    </row>
    <row r="479" spans="1:10" x14ac:dyDescent="0.2">
      <c r="A479"/>
      <c r="B479"/>
      <c r="C479"/>
      <c r="D479"/>
      <c r="E479"/>
      <c r="F479"/>
      <c r="G479"/>
      <c r="H479"/>
      <c r="I479"/>
    </row>
    <row r="480" spans="1:10" x14ac:dyDescent="0.2">
      <c r="A480"/>
      <c r="B480"/>
      <c r="C480"/>
      <c r="D480"/>
      <c r="E480"/>
      <c r="F480"/>
      <c r="G480"/>
      <c r="H480"/>
      <c r="I480"/>
    </row>
    <row r="481" spans="1:9" x14ac:dyDescent="0.2">
      <c r="A481"/>
      <c r="B481"/>
      <c r="C481"/>
      <c r="D481"/>
      <c r="E481"/>
      <c r="F481"/>
      <c r="G481"/>
      <c r="H481"/>
      <c r="I481"/>
    </row>
    <row r="482" spans="1:9" x14ac:dyDescent="0.2">
      <c r="A482"/>
      <c r="B482"/>
      <c r="C482"/>
      <c r="D482"/>
      <c r="E482"/>
      <c r="F482"/>
      <c r="G482"/>
      <c r="H482"/>
      <c r="I482"/>
    </row>
    <row r="483" spans="1:9" x14ac:dyDescent="0.2">
      <c r="A483"/>
      <c r="B483"/>
      <c r="C483"/>
      <c r="D483"/>
      <c r="E483"/>
      <c r="F483"/>
      <c r="G483"/>
      <c r="H483"/>
      <c r="I483"/>
    </row>
    <row r="484" spans="1:9" x14ac:dyDescent="0.2">
      <c r="A484"/>
      <c r="B484"/>
      <c r="C484"/>
      <c r="D484"/>
      <c r="E484"/>
      <c r="F484"/>
      <c r="G484"/>
      <c r="H484"/>
      <c r="I484"/>
    </row>
    <row r="485" spans="1:9" x14ac:dyDescent="0.2">
      <c r="A485"/>
      <c r="B485"/>
      <c r="C485"/>
      <c r="D485"/>
      <c r="E485"/>
      <c r="F485"/>
      <c r="G485"/>
      <c r="H485"/>
      <c r="I485"/>
    </row>
    <row r="486" spans="1:9" x14ac:dyDescent="0.2">
      <c r="A486"/>
      <c r="B486"/>
      <c r="C486"/>
      <c r="D486"/>
      <c r="E486"/>
      <c r="F486"/>
      <c r="G486"/>
      <c r="H486"/>
      <c r="I486"/>
    </row>
    <row r="487" spans="1:9" x14ac:dyDescent="0.2">
      <c r="A487"/>
      <c r="B487"/>
      <c r="C487"/>
      <c r="D487"/>
      <c r="E487"/>
      <c r="F487"/>
      <c r="G487"/>
      <c r="H487"/>
      <c r="I487"/>
    </row>
    <row r="488" spans="1:9" x14ac:dyDescent="0.2">
      <c r="A488"/>
      <c r="B488"/>
      <c r="C488"/>
      <c r="D488"/>
      <c r="E488"/>
      <c r="F488"/>
      <c r="G488"/>
      <c r="H488"/>
      <c r="I488"/>
    </row>
    <row r="489" spans="1:9" x14ac:dyDescent="0.2">
      <c r="A489"/>
      <c r="B489"/>
      <c r="C489"/>
      <c r="D489"/>
      <c r="E489"/>
      <c r="F489"/>
      <c r="G489"/>
      <c r="H489"/>
      <c r="I489"/>
    </row>
    <row r="490" spans="1:9" x14ac:dyDescent="0.2">
      <c r="A490"/>
      <c r="B490"/>
      <c r="C490"/>
      <c r="D490"/>
      <c r="E490"/>
      <c r="F490"/>
      <c r="G490"/>
      <c r="H490"/>
      <c r="I490"/>
    </row>
    <row r="491" spans="1:9" x14ac:dyDescent="0.2">
      <c r="A491"/>
      <c r="B491"/>
      <c r="C491"/>
      <c r="D491"/>
      <c r="E491"/>
      <c r="F491"/>
      <c r="G491"/>
      <c r="H491"/>
      <c r="I491"/>
    </row>
    <row r="492" spans="1:9" x14ac:dyDescent="0.2">
      <c r="A492"/>
      <c r="B492"/>
      <c r="C492"/>
      <c r="D492"/>
      <c r="E492"/>
      <c r="F492"/>
      <c r="G492"/>
      <c r="H492"/>
      <c r="I492"/>
    </row>
    <row r="493" spans="1:9" x14ac:dyDescent="0.2">
      <c r="A493"/>
      <c r="B493"/>
      <c r="C493"/>
      <c r="D493"/>
      <c r="E493"/>
      <c r="F493"/>
      <c r="G493"/>
      <c r="H493"/>
      <c r="I493"/>
    </row>
    <row r="494" spans="1:9" x14ac:dyDescent="0.2">
      <c r="A494"/>
      <c r="B494"/>
      <c r="C494"/>
      <c r="D494"/>
      <c r="E494"/>
      <c r="F494"/>
      <c r="G494"/>
      <c r="H494"/>
      <c r="I494"/>
    </row>
    <row r="495" spans="1:9" x14ac:dyDescent="0.2">
      <c r="A495"/>
      <c r="B495"/>
      <c r="C495"/>
      <c r="D495"/>
      <c r="E495"/>
      <c r="F495"/>
      <c r="G495"/>
      <c r="H495"/>
      <c r="I495"/>
    </row>
    <row r="496" spans="1:9" x14ac:dyDescent="0.2">
      <c r="A496"/>
      <c r="B496"/>
      <c r="C496"/>
      <c r="D496"/>
      <c r="E496"/>
      <c r="F496"/>
      <c r="G496"/>
      <c r="H496"/>
      <c r="I496"/>
    </row>
    <row r="497" spans="1:10" x14ac:dyDescent="0.2">
      <c r="A497"/>
      <c r="B497"/>
      <c r="C497"/>
      <c r="D497"/>
      <c r="E497"/>
      <c r="F497"/>
      <c r="G497"/>
      <c r="H497"/>
      <c r="I497"/>
    </row>
    <row r="498" spans="1:10" x14ac:dyDescent="0.2">
      <c r="A498"/>
      <c r="B498"/>
      <c r="C498"/>
      <c r="D498"/>
      <c r="E498"/>
      <c r="F498"/>
      <c r="G498"/>
      <c r="H498"/>
      <c r="I498"/>
    </row>
    <row r="499" spans="1:10" x14ac:dyDescent="0.2">
      <c r="A499"/>
      <c r="B499"/>
      <c r="C499"/>
      <c r="D499"/>
      <c r="E499"/>
      <c r="F499"/>
      <c r="G499"/>
      <c r="H499"/>
      <c r="I499"/>
    </row>
    <row r="500" spans="1:10" x14ac:dyDescent="0.2">
      <c r="A500"/>
      <c r="B500"/>
      <c r="C500"/>
      <c r="D500"/>
      <c r="E500"/>
      <c r="F500"/>
      <c r="G500"/>
      <c r="H500"/>
      <c r="I500"/>
    </row>
    <row r="501" spans="1:10" x14ac:dyDescent="0.2">
      <c r="A501"/>
      <c r="B501"/>
      <c r="C501"/>
      <c r="D501"/>
      <c r="E501"/>
      <c r="F501"/>
      <c r="G501"/>
      <c r="H501"/>
      <c r="I501"/>
    </row>
    <row r="502" spans="1:10" x14ac:dyDescent="0.2">
      <c r="A502"/>
      <c r="B502"/>
      <c r="C502"/>
      <c r="D502"/>
      <c r="E502"/>
      <c r="F502"/>
      <c r="G502"/>
      <c r="H502"/>
      <c r="I502"/>
      <c r="J502"/>
    </row>
    <row r="503" spans="1:10" x14ac:dyDescent="0.2">
      <c r="A503"/>
      <c r="B503"/>
      <c r="C503"/>
      <c r="D503"/>
      <c r="E503"/>
      <c r="F503"/>
      <c r="G503"/>
      <c r="H503"/>
      <c r="I503"/>
    </row>
    <row r="504" spans="1:10" x14ac:dyDescent="0.2">
      <c r="A504"/>
      <c r="B504"/>
      <c r="C504"/>
      <c r="D504"/>
      <c r="E504"/>
      <c r="F504"/>
      <c r="G504"/>
      <c r="H504"/>
      <c r="I504"/>
    </row>
    <row r="505" spans="1:10" x14ac:dyDescent="0.2">
      <c r="A505"/>
      <c r="B505"/>
      <c r="C505"/>
      <c r="D505"/>
      <c r="E505"/>
      <c r="F505"/>
      <c r="G505"/>
      <c r="H505"/>
      <c r="I505"/>
    </row>
    <row r="506" spans="1:10" x14ac:dyDescent="0.2">
      <c r="A506"/>
      <c r="B506"/>
      <c r="C506"/>
      <c r="D506"/>
      <c r="E506"/>
      <c r="F506"/>
      <c r="G506"/>
      <c r="H506"/>
      <c r="I506"/>
    </row>
    <row r="507" spans="1:10" x14ac:dyDescent="0.2">
      <c r="A507"/>
      <c r="B507"/>
      <c r="C507"/>
      <c r="D507"/>
      <c r="E507"/>
      <c r="F507"/>
      <c r="G507"/>
      <c r="H507"/>
      <c r="I507"/>
    </row>
    <row r="508" spans="1:10" x14ac:dyDescent="0.2">
      <c r="A508"/>
      <c r="B508"/>
      <c r="C508"/>
      <c r="D508"/>
      <c r="E508"/>
      <c r="F508"/>
      <c r="G508"/>
      <c r="H508"/>
      <c r="I508"/>
    </row>
    <row r="509" spans="1:10" x14ac:dyDescent="0.2">
      <c r="A509"/>
      <c r="B509"/>
      <c r="C509"/>
      <c r="D509"/>
      <c r="E509"/>
      <c r="F509"/>
      <c r="G509"/>
      <c r="H509"/>
      <c r="I509"/>
    </row>
    <row r="510" spans="1:10" x14ac:dyDescent="0.2">
      <c r="A510"/>
      <c r="B510"/>
      <c r="C510"/>
      <c r="D510"/>
      <c r="E510"/>
      <c r="F510"/>
      <c r="G510"/>
      <c r="H510"/>
      <c r="I510"/>
    </row>
    <row r="511" spans="1:10" x14ac:dyDescent="0.2">
      <c r="A511"/>
      <c r="B511"/>
      <c r="C511"/>
      <c r="D511"/>
      <c r="E511"/>
      <c r="F511"/>
      <c r="G511"/>
      <c r="H511"/>
      <c r="I511"/>
    </row>
    <row r="512" spans="1:10" x14ac:dyDescent="0.2">
      <c r="A512"/>
      <c r="B512"/>
      <c r="C512"/>
      <c r="D512"/>
      <c r="E512"/>
      <c r="F512"/>
      <c r="G512"/>
      <c r="H512"/>
      <c r="I512"/>
    </row>
    <row r="513" spans="1:10" x14ac:dyDescent="0.2">
      <c r="A513"/>
      <c r="B513"/>
      <c r="C513"/>
      <c r="D513"/>
      <c r="E513"/>
      <c r="F513"/>
      <c r="G513"/>
      <c r="H513"/>
      <c r="I513"/>
    </row>
    <row r="514" spans="1:10" x14ac:dyDescent="0.2">
      <c r="A514"/>
      <c r="B514"/>
      <c r="C514"/>
      <c r="D514"/>
      <c r="E514"/>
      <c r="F514"/>
      <c r="G514"/>
      <c r="H514"/>
      <c r="I514"/>
    </row>
    <row r="515" spans="1:10" x14ac:dyDescent="0.2">
      <c r="A515"/>
      <c r="B515"/>
      <c r="C515"/>
      <c r="D515"/>
      <c r="E515"/>
      <c r="F515"/>
      <c r="G515"/>
      <c r="H515"/>
      <c r="I515"/>
    </row>
    <row r="516" spans="1:10" x14ac:dyDescent="0.2">
      <c r="A516"/>
      <c r="B516"/>
      <c r="C516"/>
      <c r="D516"/>
      <c r="E516"/>
      <c r="F516"/>
      <c r="G516"/>
      <c r="H516"/>
      <c r="I516"/>
    </row>
    <row r="517" spans="1:10" x14ac:dyDescent="0.2">
      <c r="A517"/>
      <c r="B517"/>
      <c r="C517"/>
      <c r="D517"/>
      <c r="E517"/>
      <c r="F517"/>
      <c r="G517"/>
      <c r="H517"/>
      <c r="I517"/>
    </row>
    <row r="518" spans="1:10" x14ac:dyDescent="0.2">
      <c r="A518"/>
      <c r="B518"/>
      <c r="C518"/>
      <c r="D518"/>
      <c r="E518"/>
      <c r="F518"/>
      <c r="G518"/>
      <c r="H518"/>
      <c r="I518"/>
    </row>
    <row r="519" spans="1:10" x14ac:dyDescent="0.2">
      <c r="A519"/>
      <c r="B519"/>
      <c r="C519"/>
      <c r="D519"/>
      <c r="E519"/>
      <c r="F519"/>
      <c r="G519"/>
      <c r="H519"/>
      <c r="I519"/>
    </row>
    <row r="520" spans="1:10" x14ac:dyDescent="0.2">
      <c r="A520"/>
      <c r="B520"/>
      <c r="C520"/>
      <c r="D520"/>
      <c r="E520"/>
      <c r="F520"/>
      <c r="G520"/>
      <c r="H520"/>
      <c r="I520"/>
    </row>
    <row r="521" spans="1:10" x14ac:dyDescent="0.2">
      <c r="A521"/>
      <c r="B521"/>
      <c r="C521"/>
      <c r="D521"/>
      <c r="E521"/>
      <c r="F521"/>
      <c r="G521"/>
      <c r="H521"/>
      <c r="I521"/>
    </row>
    <row r="522" spans="1:10" x14ac:dyDescent="0.2">
      <c r="A522"/>
      <c r="B522"/>
      <c r="C522"/>
      <c r="D522"/>
      <c r="E522"/>
      <c r="F522"/>
      <c r="G522"/>
      <c r="H522"/>
      <c r="I522"/>
    </row>
    <row r="523" spans="1:10" x14ac:dyDescent="0.2">
      <c r="A523"/>
      <c r="B523"/>
      <c r="C523"/>
      <c r="D523"/>
      <c r="E523"/>
      <c r="F523"/>
      <c r="G523"/>
      <c r="H523"/>
      <c r="I523"/>
    </row>
    <row r="524" spans="1:10" x14ac:dyDescent="0.2">
      <c r="A524"/>
      <c r="B524"/>
      <c r="C524"/>
      <c r="D524"/>
      <c r="E524"/>
      <c r="F524"/>
      <c r="G524"/>
      <c r="H524"/>
      <c r="I524"/>
    </row>
    <row r="525" spans="1:10" x14ac:dyDescent="0.2">
      <c r="A525"/>
      <c r="B525"/>
      <c r="C525"/>
      <c r="D525"/>
      <c r="E525"/>
      <c r="F525"/>
      <c r="G525"/>
      <c r="H525"/>
      <c r="I525"/>
      <c r="J525"/>
    </row>
    <row r="526" spans="1:10" x14ac:dyDescent="0.2">
      <c r="A526"/>
      <c r="B526"/>
      <c r="C526"/>
      <c r="D526"/>
      <c r="E526"/>
      <c r="F526"/>
      <c r="G526"/>
      <c r="H526"/>
      <c r="I526"/>
      <c r="J526"/>
    </row>
    <row r="527" spans="1:10" x14ac:dyDescent="0.2">
      <c r="A527"/>
      <c r="B527"/>
      <c r="C527"/>
      <c r="D527"/>
      <c r="E527"/>
      <c r="F527"/>
      <c r="G527"/>
      <c r="H527"/>
      <c r="I527"/>
      <c r="J527"/>
    </row>
    <row r="528" spans="1:10" x14ac:dyDescent="0.2">
      <c r="A528"/>
      <c r="B528"/>
      <c r="C528"/>
      <c r="D528"/>
      <c r="E528"/>
      <c r="F528"/>
      <c r="G528"/>
      <c r="H528"/>
      <c r="I528"/>
      <c r="J528"/>
    </row>
    <row r="529" spans="1:10" x14ac:dyDescent="0.2">
      <c r="A529"/>
      <c r="B529"/>
      <c r="C529"/>
      <c r="D529"/>
      <c r="E529"/>
      <c r="F529"/>
      <c r="G529"/>
      <c r="H529"/>
      <c r="I529"/>
      <c r="J529"/>
    </row>
    <row r="530" spans="1:10" x14ac:dyDescent="0.2">
      <c r="A530"/>
      <c r="B530"/>
      <c r="C530"/>
      <c r="D530"/>
      <c r="E530"/>
      <c r="F530"/>
      <c r="G530"/>
      <c r="H530"/>
      <c r="I530"/>
      <c r="J530"/>
    </row>
    <row r="531" spans="1:10" x14ac:dyDescent="0.2">
      <c r="A531"/>
      <c r="B531"/>
      <c r="C531"/>
      <c r="D531"/>
      <c r="E531"/>
      <c r="F531"/>
      <c r="G531"/>
      <c r="H531"/>
      <c r="I531"/>
      <c r="J531"/>
    </row>
    <row r="532" spans="1:10" x14ac:dyDescent="0.2">
      <c r="A532"/>
      <c r="B532"/>
      <c r="C532"/>
      <c r="D532"/>
      <c r="E532"/>
      <c r="F532"/>
      <c r="G532"/>
      <c r="H532"/>
      <c r="I532"/>
      <c r="J532"/>
    </row>
    <row r="533" spans="1:10" x14ac:dyDescent="0.2">
      <c r="A533"/>
      <c r="B533"/>
      <c r="C533"/>
      <c r="D533"/>
      <c r="E533"/>
      <c r="F533"/>
      <c r="G533"/>
      <c r="H533"/>
      <c r="I533"/>
      <c r="J533"/>
    </row>
    <row r="534" spans="1:10" x14ac:dyDescent="0.2">
      <c r="A534"/>
      <c r="B534"/>
      <c r="C534"/>
      <c r="D534"/>
      <c r="E534"/>
      <c r="F534"/>
      <c r="G534"/>
      <c r="H534"/>
      <c r="I534"/>
      <c r="J534"/>
    </row>
    <row r="535" spans="1:10" x14ac:dyDescent="0.2">
      <c r="A535"/>
      <c r="B535"/>
      <c r="C535"/>
      <c r="D535"/>
      <c r="E535"/>
      <c r="F535"/>
      <c r="G535"/>
      <c r="H535"/>
      <c r="I535"/>
      <c r="J535"/>
    </row>
    <row r="536" spans="1:10" x14ac:dyDescent="0.2">
      <c r="A536"/>
      <c r="B536"/>
      <c r="C536"/>
      <c r="D536"/>
      <c r="E536"/>
      <c r="F536"/>
      <c r="G536"/>
      <c r="H536"/>
      <c r="I536"/>
      <c r="J536"/>
    </row>
    <row r="537" spans="1:10" x14ac:dyDescent="0.2">
      <c r="A537"/>
      <c r="B537"/>
      <c r="C537"/>
      <c r="D537"/>
      <c r="E537"/>
      <c r="F537"/>
      <c r="G537"/>
      <c r="H537"/>
      <c r="I537"/>
      <c r="J537"/>
    </row>
    <row r="538" spans="1:10" x14ac:dyDescent="0.2">
      <c r="A538"/>
      <c r="B538"/>
      <c r="C538"/>
      <c r="D538"/>
      <c r="E538"/>
      <c r="F538"/>
      <c r="G538"/>
      <c r="H538"/>
      <c r="I538"/>
      <c r="J538"/>
    </row>
    <row r="539" spans="1:10" x14ac:dyDescent="0.2">
      <c r="A539"/>
      <c r="B539"/>
      <c r="C539"/>
      <c r="D539"/>
      <c r="E539"/>
      <c r="F539"/>
      <c r="G539"/>
      <c r="H539"/>
      <c r="I539"/>
      <c r="J539"/>
    </row>
    <row r="540" spans="1:10" x14ac:dyDescent="0.2">
      <c r="A540"/>
      <c r="B540"/>
      <c r="C540"/>
      <c r="D540"/>
      <c r="E540"/>
      <c r="F540"/>
      <c r="G540"/>
      <c r="H540"/>
      <c r="I540"/>
      <c r="J540"/>
    </row>
    <row r="541" spans="1:10" x14ac:dyDescent="0.2">
      <c r="A541"/>
      <c r="B541"/>
      <c r="C541"/>
      <c r="D541"/>
      <c r="E541"/>
      <c r="F541"/>
      <c r="G541"/>
      <c r="H541"/>
      <c r="I541"/>
      <c r="J541"/>
    </row>
    <row r="542" spans="1:10" x14ac:dyDescent="0.2">
      <c r="A542"/>
      <c r="B542"/>
      <c r="C542"/>
      <c r="D542"/>
      <c r="E542"/>
      <c r="F542"/>
      <c r="G542"/>
      <c r="H542"/>
      <c r="I542"/>
      <c r="J542"/>
    </row>
    <row r="543" spans="1:10" x14ac:dyDescent="0.2">
      <c r="A543"/>
      <c r="B543"/>
      <c r="C543"/>
      <c r="D543"/>
      <c r="E543"/>
      <c r="F543"/>
      <c r="G543"/>
      <c r="H543"/>
      <c r="I543"/>
      <c r="J543"/>
    </row>
    <row r="544" spans="1:10" x14ac:dyDescent="0.2">
      <c r="A544"/>
      <c r="B544"/>
      <c r="C544"/>
      <c r="D544"/>
      <c r="E544"/>
      <c r="F544"/>
      <c r="G544"/>
      <c r="H544"/>
      <c r="I544"/>
      <c r="J544"/>
    </row>
    <row r="545" spans="1:10" x14ac:dyDescent="0.2">
      <c r="A545"/>
      <c r="B545"/>
      <c r="C545"/>
      <c r="D545"/>
      <c r="E545"/>
      <c r="F545"/>
      <c r="G545"/>
      <c r="H545"/>
      <c r="I545"/>
      <c r="J545"/>
    </row>
    <row r="546" spans="1:10" x14ac:dyDescent="0.2">
      <c r="A546"/>
      <c r="B546"/>
      <c r="C546"/>
      <c r="D546"/>
      <c r="E546"/>
      <c r="F546"/>
      <c r="G546"/>
      <c r="H546"/>
      <c r="I546"/>
      <c r="J546"/>
    </row>
    <row r="547" spans="1:10" x14ac:dyDescent="0.2">
      <c r="A547"/>
      <c r="B547"/>
      <c r="C547"/>
      <c r="D547"/>
      <c r="E547"/>
      <c r="F547"/>
      <c r="G547"/>
      <c r="H547"/>
      <c r="I547"/>
      <c r="J547"/>
    </row>
    <row r="548" spans="1:10" x14ac:dyDescent="0.2">
      <c r="A548"/>
      <c r="B548"/>
      <c r="C548"/>
      <c r="D548"/>
      <c r="E548"/>
      <c r="F548"/>
      <c r="G548"/>
      <c r="H548"/>
      <c r="I548"/>
      <c r="J548"/>
    </row>
    <row r="549" spans="1:10" x14ac:dyDescent="0.2">
      <c r="A549"/>
      <c r="B549"/>
      <c r="C549"/>
      <c r="D549"/>
      <c r="E549"/>
      <c r="F549"/>
      <c r="G549"/>
      <c r="H549"/>
      <c r="I549"/>
      <c r="J549"/>
    </row>
    <row r="550" spans="1:10" x14ac:dyDescent="0.2">
      <c r="A550"/>
      <c r="B550"/>
      <c r="C550"/>
      <c r="D550"/>
      <c r="E550"/>
      <c r="F550"/>
      <c r="G550"/>
      <c r="H550"/>
      <c r="I550"/>
      <c r="J550"/>
    </row>
    <row r="551" spans="1:10" x14ac:dyDescent="0.2">
      <c r="A551"/>
      <c r="B551"/>
      <c r="C551"/>
      <c r="D551"/>
      <c r="E551"/>
      <c r="F551"/>
      <c r="G551"/>
      <c r="H551"/>
      <c r="I551"/>
      <c r="J551"/>
    </row>
    <row r="552" spans="1:10" x14ac:dyDescent="0.2">
      <c r="A552"/>
      <c r="B552"/>
      <c r="C552"/>
      <c r="D552"/>
      <c r="E552"/>
      <c r="F552"/>
      <c r="G552"/>
      <c r="H552"/>
      <c r="I552"/>
      <c r="J552"/>
    </row>
    <row r="553" spans="1:10" x14ac:dyDescent="0.2">
      <c r="A553"/>
      <c r="B553"/>
      <c r="C553"/>
      <c r="D553"/>
      <c r="E553"/>
      <c r="F553"/>
      <c r="G553"/>
      <c r="H553"/>
      <c r="I553"/>
      <c r="J553"/>
    </row>
    <row r="554" spans="1:10" x14ac:dyDescent="0.2">
      <c r="A554"/>
      <c r="B554"/>
      <c r="C554"/>
      <c r="D554"/>
      <c r="E554"/>
      <c r="F554"/>
      <c r="G554"/>
      <c r="H554"/>
      <c r="I554"/>
      <c r="J554"/>
    </row>
    <row r="555" spans="1:10" x14ac:dyDescent="0.2">
      <c r="A555"/>
      <c r="B555"/>
      <c r="C555"/>
      <c r="D555"/>
      <c r="E555"/>
      <c r="F555"/>
      <c r="G555"/>
      <c r="H555"/>
      <c r="I555"/>
      <c r="J555"/>
    </row>
    <row r="556" spans="1:10" x14ac:dyDescent="0.2">
      <c r="A556"/>
      <c r="B556"/>
      <c r="C556"/>
      <c r="D556"/>
      <c r="E556"/>
      <c r="F556"/>
      <c r="G556"/>
      <c r="H556"/>
      <c r="I556"/>
      <c r="J556"/>
    </row>
    <row r="557" spans="1:10" x14ac:dyDescent="0.2">
      <c r="A557"/>
      <c r="B557"/>
      <c r="C557"/>
      <c r="D557"/>
      <c r="E557"/>
      <c r="F557"/>
      <c r="G557"/>
      <c r="H557"/>
      <c r="I557"/>
      <c r="J557"/>
    </row>
    <row r="558" spans="1:10" x14ac:dyDescent="0.2">
      <c r="A558"/>
      <c r="B558"/>
      <c r="C558"/>
      <c r="D558"/>
      <c r="E558"/>
      <c r="F558"/>
      <c r="G558"/>
      <c r="H558"/>
      <c r="I558"/>
      <c r="J558"/>
    </row>
    <row r="559" spans="1:10" x14ac:dyDescent="0.2">
      <c r="A559"/>
      <c r="B559"/>
      <c r="C559"/>
      <c r="D559"/>
      <c r="E559"/>
      <c r="F559"/>
      <c r="G559"/>
      <c r="H559"/>
      <c r="I559"/>
      <c r="J559"/>
    </row>
    <row r="560" spans="1:10" x14ac:dyDescent="0.2">
      <c r="A560"/>
      <c r="B560"/>
      <c r="C560"/>
      <c r="D560"/>
      <c r="E560"/>
      <c r="F560"/>
      <c r="G560"/>
      <c r="H560"/>
      <c r="I560"/>
      <c r="J560"/>
    </row>
    <row r="561" spans="1:10" x14ac:dyDescent="0.2">
      <c r="A561"/>
      <c r="B561"/>
      <c r="C561"/>
      <c r="D561"/>
      <c r="E561"/>
      <c r="F561"/>
      <c r="G561"/>
      <c r="H561"/>
      <c r="I561"/>
      <c r="J561"/>
    </row>
    <row r="562" spans="1:10" x14ac:dyDescent="0.2">
      <c r="A562"/>
      <c r="B562"/>
      <c r="C562"/>
      <c r="D562"/>
      <c r="E562"/>
      <c r="F562"/>
      <c r="G562"/>
      <c r="H562"/>
      <c r="I562"/>
      <c r="J562"/>
    </row>
    <row r="563" spans="1:10" x14ac:dyDescent="0.2">
      <c r="A563"/>
      <c r="B563"/>
      <c r="C563"/>
      <c r="D563"/>
      <c r="E563"/>
      <c r="F563"/>
      <c r="G563"/>
      <c r="H563"/>
      <c r="I563"/>
      <c r="J563"/>
    </row>
    <row r="564" spans="1:10" x14ac:dyDescent="0.2">
      <c r="A564"/>
      <c r="B564"/>
      <c r="C564"/>
      <c r="D564"/>
      <c r="E564"/>
      <c r="F564"/>
      <c r="G564"/>
      <c r="H564"/>
      <c r="I564"/>
      <c r="J564"/>
    </row>
    <row r="565" spans="1:10" x14ac:dyDescent="0.2">
      <c r="A565"/>
      <c r="B565"/>
      <c r="C565"/>
      <c r="D565"/>
      <c r="E565"/>
      <c r="F565"/>
      <c r="G565"/>
      <c r="H565"/>
      <c r="I565"/>
      <c r="J565"/>
    </row>
    <row r="566" spans="1:10" x14ac:dyDescent="0.2">
      <c r="A566"/>
      <c r="B566"/>
      <c r="C566"/>
      <c r="D566"/>
      <c r="E566"/>
      <c r="F566"/>
      <c r="G566"/>
      <c r="H566"/>
      <c r="I566"/>
      <c r="J566"/>
    </row>
    <row r="567" spans="1:10" x14ac:dyDescent="0.2">
      <c r="A567"/>
      <c r="B567"/>
      <c r="C567"/>
      <c r="D567"/>
      <c r="E567"/>
      <c r="F567"/>
      <c r="G567"/>
      <c r="H567"/>
      <c r="I567"/>
      <c r="J567"/>
    </row>
    <row r="568" spans="1:10" x14ac:dyDescent="0.2">
      <c r="A568"/>
      <c r="B568"/>
      <c r="C568"/>
      <c r="D568"/>
      <c r="E568"/>
      <c r="F568"/>
      <c r="G568"/>
      <c r="H568"/>
      <c r="I568"/>
      <c r="J568"/>
    </row>
    <row r="569" spans="1:10" x14ac:dyDescent="0.2">
      <c r="A569"/>
      <c r="B569"/>
      <c r="C569"/>
      <c r="D569"/>
      <c r="E569"/>
      <c r="F569"/>
      <c r="G569"/>
      <c r="H569"/>
      <c r="I569"/>
      <c r="J569"/>
    </row>
    <row r="570" spans="1:10" x14ac:dyDescent="0.2">
      <c r="A570"/>
      <c r="B570"/>
      <c r="C570"/>
      <c r="D570"/>
      <c r="E570"/>
      <c r="F570"/>
      <c r="G570"/>
      <c r="H570"/>
      <c r="I570"/>
      <c r="J570"/>
    </row>
    <row r="571" spans="1:10" x14ac:dyDescent="0.2">
      <c r="A571"/>
      <c r="B571"/>
      <c r="C571"/>
      <c r="D571"/>
      <c r="E571"/>
      <c r="F571"/>
      <c r="G571"/>
      <c r="H571"/>
      <c r="I571"/>
      <c r="J571"/>
    </row>
    <row r="572" spans="1:10" x14ac:dyDescent="0.2">
      <c r="A572"/>
      <c r="B572"/>
      <c r="C572"/>
      <c r="D572"/>
      <c r="E572"/>
      <c r="F572"/>
      <c r="G572"/>
      <c r="H572"/>
      <c r="I572"/>
      <c r="J572"/>
    </row>
    <row r="573" spans="1:10" x14ac:dyDescent="0.2">
      <c r="A573"/>
      <c r="B573"/>
      <c r="C573"/>
      <c r="D573"/>
      <c r="E573"/>
      <c r="F573"/>
      <c r="G573"/>
      <c r="H573"/>
      <c r="I573"/>
      <c r="J573"/>
    </row>
    <row r="574" spans="1:10" x14ac:dyDescent="0.2">
      <c r="A574"/>
      <c r="B574"/>
      <c r="C574"/>
      <c r="D574"/>
      <c r="E574"/>
      <c r="F574"/>
      <c r="G574"/>
      <c r="H574"/>
      <c r="I574"/>
      <c r="J574"/>
    </row>
    <row r="575" spans="1:10" x14ac:dyDescent="0.2">
      <c r="A575"/>
      <c r="B575"/>
      <c r="C575"/>
      <c r="D575"/>
      <c r="E575"/>
      <c r="F575"/>
      <c r="G575"/>
      <c r="H575"/>
      <c r="I575"/>
      <c r="J575"/>
    </row>
    <row r="576" spans="1:10" x14ac:dyDescent="0.2">
      <c r="A576"/>
      <c r="B576"/>
      <c r="C576"/>
      <c r="D576"/>
      <c r="E576"/>
      <c r="F576"/>
      <c r="G576"/>
      <c r="H576"/>
      <c r="I576"/>
      <c r="J576"/>
    </row>
    <row r="577" spans="1:10" x14ac:dyDescent="0.2">
      <c r="A577"/>
      <c r="B577"/>
      <c r="C577"/>
      <c r="D577"/>
      <c r="E577"/>
      <c r="F577"/>
      <c r="G577"/>
      <c r="H577"/>
      <c r="I577"/>
      <c r="J577"/>
    </row>
    <row r="578" spans="1:10" x14ac:dyDescent="0.2">
      <c r="A578"/>
      <c r="B578"/>
      <c r="C578"/>
      <c r="D578"/>
      <c r="E578"/>
      <c r="F578"/>
      <c r="G578"/>
      <c r="H578"/>
      <c r="I578"/>
      <c r="J578"/>
    </row>
    <row r="579" spans="1:10" x14ac:dyDescent="0.2">
      <c r="A579"/>
      <c r="B579"/>
      <c r="C579"/>
      <c r="D579"/>
      <c r="E579"/>
      <c r="F579"/>
      <c r="G579"/>
      <c r="H579"/>
      <c r="I579"/>
      <c r="J579"/>
    </row>
    <row r="580" spans="1:10" x14ac:dyDescent="0.2">
      <c r="A580"/>
      <c r="B580"/>
      <c r="C580"/>
      <c r="D580"/>
      <c r="E580"/>
      <c r="F580"/>
      <c r="G580"/>
      <c r="H580"/>
      <c r="I580"/>
      <c r="J580"/>
    </row>
    <row r="581" spans="1:10" x14ac:dyDescent="0.2">
      <c r="A581"/>
      <c r="B581"/>
      <c r="C581"/>
      <c r="D581"/>
      <c r="E581"/>
      <c r="F581"/>
      <c r="G581"/>
      <c r="H581"/>
      <c r="I581"/>
      <c r="J581"/>
    </row>
    <row r="582" spans="1:10" x14ac:dyDescent="0.2">
      <c r="A582"/>
      <c r="B582"/>
      <c r="C582"/>
      <c r="D582"/>
      <c r="E582"/>
      <c r="F582"/>
      <c r="G582"/>
      <c r="H582"/>
      <c r="I582"/>
      <c r="J582"/>
    </row>
    <row r="583" spans="1:10" x14ac:dyDescent="0.2">
      <c r="A583"/>
      <c r="B583"/>
      <c r="C583"/>
      <c r="D583"/>
      <c r="E583"/>
      <c r="F583"/>
      <c r="G583"/>
      <c r="H583"/>
      <c r="I583"/>
      <c r="J583"/>
    </row>
    <row r="584" spans="1:10" x14ac:dyDescent="0.2">
      <c r="A584"/>
      <c r="B584"/>
      <c r="C584"/>
      <c r="D584"/>
      <c r="E584"/>
      <c r="F584"/>
      <c r="G584"/>
      <c r="H584"/>
      <c r="I584"/>
      <c r="J584"/>
    </row>
    <row r="585" spans="1:10" x14ac:dyDescent="0.2">
      <c r="A585"/>
      <c r="B585"/>
      <c r="C585"/>
      <c r="D585"/>
      <c r="E585"/>
      <c r="F585"/>
      <c r="G585"/>
      <c r="H585"/>
      <c r="I585"/>
      <c r="J585"/>
    </row>
    <row r="586" spans="1:10" x14ac:dyDescent="0.2">
      <c r="A586"/>
      <c r="B586"/>
      <c r="C586"/>
      <c r="D586"/>
      <c r="E586"/>
      <c r="F586"/>
      <c r="G586"/>
      <c r="H586"/>
      <c r="I586"/>
      <c r="J586"/>
    </row>
    <row r="587" spans="1:10" x14ac:dyDescent="0.2">
      <c r="A587"/>
      <c r="B587"/>
      <c r="C587"/>
      <c r="D587"/>
      <c r="E587"/>
      <c r="F587"/>
      <c r="G587"/>
      <c r="H587"/>
      <c r="I587"/>
      <c r="J587"/>
    </row>
    <row r="588" spans="1:10" x14ac:dyDescent="0.2">
      <c r="A588"/>
      <c r="B588"/>
      <c r="C588"/>
      <c r="D588"/>
      <c r="E588"/>
      <c r="F588"/>
      <c r="G588"/>
      <c r="H588"/>
      <c r="I588"/>
      <c r="J588"/>
    </row>
    <row r="589" spans="1:10" x14ac:dyDescent="0.2">
      <c r="A589"/>
      <c r="B589"/>
      <c r="C589"/>
      <c r="D589"/>
      <c r="E589"/>
      <c r="F589"/>
      <c r="G589"/>
      <c r="H589"/>
      <c r="I589"/>
      <c r="J589"/>
    </row>
    <row r="590" spans="1:10" x14ac:dyDescent="0.2">
      <c r="A590"/>
      <c r="B590"/>
      <c r="C590"/>
      <c r="D590"/>
      <c r="E590"/>
      <c r="F590"/>
      <c r="G590"/>
      <c r="H590"/>
      <c r="I590"/>
      <c r="J590"/>
    </row>
    <row r="591" spans="1:10" x14ac:dyDescent="0.2">
      <c r="A591"/>
      <c r="B591"/>
      <c r="C591"/>
      <c r="D591"/>
      <c r="E591"/>
      <c r="F591"/>
      <c r="G591"/>
      <c r="H591"/>
      <c r="I591"/>
      <c r="J591"/>
    </row>
    <row r="592" spans="1:10" x14ac:dyDescent="0.2">
      <c r="A592"/>
      <c r="B592"/>
      <c r="C592"/>
      <c r="D592"/>
      <c r="E592"/>
      <c r="F592"/>
      <c r="G592"/>
      <c r="H592"/>
      <c r="I592"/>
      <c r="J592"/>
    </row>
    <row r="593" spans="1:10" x14ac:dyDescent="0.2">
      <c r="A593"/>
      <c r="B593"/>
      <c r="C593"/>
      <c r="D593"/>
      <c r="E593"/>
      <c r="F593"/>
      <c r="G593"/>
      <c r="H593"/>
      <c r="I593"/>
      <c r="J593"/>
    </row>
    <row r="594" spans="1:10" x14ac:dyDescent="0.2">
      <c r="A594"/>
      <c r="B594"/>
      <c r="C594"/>
      <c r="D594"/>
      <c r="E594"/>
      <c r="F594"/>
      <c r="G594"/>
      <c r="H594"/>
      <c r="I594"/>
      <c r="J594"/>
    </row>
    <row r="595" spans="1:10" x14ac:dyDescent="0.2">
      <c r="A595"/>
      <c r="B595"/>
      <c r="C595"/>
      <c r="D595"/>
      <c r="E595"/>
      <c r="F595"/>
      <c r="G595"/>
      <c r="H595"/>
      <c r="I595"/>
      <c r="J595"/>
    </row>
    <row r="596" spans="1:10" x14ac:dyDescent="0.2">
      <c r="A596"/>
      <c r="B596"/>
      <c r="C596"/>
      <c r="D596"/>
      <c r="E596"/>
      <c r="F596"/>
      <c r="G596"/>
      <c r="H596"/>
      <c r="I596"/>
      <c r="J596"/>
    </row>
    <row r="597" spans="1:10" x14ac:dyDescent="0.2">
      <c r="A597"/>
      <c r="B597"/>
      <c r="C597"/>
      <c r="D597"/>
      <c r="E597"/>
      <c r="F597"/>
      <c r="G597"/>
      <c r="H597"/>
      <c r="I597"/>
      <c r="J597"/>
    </row>
    <row r="598" spans="1:10" x14ac:dyDescent="0.2">
      <c r="A598"/>
      <c r="B598"/>
      <c r="C598"/>
      <c r="D598"/>
      <c r="E598"/>
      <c r="F598" s="2"/>
      <c r="G598"/>
      <c r="H598"/>
      <c r="I598"/>
      <c r="J598"/>
    </row>
    <row r="599" spans="1:10" x14ac:dyDescent="0.2">
      <c r="A599"/>
      <c r="B599"/>
      <c r="C599"/>
      <c r="D599"/>
      <c r="E599"/>
      <c r="F599"/>
      <c r="G599"/>
      <c r="H599"/>
      <c r="I599"/>
      <c r="J599"/>
    </row>
    <row r="600" spans="1:10" x14ac:dyDescent="0.2">
      <c r="A600"/>
      <c r="B600"/>
      <c r="C600"/>
      <c r="D600"/>
      <c r="E600"/>
      <c r="F600"/>
      <c r="G600"/>
      <c r="H600"/>
      <c r="I600"/>
      <c r="J600"/>
    </row>
    <row r="601" spans="1:10" x14ac:dyDescent="0.2">
      <c r="A601"/>
      <c r="B601"/>
      <c r="C601"/>
      <c r="D601"/>
      <c r="E601"/>
      <c r="F601"/>
      <c r="G601"/>
      <c r="H601"/>
      <c r="I601"/>
      <c r="J601"/>
    </row>
    <row r="602" spans="1:10" x14ac:dyDescent="0.2">
      <c r="A602"/>
      <c r="B602"/>
      <c r="C602"/>
      <c r="D602"/>
      <c r="E602"/>
      <c r="F602"/>
      <c r="G602"/>
      <c r="H602"/>
      <c r="I602"/>
      <c r="J602"/>
    </row>
    <row r="603" spans="1:10" x14ac:dyDescent="0.2">
      <c r="A603"/>
      <c r="B603"/>
      <c r="C603"/>
      <c r="D603"/>
      <c r="E603"/>
      <c r="F603"/>
      <c r="G603"/>
      <c r="H603"/>
      <c r="I603"/>
      <c r="J603"/>
    </row>
    <row r="604" spans="1:10" x14ac:dyDescent="0.2">
      <c r="A604"/>
      <c r="B604"/>
      <c r="C604"/>
      <c r="D604"/>
      <c r="E604"/>
      <c r="F604"/>
      <c r="G604"/>
      <c r="H604"/>
      <c r="I604"/>
      <c r="J604"/>
    </row>
    <row r="605" spans="1:10" x14ac:dyDescent="0.2">
      <c r="A605"/>
      <c r="B605"/>
      <c r="C605"/>
      <c r="D605"/>
      <c r="E605"/>
      <c r="F605"/>
      <c r="G605"/>
      <c r="H605"/>
      <c r="I605"/>
      <c r="J605"/>
    </row>
    <row r="606" spans="1:10" x14ac:dyDescent="0.2">
      <c r="A606"/>
      <c r="B606"/>
      <c r="C606"/>
      <c r="D606"/>
      <c r="E606"/>
      <c r="F606"/>
      <c r="G606"/>
      <c r="H606"/>
      <c r="I606"/>
      <c r="J606"/>
    </row>
    <row r="607" spans="1:10" x14ac:dyDescent="0.2">
      <c r="A607"/>
      <c r="B607"/>
      <c r="C607"/>
      <c r="D607"/>
      <c r="E607"/>
      <c r="F607"/>
      <c r="G607"/>
      <c r="H607"/>
      <c r="I607"/>
      <c r="J607"/>
    </row>
    <row r="608" spans="1:10" x14ac:dyDescent="0.2">
      <c r="A608"/>
      <c r="B608"/>
      <c r="C608"/>
      <c r="D608"/>
      <c r="E608"/>
      <c r="F608"/>
      <c r="G608"/>
      <c r="H608"/>
      <c r="I608"/>
      <c r="J608"/>
    </row>
    <row r="609" spans="1:10" x14ac:dyDescent="0.2">
      <c r="A609"/>
      <c r="B609"/>
      <c r="C609"/>
      <c r="D609"/>
      <c r="E609"/>
      <c r="F609"/>
      <c r="G609"/>
      <c r="H609"/>
      <c r="I609"/>
      <c r="J609"/>
    </row>
    <row r="610" spans="1:10" x14ac:dyDescent="0.2">
      <c r="A610"/>
      <c r="B610"/>
      <c r="C610"/>
      <c r="D610"/>
      <c r="E610"/>
      <c r="F610"/>
      <c r="G610"/>
      <c r="H610"/>
      <c r="I610"/>
      <c r="J610"/>
    </row>
    <row r="611" spans="1:10" x14ac:dyDescent="0.2">
      <c r="A611"/>
      <c r="B611"/>
      <c r="C611"/>
      <c r="D611"/>
      <c r="E611"/>
      <c r="F611"/>
      <c r="G611"/>
      <c r="H611"/>
      <c r="I611"/>
      <c r="J611"/>
    </row>
    <row r="612" spans="1:10" x14ac:dyDescent="0.2">
      <c r="A612"/>
      <c r="B612"/>
      <c r="C612"/>
      <c r="D612"/>
      <c r="E612"/>
      <c r="F612"/>
      <c r="G612"/>
      <c r="H612"/>
      <c r="I612"/>
      <c r="J612"/>
    </row>
    <row r="613" spans="1:10" x14ac:dyDescent="0.2">
      <c r="A613"/>
      <c r="B613"/>
      <c r="C613"/>
      <c r="D613"/>
      <c r="E613"/>
      <c r="F613"/>
      <c r="G613"/>
      <c r="H613"/>
      <c r="I613"/>
      <c r="J613"/>
    </row>
    <row r="614" spans="1:10" x14ac:dyDescent="0.2">
      <c r="A614"/>
      <c r="B614"/>
      <c r="C614"/>
      <c r="D614"/>
      <c r="E614"/>
      <c r="F614"/>
      <c r="G614"/>
      <c r="H614"/>
      <c r="I614"/>
      <c r="J614"/>
    </row>
    <row r="615" spans="1:10" x14ac:dyDescent="0.2">
      <c r="A615"/>
      <c r="B615"/>
      <c r="C615"/>
      <c r="D615"/>
      <c r="E615"/>
      <c r="F615"/>
      <c r="G615"/>
      <c r="H615"/>
      <c r="I615"/>
      <c r="J615"/>
    </row>
    <row r="616" spans="1:10" x14ac:dyDescent="0.2">
      <c r="A616"/>
      <c r="B616"/>
      <c r="C616"/>
      <c r="D616"/>
      <c r="E616"/>
      <c r="F616"/>
      <c r="G616"/>
      <c r="H616"/>
      <c r="I616"/>
      <c r="J616"/>
    </row>
    <row r="617" spans="1:10" x14ac:dyDescent="0.2">
      <c r="A617"/>
      <c r="B617"/>
      <c r="C617"/>
      <c r="D617"/>
      <c r="E617"/>
      <c r="F617"/>
      <c r="G617"/>
      <c r="H617"/>
      <c r="I617"/>
      <c r="J617"/>
    </row>
    <row r="618" spans="1:10" x14ac:dyDescent="0.2">
      <c r="A618"/>
      <c r="B618"/>
      <c r="C618"/>
      <c r="D618"/>
      <c r="E618"/>
      <c r="F618"/>
      <c r="G618"/>
      <c r="H618"/>
      <c r="I618"/>
      <c r="J618"/>
    </row>
    <row r="619" spans="1:10" x14ac:dyDescent="0.2">
      <c r="A619"/>
      <c r="B619"/>
      <c r="C619"/>
      <c r="D619"/>
      <c r="E619"/>
      <c r="F619"/>
      <c r="G619"/>
      <c r="H619"/>
      <c r="I619"/>
      <c r="J619"/>
    </row>
    <row r="620" spans="1:10" x14ac:dyDescent="0.2">
      <c r="A620"/>
      <c r="B620"/>
      <c r="C620"/>
      <c r="D620"/>
      <c r="E620"/>
      <c r="F620"/>
      <c r="G620"/>
      <c r="H620"/>
      <c r="I620"/>
      <c r="J620"/>
    </row>
    <row r="621" spans="1:10" x14ac:dyDescent="0.2">
      <c r="A621"/>
      <c r="B621"/>
      <c r="C621"/>
      <c r="D621"/>
      <c r="E621"/>
      <c r="F621"/>
      <c r="G621"/>
      <c r="H621"/>
      <c r="I621"/>
      <c r="J621"/>
    </row>
    <row r="622" spans="1:10" x14ac:dyDescent="0.2">
      <c r="A622"/>
      <c r="B622"/>
      <c r="C622"/>
      <c r="D622"/>
      <c r="E622"/>
      <c r="F622"/>
      <c r="G622"/>
      <c r="H622"/>
      <c r="I622"/>
      <c r="J622"/>
    </row>
    <row r="623" spans="1:10" x14ac:dyDescent="0.2">
      <c r="A623"/>
      <c r="B623"/>
      <c r="C623"/>
      <c r="D623"/>
      <c r="E623"/>
      <c r="F623"/>
      <c r="G623"/>
      <c r="H623"/>
      <c r="I623"/>
      <c r="J623"/>
    </row>
    <row r="624" spans="1:10" x14ac:dyDescent="0.2">
      <c r="A624"/>
      <c r="B624"/>
      <c r="C624"/>
      <c r="D624"/>
      <c r="E624"/>
      <c r="F624"/>
      <c r="G624"/>
      <c r="H624"/>
      <c r="I624"/>
      <c r="J624"/>
    </row>
    <row r="625" spans="1:10" x14ac:dyDescent="0.2">
      <c r="A625"/>
      <c r="B625"/>
      <c r="C625"/>
      <c r="D625"/>
      <c r="E625"/>
      <c r="F625"/>
      <c r="G625"/>
      <c r="H625"/>
      <c r="I625"/>
      <c r="J625"/>
    </row>
    <row r="626" spans="1:10" x14ac:dyDescent="0.2">
      <c r="A626"/>
      <c r="B626"/>
      <c r="C626"/>
      <c r="D626"/>
      <c r="E626"/>
      <c r="F626"/>
      <c r="G626"/>
      <c r="H626"/>
      <c r="I626"/>
      <c r="J626"/>
    </row>
    <row r="627" spans="1:10" x14ac:dyDescent="0.2">
      <c r="A627"/>
      <c r="B627"/>
      <c r="C627"/>
      <c r="D627"/>
      <c r="E627"/>
      <c r="F627"/>
      <c r="G627"/>
      <c r="H627"/>
      <c r="I627"/>
      <c r="J627"/>
    </row>
    <row r="628" spans="1:10" x14ac:dyDescent="0.2">
      <c r="A628"/>
      <c r="B628"/>
      <c r="C628"/>
      <c r="D628"/>
      <c r="E628"/>
      <c r="F628"/>
      <c r="G628"/>
      <c r="H628"/>
      <c r="I628"/>
      <c r="J628"/>
    </row>
    <row r="629" spans="1:10" x14ac:dyDescent="0.2">
      <c r="A629"/>
      <c r="B629"/>
      <c r="C629"/>
      <c r="D629"/>
      <c r="E629"/>
      <c r="F629"/>
      <c r="G629"/>
      <c r="H629"/>
      <c r="I629"/>
      <c r="J629"/>
    </row>
    <row r="630" spans="1:10" x14ac:dyDescent="0.2">
      <c r="A630"/>
      <c r="B630"/>
      <c r="C630"/>
      <c r="D630"/>
      <c r="E630"/>
      <c r="F630"/>
      <c r="G630"/>
      <c r="H630"/>
      <c r="I630"/>
      <c r="J630"/>
    </row>
    <row r="631" spans="1:10" x14ac:dyDescent="0.2">
      <c r="A631"/>
      <c r="B631"/>
      <c r="C631"/>
      <c r="D631"/>
      <c r="E631"/>
      <c r="F631"/>
      <c r="G631"/>
      <c r="H631"/>
      <c r="I631"/>
      <c r="J631"/>
    </row>
    <row r="632" spans="1:10" x14ac:dyDescent="0.2">
      <c r="A632"/>
      <c r="B632"/>
      <c r="C632"/>
      <c r="D632"/>
      <c r="E632"/>
      <c r="F632"/>
      <c r="G632"/>
      <c r="H632"/>
      <c r="I632"/>
      <c r="J632"/>
    </row>
    <row r="633" spans="1:10" x14ac:dyDescent="0.2">
      <c r="A633"/>
      <c r="B633"/>
      <c r="C633"/>
      <c r="D633"/>
      <c r="E633"/>
      <c r="F633"/>
      <c r="G633"/>
      <c r="H633"/>
      <c r="I633"/>
      <c r="J633"/>
    </row>
    <row r="634" spans="1:10" x14ac:dyDescent="0.2">
      <c r="A634"/>
      <c r="B634"/>
      <c r="C634"/>
      <c r="D634"/>
      <c r="E634"/>
      <c r="F634"/>
      <c r="G634"/>
      <c r="H634"/>
      <c r="I634"/>
      <c r="J634"/>
    </row>
    <row r="635" spans="1:10" x14ac:dyDescent="0.2">
      <c r="A635"/>
      <c r="B635"/>
      <c r="C635"/>
      <c r="D635"/>
      <c r="E635"/>
      <c r="F635"/>
      <c r="G635"/>
      <c r="H635"/>
      <c r="I635"/>
      <c r="J635"/>
    </row>
    <row r="636" spans="1:10" x14ac:dyDescent="0.2">
      <c r="A636"/>
      <c r="B636"/>
      <c r="C636"/>
      <c r="D636"/>
      <c r="E636"/>
      <c r="F636"/>
      <c r="G636"/>
      <c r="H636"/>
      <c r="I636"/>
      <c r="J636"/>
    </row>
    <row r="637" spans="1:10" x14ac:dyDescent="0.2">
      <c r="A637"/>
      <c r="B637"/>
      <c r="C637"/>
      <c r="D637"/>
      <c r="E637"/>
      <c r="F637"/>
      <c r="G637"/>
      <c r="H637"/>
      <c r="I637"/>
      <c r="J637"/>
    </row>
    <row r="638" spans="1:10" x14ac:dyDescent="0.2">
      <c r="A638"/>
      <c r="B638"/>
      <c r="C638"/>
      <c r="D638"/>
      <c r="E638"/>
      <c r="F638"/>
      <c r="G638"/>
      <c r="H638"/>
      <c r="I638"/>
      <c r="J638"/>
    </row>
    <row r="639" spans="1:10" x14ac:dyDescent="0.2">
      <c r="A639"/>
      <c r="B639"/>
      <c r="C639"/>
      <c r="D639"/>
      <c r="E639"/>
      <c r="F639"/>
      <c r="G639"/>
      <c r="H639"/>
      <c r="I639"/>
      <c r="J639"/>
    </row>
    <row r="640" spans="1:10" x14ac:dyDescent="0.2">
      <c r="A640"/>
      <c r="B640"/>
      <c r="C640"/>
      <c r="D640"/>
      <c r="E640"/>
      <c r="F640"/>
      <c r="G640"/>
      <c r="H640"/>
      <c r="I640"/>
      <c r="J640"/>
    </row>
    <row r="641" spans="1:10" x14ac:dyDescent="0.2">
      <c r="A641"/>
      <c r="B641"/>
      <c r="C641"/>
      <c r="D641"/>
      <c r="E641"/>
      <c r="F641"/>
      <c r="G641"/>
      <c r="H641"/>
      <c r="I641"/>
      <c r="J641"/>
    </row>
    <row r="642" spans="1:10" x14ac:dyDescent="0.2">
      <c r="A642"/>
      <c r="B642"/>
      <c r="C642"/>
      <c r="D642"/>
      <c r="E642"/>
      <c r="F642"/>
      <c r="G642"/>
      <c r="H642"/>
      <c r="I642"/>
      <c r="J642"/>
    </row>
    <row r="643" spans="1:10" x14ac:dyDescent="0.2">
      <c r="A643"/>
      <c r="B643"/>
      <c r="C643"/>
      <c r="D643"/>
      <c r="E643"/>
      <c r="F643"/>
      <c r="G643"/>
      <c r="H643"/>
      <c r="I643"/>
      <c r="J643"/>
    </row>
    <row r="644" spans="1:10" x14ac:dyDescent="0.2">
      <c r="A644"/>
      <c r="B644"/>
      <c r="C644"/>
      <c r="D644"/>
      <c r="E644"/>
      <c r="F644"/>
      <c r="G644"/>
      <c r="H644"/>
      <c r="I644"/>
      <c r="J644"/>
    </row>
    <row r="645" spans="1:10" x14ac:dyDescent="0.2">
      <c r="A645"/>
      <c r="B645"/>
      <c r="C645"/>
      <c r="D645"/>
      <c r="E645"/>
      <c r="F645"/>
      <c r="G645"/>
      <c r="H645"/>
      <c r="I645"/>
      <c r="J645"/>
    </row>
    <row r="646" spans="1:10" x14ac:dyDescent="0.2">
      <c r="A646"/>
      <c r="B646"/>
      <c r="C646"/>
      <c r="D646"/>
      <c r="E646"/>
      <c r="F646"/>
      <c r="G646"/>
      <c r="H646"/>
      <c r="I646"/>
      <c r="J646"/>
    </row>
    <row r="647" spans="1:10" x14ac:dyDescent="0.2">
      <c r="A647"/>
      <c r="B647"/>
      <c r="C647"/>
      <c r="D647"/>
      <c r="E647"/>
      <c r="F647"/>
      <c r="G647"/>
      <c r="H647"/>
      <c r="I647"/>
      <c r="J647"/>
    </row>
    <row r="648" spans="1:10" x14ac:dyDescent="0.2">
      <c r="A648"/>
      <c r="B648"/>
      <c r="C648"/>
      <c r="D648"/>
      <c r="E648"/>
      <c r="F648"/>
      <c r="G648"/>
      <c r="H648"/>
      <c r="I648"/>
      <c r="J648"/>
    </row>
    <row r="649" spans="1:10" x14ac:dyDescent="0.2">
      <c r="A649"/>
      <c r="B649"/>
      <c r="C649"/>
      <c r="D649"/>
      <c r="E649"/>
      <c r="F649"/>
      <c r="G649"/>
      <c r="H649"/>
      <c r="I649"/>
      <c r="J649"/>
    </row>
    <row r="650" spans="1:10" x14ac:dyDescent="0.2">
      <c r="A650"/>
      <c r="B650"/>
      <c r="C650"/>
      <c r="D650"/>
      <c r="E650"/>
      <c r="F650"/>
      <c r="G650"/>
      <c r="H650"/>
      <c r="I650"/>
      <c r="J650"/>
    </row>
    <row r="651" spans="1:10" x14ac:dyDescent="0.2">
      <c r="A651"/>
      <c r="B651"/>
      <c r="C651"/>
      <c r="D651"/>
      <c r="E651"/>
      <c r="F651"/>
      <c r="G651"/>
      <c r="H651"/>
      <c r="I651"/>
      <c r="J651"/>
    </row>
    <row r="652" spans="1:10" x14ac:dyDescent="0.2">
      <c r="A652"/>
      <c r="B652"/>
      <c r="C652"/>
      <c r="D652"/>
      <c r="E652"/>
      <c r="F652"/>
      <c r="G652"/>
      <c r="H652"/>
      <c r="I652"/>
      <c r="J652"/>
    </row>
    <row r="653" spans="1:10" x14ac:dyDescent="0.2">
      <c r="A653"/>
      <c r="B653"/>
      <c r="C653"/>
      <c r="D653"/>
      <c r="E653"/>
      <c r="F653"/>
      <c r="G653"/>
      <c r="H653"/>
      <c r="I653"/>
      <c r="J653"/>
    </row>
    <row r="654" spans="1:10" x14ac:dyDescent="0.2">
      <c r="A654"/>
      <c r="B654"/>
      <c r="C654"/>
      <c r="D654"/>
      <c r="E654"/>
      <c r="F654"/>
      <c r="G654"/>
      <c r="H654"/>
      <c r="I654"/>
      <c r="J654"/>
    </row>
    <row r="655" spans="1:10" x14ac:dyDescent="0.2">
      <c r="A655"/>
      <c r="B655"/>
      <c r="C655"/>
      <c r="D655"/>
      <c r="E655"/>
      <c r="F655"/>
      <c r="G655"/>
      <c r="H655"/>
      <c r="I655"/>
      <c r="J655"/>
    </row>
    <row r="656" spans="1:10" x14ac:dyDescent="0.2">
      <c r="A656"/>
      <c r="B656"/>
      <c r="C656"/>
      <c r="D656"/>
      <c r="E656"/>
      <c r="F656"/>
      <c r="G656"/>
      <c r="H656"/>
      <c r="I656"/>
      <c r="J656"/>
    </row>
    <row r="657" spans="1:10" x14ac:dyDescent="0.2">
      <c r="A657"/>
      <c r="B657"/>
      <c r="C657"/>
      <c r="D657"/>
      <c r="E657"/>
      <c r="F657"/>
      <c r="G657"/>
      <c r="H657"/>
      <c r="I657"/>
      <c r="J657"/>
    </row>
    <row r="658" spans="1:10" x14ac:dyDescent="0.2">
      <c r="A658"/>
      <c r="B658"/>
      <c r="C658"/>
      <c r="D658"/>
      <c r="E658"/>
      <c r="F658"/>
      <c r="G658"/>
      <c r="H658"/>
      <c r="I658"/>
      <c r="J658"/>
    </row>
    <row r="659" spans="1:10" x14ac:dyDescent="0.2">
      <c r="A659"/>
      <c r="B659"/>
      <c r="C659"/>
      <c r="D659"/>
      <c r="E659"/>
      <c r="F659"/>
      <c r="G659"/>
      <c r="H659"/>
      <c r="I659"/>
      <c r="J659"/>
    </row>
    <row r="660" spans="1:10" x14ac:dyDescent="0.2">
      <c r="A660"/>
      <c r="B660"/>
      <c r="C660"/>
      <c r="D660"/>
      <c r="E660"/>
      <c r="F660"/>
      <c r="G660"/>
      <c r="H660"/>
      <c r="I660"/>
      <c r="J660"/>
    </row>
    <row r="661" spans="1:10" x14ac:dyDescent="0.2">
      <c r="A661"/>
      <c r="B661"/>
      <c r="C661"/>
      <c r="D661"/>
      <c r="E661"/>
      <c r="F661"/>
      <c r="G661"/>
      <c r="H661"/>
      <c r="I661"/>
      <c r="J661"/>
    </row>
    <row r="662" spans="1:10" x14ac:dyDescent="0.2">
      <c r="A662"/>
      <c r="B662"/>
      <c r="C662"/>
      <c r="D662"/>
      <c r="E662"/>
      <c r="F662"/>
      <c r="G662"/>
      <c r="H662"/>
      <c r="I662"/>
      <c r="J662"/>
    </row>
    <row r="663" spans="1:10" x14ac:dyDescent="0.2">
      <c r="A663"/>
      <c r="B663"/>
      <c r="C663"/>
      <c r="D663"/>
      <c r="E663"/>
      <c r="F663"/>
      <c r="G663"/>
      <c r="H663"/>
      <c r="I663"/>
      <c r="J663"/>
    </row>
    <row r="664" spans="1:10" x14ac:dyDescent="0.2">
      <c r="A664"/>
      <c r="B664"/>
      <c r="C664"/>
      <c r="D664"/>
      <c r="E664"/>
      <c r="F664"/>
      <c r="G664"/>
      <c r="H664"/>
      <c r="I664"/>
      <c r="J664"/>
    </row>
    <row r="665" spans="1:10" x14ac:dyDescent="0.2">
      <c r="A665"/>
      <c r="B665"/>
      <c r="C665"/>
      <c r="D665"/>
      <c r="E665"/>
      <c r="F665"/>
      <c r="G665"/>
      <c r="H665"/>
      <c r="I665"/>
      <c r="J665"/>
    </row>
    <row r="666" spans="1:10" x14ac:dyDescent="0.2">
      <c r="A666"/>
      <c r="B666"/>
      <c r="C666"/>
      <c r="D666"/>
      <c r="E666"/>
      <c r="F666"/>
      <c r="G666"/>
      <c r="H666"/>
      <c r="I666"/>
      <c r="J666"/>
    </row>
    <row r="667" spans="1:10" x14ac:dyDescent="0.2">
      <c r="A667"/>
      <c r="B667"/>
      <c r="C667"/>
      <c r="D667"/>
      <c r="E667"/>
      <c r="F667"/>
      <c r="G667"/>
      <c r="H667"/>
      <c r="I667"/>
      <c r="J667"/>
    </row>
    <row r="668" spans="1:10" x14ac:dyDescent="0.2">
      <c r="A668"/>
      <c r="B668"/>
      <c r="C668"/>
      <c r="D668"/>
      <c r="E668"/>
      <c r="F668"/>
      <c r="G668"/>
      <c r="H668"/>
      <c r="I668"/>
      <c r="J668"/>
    </row>
    <row r="669" spans="1:10" x14ac:dyDescent="0.2">
      <c r="A669"/>
      <c r="B669"/>
      <c r="C669"/>
      <c r="D669"/>
      <c r="E669"/>
      <c r="F669"/>
      <c r="G669"/>
      <c r="H669"/>
      <c r="I669"/>
      <c r="J669"/>
    </row>
    <row r="670" spans="1:10" x14ac:dyDescent="0.2">
      <c r="A670"/>
      <c r="B670"/>
      <c r="C670"/>
      <c r="D670"/>
      <c r="E670"/>
      <c r="F670"/>
      <c r="G670"/>
      <c r="H670"/>
      <c r="I670"/>
      <c r="J670"/>
    </row>
    <row r="671" spans="1:10" x14ac:dyDescent="0.2">
      <c r="A671"/>
      <c r="B671"/>
      <c r="C671"/>
      <c r="D671"/>
      <c r="E671"/>
      <c r="F671"/>
      <c r="G671"/>
      <c r="H671"/>
      <c r="I671"/>
      <c r="J671"/>
    </row>
    <row r="672" spans="1:10" x14ac:dyDescent="0.2">
      <c r="A672"/>
      <c r="B672"/>
      <c r="C672"/>
      <c r="D672"/>
      <c r="E672"/>
      <c r="F672"/>
      <c r="G672"/>
      <c r="H672"/>
      <c r="I672"/>
      <c r="J672"/>
    </row>
    <row r="673" spans="1:10" x14ac:dyDescent="0.2">
      <c r="A673"/>
      <c r="B673"/>
      <c r="C673"/>
      <c r="D673"/>
      <c r="E673"/>
      <c r="F673"/>
      <c r="G673"/>
      <c r="H673"/>
      <c r="I673"/>
      <c r="J673"/>
    </row>
    <row r="674" spans="1:10" x14ac:dyDescent="0.2">
      <c r="A674"/>
      <c r="B674"/>
      <c r="C674"/>
      <c r="D674"/>
      <c r="E674"/>
      <c r="F674"/>
      <c r="G674"/>
      <c r="H674"/>
      <c r="I674"/>
      <c r="J674"/>
    </row>
    <row r="675" spans="1:10" x14ac:dyDescent="0.2">
      <c r="A675"/>
      <c r="B675"/>
      <c r="C675"/>
      <c r="D675"/>
      <c r="E675"/>
      <c r="F675"/>
      <c r="G675"/>
      <c r="H675"/>
      <c r="I675"/>
      <c r="J675"/>
    </row>
    <row r="676" spans="1:10" x14ac:dyDescent="0.2">
      <c r="A676"/>
      <c r="B676"/>
      <c r="C676"/>
      <c r="D676"/>
      <c r="E676"/>
      <c r="F676"/>
      <c r="G676"/>
      <c r="H676"/>
      <c r="I676"/>
      <c r="J676"/>
    </row>
    <row r="677" spans="1:10" x14ac:dyDescent="0.2">
      <c r="A677"/>
      <c r="B677"/>
      <c r="C677"/>
      <c r="D677"/>
      <c r="E677"/>
      <c r="F677"/>
      <c r="G677"/>
      <c r="H677"/>
      <c r="I677"/>
      <c r="J677"/>
    </row>
    <row r="678" spans="1:10" x14ac:dyDescent="0.2">
      <c r="A678"/>
      <c r="B678"/>
      <c r="C678"/>
      <c r="D678"/>
      <c r="E678"/>
      <c r="F678"/>
      <c r="G678"/>
      <c r="H678"/>
      <c r="I678"/>
      <c r="J678"/>
    </row>
    <row r="679" spans="1:10" x14ac:dyDescent="0.2">
      <c r="A679"/>
      <c r="B679"/>
      <c r="C679"/>
      <c r="D679"/>
      <c r="E679"/>
      <c r="F679"/>
      <c r="G679"/>
      <c r="H679"/>
      <c r="I679"/>
      <c r="J679"/>
    </row>
    <row r="680" spans="1:10" x14ac:dyDescent="0.2">
      <c r="A680"/>
      <c r="B680"/>
      <c r="C680"/>
      <c r="D680"/>
      <c r="E680"/>
      <c r="F680"/>
      <c r="G680"/>
      <c r="H680"/>
      <c r="I680"/>
      <c r="J680"/>
    </row>
    <row r="681" spans="1:10" x14ac:dyDescent="0.2">
      <c r="A681"/>
      <c r="B681"/>
      <c r="C681"/>
      <c r="D681"/>
      <c r="E681"/>
      <c r="F681"/>
      <c r="G681"/>
      <c r="H681"/>
      <c r="I681"/>
      <c r="J681"/>
    </row>
    <row r="682" spans="1:10" x14ac:dyDescent="0.2">
      <c r="A682"/>
      <c r="B682"/>
      <c r="C682"/>
      <c r="D682"/>
      <c r="E682"/>
      <c r="F682"/>
      <c r="G682"/>
      <c r="H682"/>
      <c r="I682"/>
      <c r="J682"/>
    </row>
    <row r="683" spans="1:10" x14ac:dyDescent="0.2">
      <c r="A683"/>
      <c r="B683"/>
      <c r="C683"/>
      <c r="D683"/>
      <c r="E683"/>
      <c r="F683"/>
      <c r="G683"/>
      <c r="H683"/>
      <c r="I683"/>
      <c r="J683"/>
    </row>
    <row r="684" spans="1:10" x14ac:dyDescent="0.2">
      <c r="A684"/>
      <c r="B684"/>
      <c r="C684"/>
      <c r="D684"/>
      <c r="E684"/>
      <c r="F684"/>
      <c r="G684"/>
      <c r="H684"/>
      <c r="I684"/>
      <c r="J684"/>
    </row>
    <row r="685" spans="1:10" x14ac:dyDescent="0.2">
      <c r="A685"/>
      <c r="B685"/>
      <c r="C685"/>
      <c r="D685"/>
      <c r="E685"/>
      <c r="F685"/>
      <c r="G685"/>
      <c r="H685"/>
      <c r="I685"/>
      <c r="J685"/>
    </row>
    <row r="686" spans="1:10" x14ac:dyDescent="0.2">
      <c r="A686"/>
      <c r="B686"/>
      <c r="C686"/>
      <c r="D686"/>
      <c r="E686"/>
      <c r="F686"/>
      <c r="G686"/>
      <c r="H686"/>
      <c r="I686"/>
      <c r="J686"/>
    </row>
    <row r="687" spans="1:10" x14ac:dyDescent="0.2">
      <c r="A687"/>
      <c r="B687"/>
      <c r="C687"/>
      <c r="D687"/>
      <c r="E687"/>
      <c r="F687"/>
      <c r="G687"/>
      <c r="H687"/>
      <c r="I687"/>
      <c r="J687"/>
    </row>
    <row r="688" spans="1:10" x14ac:dyDescent="0.2">
      <c r="A688"/>
      <c r="B688"/>
      <c r="C688"/>
      <c r="D688"/>
      <c r="E688"/>
      <c r="F688"/>
      <c r="G688"/>
      <c r="H688"/>
      <c r="I688"/>
      <c r="J688"/>
    </row>
    <row r="689" spans="1:10" x14ac:dyDescent="0.2">
      <c r="A689"/>
      <c r="B689"/>
      <c r="C689"/>
      <c r="D689"/>
      <c r="E689"/>
      <c r="F689"/>
      <c r="G689"/>
      <c r="H689"/>
      <c r="I689"/>
      <c r="J689"/>
    </row>
    <row r="690" spans="1:10" x14ac:dyDescent="0.2">
      <c r="A690"/>
      <c r="B690"/>
      <c r="C690"/>
      <c r="D690"/>
      <c r="E690"/>
      <c r="F690"/>
      <c r="G690"/>
      <c r="H690"/>
      <c r="I690"/>
      <c r="J690"/>
    </row>
    <row r="691" spans="1:10" x14ac:dyDescent="0.2">
      <c r="A691"/>
      <c r="B691"/>
      <c r="C691"/>
      <c r="D691"/>
      <c r="E691"/>
      <c r="F691"/>
      <c r="G691"/>
      <c r="H691"/>
      <c r="I691"/>
      <c r="J691"/>
    </row>
    <row r="692" spans="1:10" x14ac:dyDescent="0.2">
      <c r="A692"/>
      <c r="B692"/>
      <c r="C692"/>
      <c r="D692"/>
      <c r="E692"/>
      <c r="F692"/>
      <c r="G692"/>
      <c r="H692"/>
      <c r="I692"/>
      <c r="J692"/>
    </row>
    <row r="693" spans="1:10" x14ac:dyDescent="0.2">
      <c r="A693"/>
      <c r="B693"/>
      <c r="C693"/>
      <c r="D693"/>
      <c r="E693"/>
      <c r="F693"/>
      <c r="G693"/>
      <c r="H693"/>
      <c r="I693"/>
      <c r="J693"/>
    </row>
    <row r="694" spans="1:10" x14ac:dyDescent="0.2">
      <c r="A694"/>
      <c r="B694"/>
      <c r="C694"/>
      <c r="D694"/>
      <c r="E694"/>
      <c r="F694"/>
      <c r="G694"/>
      <c r="H694"/>
      <c r="I694"/>
      <c r="J694"/>
    </row>
    <row r="695" spans="1:10" x14ac:dyDescent="0.2">
      <c r="A695"/>
      <c r="B695"/>
      <c r="C695"/>
      <c r="D695"/>
      <c r="E695"/>
      <c r="F695"/>
      <c r="G695"/>
      <c r="H695"/>
      <c r="I695"/>
      <c r="J695"/>
    </row>
    <row r="696" spans="1:10" x14ac:dyDescent="0.2">
      <c r="A696"/>
      <c r="B696"/>
      <c r="C696"/>
      <c r="D696"/>
      <c r="E696"/>
      <c r="F696"/>
      <c r="G696"/>
      <c r="H696"/>
      <c r="I696"/>
      <c r="J696"/>
    </row>
    <row r="697" spans="1:10" x14ac:dyDescent="0.2">
      <c r="A697"/>
      <c r="B697"/>
      <c r="C697"/>
      <c r="D697"/>
      <c r="E697"/>
      <c r="F697"/>
      <c r="G697"/>
      <c r="H697"/>
      <c r="I697"/>
      <c r="J697"/>
    </row>
    <row r="698" spans="1:10" x14ac:dyDescent="0.2">
      <c r="A698"/>
      <c r="B698"/>
      <c r="C698"/>
      <c r="D698"/>
      <c r="E698"/>
      <c r="F698"/>
      <c r="G698"/>
      <c r="H698"/>
      <c r="I698"/>
      <c r="J698"/>
    </row>
    <row r="699" spans="1:10" x14ac:dyDescent="0.2">
      <c r="A699"/>
      <c r="B699"/>
      <c r="C699"/>
      <c r="D699"/>
      <c r="E699"/>
      <c r="F699"/>
      <c r="G699"/>
      <c r="H699"/>
      <c r="I699"/>
      <c r="J699"/>
    </row>
    <row r="700" spans="1:10" x14ac:dyDescent="0.2">
      <c r="A700"/>
      <c r="B700"/>
      <c r="C700"/>
      <c r="D700"/>
      <c r="E700"/>
      <c r="F700"/>
      <c r="G700"/>
      <c r="H700"/>
      <c r="I700"/>
      <c r="J700"/>
    </row>
    <row r="701" spans="1:10" x14ac:dyDescent="0.2">
      <c r="A701"/>
      <c r="B701"/>
      <c r="C701"/>
      <c r="D701"/>
      <c r="E701"/>
      <c r="F701"/>
      <c r="G701"/>
      <c r="H701"/>
      <c r="I701"/>
      <c r="J701"/>
    </row>
    <row r="702" spans="1:10" x14ac:dyDescent="0.2">
      <c r="A702"/>
      <c r="B702"/>
      <c r="C702"/>
      <c r="D702"/>
      <c r="E702"/>
      <c r="F702"/>
      <c r="G702"/>
      <c r="H702"/>
      <c r="I702"/>
      <c r="J702"/>
    </row>
    <row r="703" spans="1:10" x14ac:dyDescent="0.2">
      <c r="A703"/>
      <c r="B703"/>
      <c r="C703"/>
      <c r="D703"/>
      <c r="E703"/>
      <c r="F703"/>
      <c r="G703"/>
      <c r="H703"/>
      <c r="I703"/>
      <c r="J703"/>
    </row>
    <row r="704" spans="1:10" x14ac:dyDescent="0.2">
      <c r="A704"/>
      <c r="B704"/>
      <c r="C704"/>
      <c r="D704"/>
      <c r="E704"/>
      <c r="F704"/>
      <c r="G704"/>
      <c r="H704"/>
      <c r="I704"/>
      <c r="J704"/>
    </row>
    <row r="705" spans="1:10" x14ac:dyDescent="0.2">
      <c r="A705"/>
      <c r="B705"/>
      <c r="C705"/>
      <c r="D705"/>
      <c r="E705"/>
      <c r="F705"/>
      <c r="G705"/>
      <c r="H705"/>
      <c r="I705"/>
      <c r="J705"/>
    </row>
    <row r="706" spans="1:10" x14ac:dyDescent="0.2">
      <c r="A706"/>
      <c r="B706"/>
      <c r="C706"/>
      <c r="D706"/>
      <c r="E706"/>
      <c r="F706"/>
      <c r="G706"/>
      <c r="H706"/>
      <c r="I706"/>
      <c r="J706"/>
    </row>
    <row r="707" spans="1:10" x14ac:dyDescent="0.2">
      <c r="A707"/>
      <c r="B707"/>
      <c r="C707"/>
      <c r="D707"/>
      <c r="E707"/>
      <c r="F707"/>
      <c r="G707"/>
      <c r="H707"/>
      <c r="I707"/>
      <c r="J707"/>
    </row>
    <row r="708" spans="1:10" x14ac:dyDescent="0.2">
      <c r="A708"/>
      <c r="B708"/>
      <c r="C708"/>
      <c r="D708"/>
      <c r="E708"/>
      <c r="F708"/>
      <c r="G708"/>
      <c r="H708"/>
      <c r="I708"/>
      <c r="J708"/>
    </row>
    <row r="709" spans="1:10" x14ac:dyDescent="0.2">
      <c r="A709"/>
      <c r="B709"/>
      <c r="C709"/>
      <c r="D709"/>
      <c r="E709"/>
      <c r="F709"/>
      <c r="G709"/>
      <c r="H709"/>
      <c r="I709"/>
      <c r="J709"/>
    </row>
    <row r="710" spans="1:10" x14ac:dyDescent="0.2">
      <c r="A710"/>
      <c r="B710"/>
      <c r="C710"/>
      <c r="D710"/>
      <c r="E710"/>
      <c r="F710"/>
      <c r="G710"/>
      <c r="H710"/>
      <c r="I710"/>
      <c r="J710"/>
    </row>
    <row r="711" spans="1:10" x14ac:dyDescent="0.2">
      <c r="A711"/>
      <c r="B711"/>
      <c r="C711"/>
      <c r="D711"/>
      <c r="E711"/>
      <c r="F711"/>
      <c r="G711"/>
      <c r="H711"/>
      <c r="I711"/>
      <c r="J711"/>
    </row>
    <row r="712" spans="1:10" x14ac:dyDescent="0.2">
      <c r="A712"/>
      <c r="B712"/>
      <c r="C712"/>
      <c r="D712"/>
      <c r="E712"/>
      <c r="F712"/>
      <c r="G712"/>
      <c r="H712"/>
      <c r="I712"/>
      <c r="J712"/>
    </row>
    <row r="713" spans="1:10" x14ac:dyDescent="0.2">
      <c r="A713"/>
      <c r="B713"/>
      <c r="C713"/>
      <c r="D713"/>
      <c r="E713"/>
      <c r="F713"/>
      <c r="G713"/>
      <c r="H713"/>
      <c r="I713"/>
      <c r="J713"/>
    </row>
    <row r="714" spans="1:10" x14ac:dyDescent="0.2">
      <c r="A714"/>
      <c r="B714"/>
      <c r="C714"/>
      <c r="D714"/>
      <c r="E714"/>
      <c r="F714"/>
      <c r="G714"/>
      <c r="H714"/>
      <c r="I714"/>
      <c r="J714"/>
    </row>
    <row r="715" spans="1:10" x14ac:dyDescent="0.2">
      <c r="A715"/>
      <c r="B715"/>
      <c r="C715"/>
      <c r="D715"/>
      <c r="E715"/>
      <c r="F715"/>
      <c r="G715"/>
      <c r="H715"/>
      <c r="I715"/>
      <c r="J715"/>
    </row>
    <row r="716" spans="1:10" x14ac:dyDescent="0.2">
      <c r="A716"/>
      <c r="B716"/>
      <c r="C716"/>
      <c r="D716"/>
      <c r="E716"/>
      <c r="F716"/>
      <c r="G716"/>
      <c r="H716"/>
      <c r="I716"/>
      <c r="J716"/>
    </row>
    <row r="717" spans="1:10" x14ac:dyDescent="0.2">
      <c r="A717"/>
      <c r="B717"/>
      <c r="C717"/>
      <c r="D717"/>
      <c r="E717"/>
      <c r="F717"/>
      <c r="G717"/>
      <c r="H717"/>
      <c r="I717"/>
      <c r="J717"/>
    </row>
    <row r="718" spans="1:10" x14ac:dyDescent="0.2">
      <c r="A718"/>
      <c r="B718"/>
      <c r="C718"/>
      <c r="D718"/>
      <c r="E718"/>
      <c r="F718"/>
      <c r="G718"/>
      <c r="H718"/>
      <c r="I718"/>
      <c r="J718"/>
    </row>
    <row r="719" spans="1:10" x14ac:dyDescent="0.2">
      <c r="A719"/>
      <c r="B719"/>
      <c r="C719"/>
      <c r="D719"/>
      <c r="E719"/>
      <c r="F719"/>
      <c r="G719"/>
      <c r="H719"/>
      <c r="I719"/>
      <c r="J719"/>
    </row>
    <row r="720" spans="1:10" x14ac:dyDescent="0.2">
      <c r="A720"/>
      <c r="B720"/>
      <c r="C720"/>
      <c r="D720"/>
      <c r="E720"/>
      <c r="F720"/>
      <c r="G720"/>
      <c r="H720"/>
      <c r="I720"/>
      <c r="J720"/>
    </row>
    <row r="721" spans="1:10" x14ac:dyDescent="0.2">
      <c r="A721"/>
      <c r="B721"/>
      <c r="C721"/>
      <c r="D721"/>
      <c r="E721"/>
      <c r="F721"/>
      <c r="G721"/>
      <c r="H721"/>
      <c r="I721"/>
      <c r="J721"/>
    </row>
    <row r="722" spans="1:10" x14ac:dyDescent="0.2">
      <c r="A722"/>
      <c r="B722"/>
      <c r="C722"/>
      <c r="D722"/>
      <c r="E722"/>
      <c r="F722"/>
      <c r="G722"/>
      <c r="H722"/>
      <c r="I722"/>
      <c r="J722"/>
    </row>
    <row r="723" spans="1:10" x14ac:dyDescent="0.2">
      <c r="A723"/>
      <c r="B723"/>
      <c r="C723"/>
      <c r="D723"/>
      <c r="E723"/>
      <c r="F723"/>
      <c r="G723"/>
      <c r="H723"/>
      <c r="I723"/>
      <c r="J723"/>
    </row>
    <row r="724" spans="1:10" x14ac:dyDescent="0.2">
      <c r="A724"/>
      <c r="B724"/>
      <c r="C724"/>
      <c r="D724"/>
      <c r="E724"/>
      <c r="F724"/>
      <c r="G724"/>
      <c r="H724"/>
      <c r="I724"/>
      <c r="J724"/>
    </row>
    <row r="725" spans="1:10" x14ac:dyDescent="0.2">
      <c r="A725"/>
      <c r="B725"/>
      <c r="C725"/>
      <c r="D725"/>
      <c r="E725"/>
      <c r="F725"/>
      <c r="G725"/>
      <c r="H725"/>
      <c r="I725"/>
      <c r="J725"/>
    </row>
    <row r="726" spans="1:10" x14ac:dyDescent="0.2">
      <c r="A726"/>
      <c r="B726"/>
      <c r="C726"/>
      <c r="D726"/>
      <c r="E726"/>
      <c r="F726"/>
      <c r="G726"/>
      <c r="H726"/>
      <c r="I726"/>
      <c r="J726"/>
    </row>
    <row r="727" spans="1:10" x14ac:dyDescent="0.2">
      <c r="A727"/>
      <c r="B727"/>
      <c r="C727"/>
      <c r="D727"/>
      <c r="E727"/>
      <c r="F727"/>
      <c r="G727"/>
      <c r="H727"/>
      <c r="I727"/>
      <c r="J727"/>
    </row>
    <row r="728" spans="1:10" x14ac:dyDescent="0.2">
      <c r="A728"/>
      <c r="B728"/>
      <c r="C728"/>
      <c r="D728"/>
      <c r="E728"/>
      <c r="F728"/>
      <c r="G728"/>
      <c r="H728"/>
      <c r="I728"/>
      <c r="J728"/>
    </row>
    <row r="729" spans="1:10" x14ac:dyDescent="0.2">
      <c r="A729"/>
      <c r="B729"/>
      <c r="C729"/>
      <c r="D729"/>
      <c r="E729"/>
      <c r="F729"/>
      <c r="G729"/>
      <c r="H729"/>
      <c r="I729"/>
      <c r="J729"/>
    </row>
    <row r="730" spans="1:10" x14ac:dyDescent="0.2">
      <c r="A730"/>
      <c r="B730"/>
      <c r="C730"/>
      <c r="D730"/>
      <c r="E730"/>
      <c r="F730"/>
      <c r="G730"/>
      <c r="H730"/>
      <c r="I730"/>
      <c r="J730"/>
    </row>
    <row r="731" spans="1:10" x14ac:dyDescent="0.2">
      <c r="A731"/>
      <c r="B731"/>
      <c r="C731"/>
      <c r="D731"/>
      <c r="E731"/>
      <c r="F731"/>
      <c r="G731"/>
      <c r="H731"/>
      <c r="I731"/>
      <c r="J731"/>
    </row>
    <row r="732" spans="1:10" x14ac:dyDescent="0.2">
      <c r="A732"/>
      <c r="B732"/>
      <c r="C732"/>
      <c r="D732"/>
      <c r="E732"/>
      <c r="F732"/>
      <c r="G732"/>
      <c r="H732"/>
      <c r="I732"/>
      <c r="J732"/>
    </row>
    <row r="733" spans="1:10" x14ac:dyDescent="0.2">
      <c r="A733"/>
      <c r="B733"/>
      <c r="C733"/>
      <c r="D733"/>
      <c r="E733"/>
      <c r="F733"/>
      <c r="G733"/>
      <c r="H733"/>
      <c r="I733"/>
      <c r="J733"/>
    </row>
    <row r="734" spans="1:10" x14ac:dyDescent="0.2">
      <c r="A734"/>
      <c r="B734"/>
      <c r="C734"/>
      <c r="D734"/>
      <c r="E734"/>
      <c r="F734"/>
      <c r="G734"/>
      <c r="H734"/>
      <c r="I734"/>
      <c r="J734"/>
    </row>
    <row r="735" spans="1:10" x14ac:dyDescent="0.2">
      <c r="A735"/>
      <c r="B735"/>
      <c r="C735"/>
      <c r="D735"/>
      <c r="E735"/>
      <c r="F735"/>
      <c r="G735"/>
      <c r="H735"/>
      <c r="I735"/>
      <c r="J735"/>
    </row>
    <row r="736" spans="1:10" x14ac:dyDescent="0.2">
      <c r="A736"/>
      <c r="B736"/>
      <c r="C736"/>
      <c r="D736"/>
      <c r="E736"/>
      <c r="F736"/>
      <c r="G736"/>
      <c r="H736"/>
      <c r="I736"/>
      <c r="J736"/>
    </row>
    <row r="737" spans="1:10" x14ac:dyDescent="0.2">
      <c r="A737"/>
      <c r="B737"/>
      <c r="C737"/>
      <c r="D737"/>
      <c r="E737"/>
      <c r="F737"/>
      <c r="G737"/>
      <c r="H737"/>
      <c r="I737"/>
      <c r="J737"/>
    </row>
    <row r="738" spans="1:10" x14ac:dyDescent="0.2">
      <c r="A738"/>
      <c r="B738"/>
      <c r="C738"/>
      <c r="D738"/>
      <c r="E738"/>
      <c r="F738"/>
      <c r="G738"/>
      <c r="H738"/>
      <c r="I738"/>
      <c r="J738"/>
    </row>
    <row r="739" spans="1:10" x14ac:dyDescent="0.2">
      <c r="A739"/>
      <c r="B739"/>
      <c r="C739"/>
      <c r="D739"/>
      <c r="E739"/>
      <c r="F739"/>
      <c r="G739"/>
      <c r="H739"/>
      <c r="I739"/>
      <c r="J739"/>
    </row>
    <row r="740" spans="1:10" x14ac:dyDescent="0.2">
      <c r="A740"/>
      <c r="B740"/>
      <c r="C740"/>
      <c r="D740"/>
      <c r="E740"/>
      <c r="F740"/>
      <c r="G740"/>
      <c r="H740"/>
      <c r="I740"/>
      <c r="J740"/>
    </row>
    <row r="741" spans="1:10" x14ac:dyDescent="0.2">
      <c r="A741"/>
      <c r="B741"/>
      <c r="C741"/>
      <c r="D741"/>
      <c r="E741"/>
      <c r="F741"/>
      <c r="G741"/>
      <c r="H741"/>
      <c r="I741"/>
      <c r="J741"/>
    </row>
    <row r="742" spans="1:10" x14ac:dyDescent="0.2">
      <c r="A742"/>
      <c r="B742"/>
      <c r="C742"/>
      <c r="D742"/>
      <c r="E742"/>
      <c r="F742"/>
      <c r="G742"/>
      <c r="H742"/>
      <c r="I742"/>
      <c r="J742"/>
    </row>
    <row r="743" spans="1:10" x14ac:dyDescent="0.2">
      <c r="A743"/>
      <c r="B743"/>
      <c r="C743"/>
      <c r="D743"/>
      <c r="E743"/>
      <c r="F743"/>
      <c r="G743"/>
      <c r="H743"/>
      <c r="I743"/>
      <c r="J743"/>
    </row>
    <row r="744" spans="1:10" x14ac:dyDescent="0.2">
      <c r="A744"/>
      <c r="B744"/>
      <c r="C744"/>
      <c r="D744"/>
      <c r="E744"/>
      <c r="F744"/>
      <c r="G744"/>
      <c r="H744"/>
      <c r="I744"/>
      <c r="J744"/>
    </row>
    <row r="745" spans="1:10" x14ac:dyDescent="0.2">
      <c r="A745"/>
      <c r="B745"/>
      <c r="C745"/>
      <c r="D745"/>
      <c r="E745"/>
      <c r="F745"/>
      <c r="G745"/>
      <c r="H745"/>
      <c r="I745"/>
      <c r="J745"/>
    </row>
    <row r="746" spans="1:10" x14ac:dyDescent="0.2">
      <c r="A746"/>
      <c r="B746"/>
      <c r="C746"/>
      <c r="D746"/>
      <c r="E746"/>
      <c r="F746"/>
      <c r="G746"/>
      <c r="H746"/>
      <c r="I746"/>
      <c r="J746"/>
    </row>
    <row r="747" spans="1:10" x14ac:dyDescent="0.2">
      <c r="A747"/>
      <c r="B747"/>
      <c r="C747"/>
      <c r="D747"/>
      <c r="E747"/>
      <c r="F747"/>
      <c r="G747"/>
      <c r="H747"/>
      <c r="I747"/>
      <c r="J747"/>
    </row>
    <row r="748" spans="1:10" x14ac:dyDescent="0.2">
      <c r="A748"/>
      <c r="B748"/>
      <c r="C748"/>
      <c r="D748"/>
      <c r="E748"/>
      <c r="F748"/>
      <c r="G748"/>
      <c r="H748"/>
      <c r="I748"/>
      <c r="J748"/>
    </row>
    <row r="749" spans="1:10" x14ac:dyDescent="0.2">
      <c r="A749"/>
      <c r="B749"/>
      <c r="C749"/>
      <c r="D749"/>
      <c r="E749"/>
      <c r="F749"/>
      <c r="G749"/>
      <c r="H749"/>
      <c r="I749"/>
      <c r="J749"/>
    </row>
    <row r="750" spans="1:10" x14ac:dyDescent="0.2">
      <c r="A750"/>
      <c r="B750"/>
      <c r="C750"/>
      <c r="D750"/>
      <c r="E750"/>
      <c r="F750"/>
      <c r="G750"/>
      <c r="H750"/>
      <c r="I750"/>
      <c r="J750"/>
    </row>
    <row r="751" spans="1:10" x14ac:dyDescent="0.2">
      <c r="A751"/>
      <c r="B751"/>
      <c r="C751"/>
      <c r="D751"/>
      <c r="E751"/>
      <c r="F751"/>
      <c r="G751"/>
      <c r="H751"/>
      <c r="I751"/>
      <c r="J751"/>
    </row>
    <row r="752" spans="1:10" x14ac:dyDescent="0.2">
      <c r="A752"/>
      <c r="B752"/>
      <c r="C752"/>
      <c r="D752"/>
      <c r="E752"/>
      <c r="F752"/>
      <c r="G752"/>
      <c r="H752"/>
      <c r="I752"/>
      <c r="J752"/>
    </row>
    <row r="753" spans="1:10" x14ac:dyDescent="0.2">
      <c r="A753"/>
      <c r="B753"/>
      <c r="C753"/>
      <c r="D753"/>
      <c r="E753"/>
      <c r="F753"/>
      <c r="G753"/>
      <c r="H753"/>
      <c r="I753"/>
      <c r="J753"/>
    </row>
    <row r="754" spans="1:10" x14ac:dyDescent="0.2">
      <c r="A754"/>
      <c r="B754"/>
      <c r="C754"/>
      <c r="D754"/>
      <c r="E754"/>
      <c r="F754"/>
      <c r="G754"/>
      <c r="H754"/>
      <c r="I754"/>
      <c r="J754"/>
    </row>
    <row r="755" spans="1:10" x14ac:dyDescent="0.2">
      <c r="A755"/>
      <c r="B755"/>
      <c r="C755"/>
      <c r="D755"/>
      <c r="E755"/>
      <c r="F755"/>
      <c r="G755"/>
      <c r="H755"/>
      <c r="I755"/>
      <c r="J755"/>
    </row>
    <row r="756" spans="1:10" x14ac:dyDescent="0.2">
      <c r="A756"/>
      <c r="B756"/>
      <c r="C756"/>
      <c r="D756"/>
      <c r="E756"/>
      <c r="F756"/>
      <c r="G756"/>
      <c r="H756"/>
      <c r="I756"/>
      <c r="J756"/>
    </row>
    <row r="757" spans="1:10" x14ac:dyDescent="0.2">
      <c r="A757"/>
      <c r="B757"/>
      <c r="C757"/>
      <c r="D757"/>
      <c r="E757"/>
      <c r="F757"/>
      <c r="G757"/>
      <c r="H757"/>
      <c r="I757"/>
      <c r="J757"/>
    </row>
    <row r="758" spans="1:10" x14ac:dyDescent="0.2">
      <c r="A758"/>
      <c r="B758"/>
      <c r="C758"/>
      <c r="D758"/>
      <c r="E758"/>
      <c r="F758"/>
      <c r="G758"/>
      <c r="H758"/>
      <c r="I758"/>
      <c r="J758"/>
    </row>
    <row r="759" spans="1:10" x14ac:dyDescent="0.2">
      <c r="A759"/>
      <c r="B759"/>
      <c r="C759"/>
      <c r="D759"/>
      <c r="E759"/>
      <c r="F759"/>
      <c r="G759"/>
      <c r="H759"/>
      <c r="I759"/>
      <c r="J759"/>
    </row>
    <row r="760" spans="1:10" x14ac:dyDescent="0.2">
      <c r="A760"/>
      <c r="B760"/>
      <c r="C760"/>
      <c r="D760"/>
      <c r="E760"/>
      <c r="F760"/>
      <c r="G760"/>
      <c r="H760"/>
      <c r="I760"/>
      <c r="J760"/>
    </row>
    <row r="761" spans="1:10" x14ac:dyDescent="0.2">
      <c r="A761"/>
      <c r="B761"/>
      <c r="C761"/>
      <c r="D761"/>
      <c r="E761"/>
      <c r="F761"/>
      <c r="G761"/>
      <c r="H761"/>
      <c r="I761"/>
      <c r="J761"/>
    </row>
    <row r="762" spans="1:10" x14ac:dyDescent="0.2">
      <c r="A762"/>
      <c r="B762"/>
      <c r="C762"/>
      <c r="D762"/>
      <c r="E762"/>
      <c r="F762"/>
      <c r="G762"/>
      <c r="H762"/>
      <c r="I762"/>
      <c r="J762"/>
    </row>
    <row r="763" spans="1:10" x14ac:dyDescent="0.2">
      <c r="A763"/>
      <c r="B763"/>
      <c r="C763"/>
      <c r="D763"/>
      <c r="E763"/>
      <c r="F763"/>
      <c r="G763"/>
      <c r="H763"/>
      <c r="I763"/>
      <c r="J763"/>
    </row>
    <row r="764" spans="1:10" x14ac:dyDescent="0.2">
      <c r="A764"/>
      <c r="B764"/>
      <c r="C764"/>
      <c r="D764"/>
      <c r="E764"/>
      <c r="F764"/>
      <c r="G764"/>
      <c r="H764"/>
      <c r="I764"/>
      <c r="J764"/>
    </row>
    <row r="765" spans="1:10" x14ac:dyDescent="0.2">
      <c r="A765"/>
      <c r="B765"/>
      <c r="C765"/>
      <c r="D765"/>
      <c r="E765"/>
      <c r="F765"/>
      <c r="G765"/>
      <c r="H765"/>
      <c r="I765"/>
      <c r="J765"/>
    </row>
    <row r="766" spans="1:10" x14ac:dyDescent="0.2">
      <c r="A766"/>
      <c r="B766"/>
      <c r="C766"/>
      <c r="D766"/>
      <c r="E766"/>
      <c r="F766"/>
      <c r="G766"/>
      <c r="H766"/>
      <c r="I766"/>
      <c r="J766"/>
    </row>
    <row r="767" spans="1:10" x14ac:dyDescent="0.2">
      <c r="A767"/>
      <c r="B767"/>
      <c r="C767"/>
      <c r="D767"/>
      <c r="E767"/>
      <c r="F767"/>
      <c r="G767"/>
      <c r="H767"/>
      <c r="I767"/>
      <c r="J767"/>
    </row>
    <row r="768" spans="1:10" x14ac:dyDescent="0.2">
      <c r="A768"/>
      <c r="B768"/>
      <c r="C768"/>
      <c r="D768"/>
      <c r="E768"/>
      <c r="F768"/>
      <c r="G768"/>
      <c r="H768"/>
      <c r="I768"/>
      <c r="J768"/>
    </row>
    <row r="769" spans="1:10" x14ac:dyDescent="0.2">
      <c r="A769"/>
      <c r="B769"/>
      <c r="C769"/>
      <c r="D769"/>
      <c r="E769"/>
      <c r="F769"/>
      <c r="G769"/>
      <c r="H769"/>
      <c r="I769"/>
      <c r="J769"/>
    </row>
    <row r="770" spans="1:10" x14ac:dyDescent="0.2">
      <c r="A770"/>
      <c r="B770"/>
      <c r="C770"/>
      <c r="D770"/>
      <c r="E770"/>
      <c r="F770"/>
      <c r="G770"/>
      <c r="H770"/>
      <c r="I770"/>
      <c r="J770"/>
    </row>
    <row r="771" spans="1:10" x14ac:dyDescent="0.2">
      <c r="A771"/>
      <c r="B771"/>
      <c r="C771"/>
      <c r="D771"/>
      <c r="E771"/>
      <c r="F771"/>
      <c r="G771"/>
      <c r="H771"/>
      <c r="I771"/>
      <c r="J771"/>
    </row>
    <row r="772" spans="1:10" x14ac:dyDescent="0.2">
      <c r="A772"/>
      <c r="B772"/>
      <c r="C772"/>
      <c r="D772"/>
      <c r="E772"/>
      <c r="F772"/>
      <c r="G772"/>
      <c r="H772"/>
      <c r="I772"/>
      <c r="J772"/>
    </row>
    <row r="773" spans="1:10" x14ac:dyDescent="0.2">
      <c r="A773"/>
      <c r="B773"/>
      <c r="C773"/>
      <c r="D773"/>
      <c r="E773"/>
      <c r="F773"/>
      <c r="G773"/>
      <c r="H773"/>
      <c r="I773"/>
      <c r="J773"/>
    </row>
    <row r="774" spans="1:10" x14ac:dyDescent="0.2">
      <c r="A774"/>
      <c r="B774"/>
      <c r="C774"/>
      <c r="D774"/>
      <c r="E774"/>
      <c r="F774"/>
      <c r="G774"/>
      <c r="H774"/>
      <c r="I774"/>
      <c r="J774"/>
    </row>
    <row r="775" spans="1:10" x14ac:dyDescent="0.2">
      <c r="A775"/>
      <c r="B775"/>
      <c r="C775"/>
      <c r="D775"/>
      <c r="E775"/>
      <c r="F775"/>
      <c r="G775"/>
      <c r="H775"/>
      <c r="I775"/>
      <c r="J775"/>
    </row>
    <row r="776" spans="1:10" x14ac:dyDescent="0.2">
      <c r="A776"/>
      <c r="B776"/>
      <c r="C776"/>
      <c r="D776"/>
      <c r="E776"/>
      <c r="F776"/>
      <c r="G776"/>
      <c r="H776"/>
      <c r="I776"/>
      <c r="J776"/>
    </row>
    <row r="777" spans="1:10" x14ac:dyDescent="0.2">
      <c r="A777"/>
      <c r="B777"/>
      <c r="C777"/>
      <c r="D777"/>
      <c r="E777"/>
      <c r="F777"/>
      <c r="G777"/>
      <c r="H777"/>
      <c r="I777"/>
      <c r="J777"/>
    </row>
    <row r="778" spans="1:10" x14ac:dyDescent="0.2">
      <c r="A778"/>
      <c r="B778"/>
      <c r="C778"/>
      <c r="D778"/>
      <c r="E778"/>
      <c r="F778"/>
      <c r="G778"/>
      <c r="H778"/>
      <c r="I778"/>
      <c r="J778"/>
    </row>
    <row r="779" spans="1:10" x14ac:dyDescent="0.2">
      <c r="A779"/>
      <c r="B779"/>
      <c r="C779"/>
      <c r="D779"/>
      <c r="E779"/>
      <c r="F779"/>
      <c r="G779"/>
      <c r="H779"/>
      <c r="I779"/>
      <c r="J779"/>
    </row>
    <row r="780" spans="1:10" x14ac:dyDescent="0.2">
      <c r="A780"/>
      <c r="B780"/>
      <c r="C780"/>
      <c r="D780"/>
      <c r="E780"/>
      <c r="F780"/>
      <c r="G780"/>
      <c r="H780"/>
      <c r="I780"/>
      <c r="J780"/>
    </row>
    <row r="781" spans="1:10" x14ac:dyDescent="0.2">
      <c r="A781"/>
      <c r="B781"/>
      <c r="C781"/>
      <c r="D781"/>
      <c r="E781"/>
      <c r="F781"/>
      <c r="G781"/>
      <c r="H781"/>
      <c r="I781"/>
      <c r="J781"/>
    </row>
    <row r="782" spans="1:10" x14ac:dyDescent="0.2">
      <c r="A782"/>
      <c r="B782"/>
      <c r="C782"/>
      <c r="D782"/>
      <c r="E782"/>
      <c r="F782"/>
      <c r="G782"/>
      <c r="H782"/>
      <c r="I782"/>
      <c r="J782"/>
    </row>
    <row r="783" spans="1:10" x14ac:dyDescent="0.2">
      <c r="A783"/>
      <c r="B783"/>
      <c r="C783"/>
      <c r="D783"/>
      <c r="E783"/>
      <c r="F783"/>
      <c r="G783"/>
      <c r="H783"/>
      <c r="I783"/>
      <c r="J783"/>
    </row>
    <row r="784" spans="1:10" x14ac:dyDescent="0.2">
      <c r="A784"/>
      <c r="B784"/>
      <c r="C784"/>
      <c r="D784"/>
      <c r="E784"/>
      <c r="F784"/>
      <c r="G784"/>
      <c r="H784"/>
      <c r="I784"/>
      <c r="J784"/>
    </row>
    <row r="785" spans="1:10" x14ac:dyDescent="0.2">
      <c r="A785"/>
      <c r="B785"/>
      <c r="C785"/>
      <c r="D785"/>
      <c r="E785"/>
      <c r="F785"/>
      <c r="G785"/>
      <c r="H785"/>
      <c r="I785"/>
      <c r="J785"/>
    </row>
    <row r="786" spans="1:10" x14ac:dyDescent="0.2">
      <c r="A786"/>
      <c r="B786"/>
      <c r="C786"/>
      <c r="D786"/>
      <c r="E786"/>
      <c r="F786"/>
      <c r="G786"/>
      <c r="H786"/>
      <c r="I786"/>
      <c r="J786"/>
    </row>
    <row r="787" spans="1:10" x14ac:dyDescent="0.2">
      <c r="A787"/>
      <c r="B787"/>
      <c r="C787"/>
      <c r="D787"/>
      <c r="E787"/>
      <c r="F787"/>
      <c r="G787"/>
      <c r="H787"/>
      <c r="I787"/>
      <c r="J787"/>
    </row>
    <row r="788" spans="1:10" x14ac:dyDescent="0.2">
      <c r="A788"/>
      <c r="B788"/>
      <c r="C788"/>
      <c r="D788"/>
      <c r="E788"/>
      <c r="F788"/>
      <c r="G788"/>
      <c r="H788"/>
      <c r="I788"/>
      <c r="J788"/>
    </row>
    <row r="789" spans="1:10" x14ac:dyDescent="0.2">
      <c r="A789"/>
      <c r="B789"/>
      <c r="C789"/>
      <c r="D789"/>
      <c r="E789"/>
      <c r="F789"/>
      <c r="G789"/>
      <c r="H789"/>
      <c r="I789"/>
      <c r="J789"/>
    </row>
    <row r="790" spans="1:10" x14ac:dyDescent="0.2">
      <c r="A790"/>
      <c r="B790"/>
      <c r="C790"/>
      <c r="D790"/>
      <c r="E790"/>
      <c r="F790"/>
      <c r="G790"/>
      <c r="H790"/>
      <c r="I790"/>
      <c r="J790"/>
    </row>
    <row r="791" spans="1:10" x14ac:dyDescent="0.2">
      <c r="A791"/>
      <c r="B791"/>
      <c r="C791"/>
      <c r="D791"/>
      <c r="E791"/>
      <c r="F791"/>
      <c r="G791"/>
      <c r="H791"/>
      <c r="I791"/>
      <c r="J791"/>
    </row>
    <row r="792" spans="1:10" x14ac:dyDescent="0.2">
      <c r="A792"/>
      <c r="B792"/>
      <c r="C792"/>
      <c r="D792"/>
      <c r="E792"/>
      <c r="F792"/>
      <c r="G792"/>
      <c r="H792"/>
      <c r="I792"/>
      <c r="J792"/>
    </row>
    <row r="793" spans="1:10" x14ac:dyDescent="0.2">
      <c r="A793"/>
      <c r="B793"/>
      <c r="C793"/>
      <c r="D793"/>
      <c r="E793"/>
      <c r="F793"/>
      <c r="G793"/>
      <c r="H793"/>
      <c r="I793"/>
      <c r="J793"/>
    </row>
    <row r="794" spans="1:10" x14ac:dyDescent="0.2">
      <c r="A794"/>
      <c r="B794"/>
      <c r="C794"/>
      <c r="D794"/>
      <c r="E794"/>
      <c r="F794"/>
      <c r="G794"/>
      <c r="H794"/>
      <c r="I794"/>
      <c r="J794"/>
    </row>
    <row r="795" spans="1:10" x14ac:dyDescent="0.2">
      <c r="A795"/>
      <c r="B795"/>
      <c r="C795"/>
      <c r="D795"/>
      <c r="E795"/>
      <c r="F795"/>
      <c r="G795"/>
      <c r="H795"/>
      <c r="I795"/>
      <c r="J795"/>
    </row>
    <row r="796" spans="1:10" x14ac:dyDescent="0.2">
      <c r="A796"/>
      <c r="B796"/>
      <c r="C796"/>
      <c r="D796"/>
      <c r="E796"/>
      <c r="F796"/>
      <c r="G796"/>
      <c r="H796"/>
      <c r="I796"/>
      <c r="J796"/>
    </row>
    <row r="797" spans="1:10" x14ac:dyDescent="0.2">
      <c r="A797"/>
      <c r="B797"/>
      <c r="C797"/>
      <c r="D797"/>
      <c r="E797"/>
      <c r="F797"/>
      <c r="G797"/>
      <c r="H797"/>
      <c r="I797"/>
      <c r="J797"/>
    </row>
    <row r="798" spans="1:10" x14ac:dyDescent="0.2">
      <c r="A798"/>
      <c r="B798"/>
      <c r="C798"/>
      <c r="D798"/>
      <c r="E798"/>
      <c r="F798"/>
      <c r="G798"/>
      <c r="H798"/>
      <c r="I798"/>
      <c r="J798"/>
    </row>
    <row r="799" spans="1:10" x14ac:dyDescent="0.2">
      <c r="A799"/>
      <c r="B799"/>
      <c r="C799"/>
      <c r="D799"/>
      <c r="E799"/>
      <c r="F799"/>
      <c r="G799"/>
      <c r="H799"/>
      <c r="I799"/>
      <c r="J799"/>
    </row>
    <row r="800" spans="1:10" x14ac:dyDescent="0.2">
      <c r="A800"/>
      <c r="B800"/>
      <c r="C800"/>
      <c r="D800"/>
      <c r="E800"/>
      <c r="F800"/>
      <c r="G800"/>
      <c r="H800"/>
      <c r="I800"/>
      <c r="J800"/>
    </row>
    <row r="801" spans="1:10" x14ac:dyDescent="0.2">
      <c r="A801"/>
      <c r="B801"/>
      <c r="C801"/>
      <c r="D801"/>
      <c r="E801"/>
      <c r="F801"/>
      <c r="G801"/>
      <c r="H801"/>
      <c r="I801"/>
      <c r="J801"/>
    </row>
    <row r="802" spans="1:10" x14ac:dyDescent="0.2">
      <c r="A802"/>
      <c r="B802"/>
      <c r="C802"/>
      <c r="D802"/>
      <c r="E802"/>
      <c r="F802"/>
      <c r="G802"/>
      <c r="H802"/>
      <c r="I802"/>
      <c r="J802"/>
    </row>
    <row r="803" spans="1:10" x14ac:dyDescent="0.2">
      <c r="A803"/>
      <c r="B803"/>
      <c r="C803"/>
      <c r="D803"/>
      <c r="E803"/>
      <c r="F803"/>
      <c r="G803"/>
      <c r="H803"/>
      <c r="I803"/>
      <c r="J803"/>
    </row>
    <row r="804" spans="1:10" x14ac:dyDescent="0.2">
      <c r="A804"/>
      <c r="B804"/>
      <c r="C804"/>
      <c r="D804"/>
      <c r="E804"/>
      <c r="F804"/>
      <c r="G804"/>
      <c r="H804"/>
      <c r="I804"/>
      <c r="J804"/>
    </row>
    <row r="805" spans="1:10" x14ac:dyDescent="0.2">
      <c r="A805"/>
      <c r="B805"/>
      <c r="C805"/>
      <c r="D805"/>
      <c r="E805"/>
      <c r="F805"/>
      <c r="G805"/>
      <c r="H805"/>
      <c r="I805"/>
      <c r="J805"/>
    </row>
    <row r="806" spans="1:10" x14ac:dyDescent="0.2">
      <c r="A806"/>
      <c r="B806"/>
      <c r="C806"/>
      <c r="D806"/>
      <c r="E806"/>
      <c r="F806"/>
      <c r="G806"/>
      <c r="H806"/>
      <c r="I806"/>
      <c r="J806"/>
    </row>
    <row r="807" spans="1:10" x14ac:dyDescent="0.2">
      <c r="A807"/>
      <c r="B807"/>
      <c r="C807"/>
      <c r="D807"/>
      <c r="E807"/>
      <c r="F807"/>
      <c r="G807"/>
      <c r="H807"/>
      <c r="I807"/>
      <c r="J807"/>
    </row>
    <row r="808" spans="1:10" x14ac:dyDescent="0.2">
      <c r="A808"/>
      <c r="B808"/>
      <c r="C808"/>
      <c r="D808"/>
      <c r="E808"/>
      <c r="F808"/>
      <c r="G808"/>
      <c r="H808"/>
      <c r="I808"/>
      <c r="J808"/>
    </row>
    <row r="809" spans="1:10" x14ac:dyDescent="0.2">
      <c r="A809"/>
      <c r="B809"/>
      <c r="C809"/>
      <c r="D809"/>
      <c r="E809"/>
      <c r="F809"/>
      <c r="G809"/>
      <c r="H809"/>
      <c r="I809"/>
      <c r="J809"/>
    </row>
    <row r="810" spans="1:10" x14ac:dyDescent="0.2">
      <c r="A810"/>
      <c r="B810"/>
      <c r="C810"/>
      <c r="D810"/>
      <c r="E810"/>
      <c r="F810"/>
      <c r="G810"/>
      <c r="H810"/>
      <c r="I810"/>
      <c r="J810"/>
    </row>
    <row r="811" spans="1:10" x14ac:dyDescent="0.2">
      <c r="A811"/>
      <c r="B811"/>
      <c r="C811"/>
      <c r="D811"/>
      <c r="E811"/>
      <c r="F811"/>
      <c r="G811"/>
      <c r="H811"/>
      <c r="I811"/>
      <c r="J811"/>
    </row>
    <row r="812" spans="1:10" x14ac:dyDescent="0.2">
      <c r="A812"/>
      <c r="B812"/>
      <c r="C812"/>
      <c r="D812"/>
      <c r="E812"/>
      <c r="F812"/>
      <c r="G812"/>
      <c r="H812"/>
      <c r="I812"/>
      <c r="J812"/>
    </row>
    <row r="813" spans="1:10" x14ac:dyDescent="0.2">
      <c r="A813"/>
      <c r="B813"/>
      <c r="C813"/>
      <c r="D813"/>
      <c r="E813"/>
      <c r="F813"/>
      <c r="G813"/>
      <c r="H813"/>
      <c r="I813"/>
      <c r="J813"/>
    </row>
    <row r="814" spans="1:10" x14ac:dyDescent="0.2">
      <c r="A814"/>
      <c r="B814"/>
      <c r="C814"/>
      <c r="D814"/>
      <c r="E814"/>
      <c r="F814"/>
      <c r="G814"/>
      <c r="H814"/>
      <c r="I814"/>
      <c r="J814"/>
    </row>
    <row r="815" spans="1:10" x14ac:dyDescent="0.2">
      <c r="A815"/>
      <c r="B815"/>
      <c r="C815"/>
      <c r="D815"/>
      <c r="E815"/>
      <c r="F815"/>
      <c r="G815"/>
      <c r="H815"/>
      <c r="I815"/>
      <c r="J815"/>
    </row>
    <row r="816" spans="1:10" x14ac:dyDescent="0.2">
      <c r="A816"/>
      <c r="B816"/>
      <c r="C816"/>
      <c r="D816"/>
      <c r="E816"/>
      <c r="F816"/>
      <c r="G816"/>
      <c r="H816"/>
      <c r="I816"/>
      <c r="J816"/>
    </row>
    <row r="817" spans="1:10" x14ac:dyDescent="0.2">
      <c r="A817"/>
      <c r="B817"/>
      <c r="C817"/>
      <c r="D817"/>
      <c r="E817"/>
      <c r="F817"/>
      <c r="G817"/>
      <c r="H817"/>
      <c r="I817"/>
      <c r="J817"/>
    </row>
    <row r="818" spans="1:10" x14ac:dyDescent="0.2">
      <c r="A818"/>
      <c r="B818"/>
      <c r="C818"/>
      <c r="D818"/>
      <c r="E818"/>
      <c r="F818"/>
      <c r="G818"/>
      <c r="H818"/>
      <c r="I818"/>
      <c r="J818"/>
    </row>
    <row r="819" spans="1:10" x14ac:dyDescent="0.2">
      <c r="A819"/>
      <c r="B819"/>
      <c r="C819"/>
      <c r="D819"/>
      <c r="E819"/>
      <c r="F819"/>
      <c r="G819"/>
      <c r="H819"/>
      <c r="I819"/>
      <c r="J819"/>
    </row>
    <row r="820" spans="1:10" x14ac:dyDescent="0.2">
      <c r="A820"/>
      <c r="B820"/>
      <c r="C820"/>
      <c r="D820"/>
      <c r="E820"/>
      <c r="F820"/>
      <c r="G820"/>
      <c r="H820"/>
      <c r="I820"/>
      <c r="J820"/>
    </row>
    <row r="821" spans="1:10" x14ac:dyDescent="0.2">
      <c r="A821"/>
      <c r="B821"/>
      <c r="C821"/>
      <c r="D821"/>
      <c r="E821"/>
      <c r="F821"/>
      <c r="G821"/>
      <c r="H821"/>
      <c r="I821"/>
      <c r="J821"/>
    </row>
    <row r="822" spans="1:10" x14ac:dyDescent="0.2">
      <c r="A822"/>
      <c r="B822"/>
      <c r="C822"/>
      <c r="D822"/>
      <c r="E822"/>
      <c r="F822"/>
      <c r="G822"/>
      <c r="H822"/>
      <c r="I822"/>
      <c r="J822"/>
    </row>
    <row r="823" spans="1:10" x14ac:dyDescent="0.2">
      <c r="A823"/>
      <c r="B823"/>
      <c r="C823"/>
      <c r="D823"/>
      <c r="E823"/>
      <c r="F823"/>
      <c r="G823"/>
      <c r="H823"/>
      <c r="I823"/>
      <c r="J823"/>
    </row>
    <row r="824" spans="1:10" x14ac:dyDescent="0.2">
      <c r="A824"/>
      <c r="B824"/>
      <c r="C824"/>
      <c r="D824"/>
      <c r="E824"/>
      <c r="F824"/>
      <c r="G824"/>
      <c r="H824"/>
      <c r="I824"/>
      <c r="J824"/>
    </row>
    <row r="825" spans="1:10" x14ac:dyDescent="0.2">
      <c r="A825"/>
      <c r="B825"/>
      <c r="C825"/>
      <c r="D825"/>
      <c r="E825"/>
      <c r="F825"/>
      <c r="G825"/>
      <c r="H825"/>
      <c r="I825"/>
      <c r="J825"/>
    </row>
    <row r="826" spans="1:10" x14ac:dyDescent="0.2">
      <c r="A826"/>
      <c r="B826"/>
      <c r="C826"/>
      <c r="D826"/>
      <c r="E826"/>
      <c r="F826"/>
      <c r="G826"/>
      <c r="H826"/>
      <c r="I826"/>
      <c r="J826"/>
    </row>
    <row r="827" spans="1:10" x14ac:dyDescent="0.2">
      <c r="A827"/>
      <c r="B827"/>
      <c r="C827"/>
      <c r="D827"/>
      <c r="E827"/>
      <c r="F827"/>
      <c r="G827"/>
      <c r="H827"/>
      <c r="I827"/>
      <c r="J827"/>
    </row>
    <row r="828" spans="1:10" x14ac:dyDescent="0.2">
      <c r="A828"/>
      <c r="B828"/>
      <c r="C828"/>
      <c r="D828"/>
      <c r="E828"/>
      <c r="F828"/>
      <c r="G828"/>
      <c r="H828"/>
      <c r="I828"/>
      <c r="J828"/>
    </row>
    <row r="829" spans="1:10" x14ac:dyDescent="0.2">
      <c r="A829"/>
      <c r="B829"/>
      <c r="C829"/>
      <c r="D829"/>
      <c r="E829"/>
      <c r="F829"/>
      <c r="G829"/>
      <c r="H829"/>
      <c r="I829"/>
      <c r="J829"/>
    </row>
    <row r="830" spans="1:10" x14ac:dyDescent="0.2">
      <c r="A830"/>
      <c r="B830"/>
      <c r="C830"/>
      <c r="D830"/>
      <c r="E830"/>
      <c r="F830"/>
      <c r="G830"/>
      <c r="H830"/>
      <c r="I830"/>
      <c r="J830"/>
    </row>
    <row r="831" spans="1:10" x14ac:dyDescent="0.2">
      <c r="A831"/>
      <c r="B831"/>
      <c r="C831"/>
      <c r="D831"/>
      <c r="E831"/>
      <c r="F831"/>
      <c r="G831"/>
      <c r="H831"/>
      <c r="I831"/>
      <c r="J831"/>
    </row>
    <row r="832" spans="1:10" x14ac:dyDescent="0.2">
      <c r="A832"/>
      <c r="B832"/>
      <c r="C832"/>
      <c r="D832"/>
      <c r="E832"/>
      <c r="F832"/>
      <c r="G832"/>
      <c r="H832"/>
      <c r="I832"/>
      <c r="J832"/>
    </row>
    <row r="833" spans="1:10" x14ac:dyDescent="0.2">
      <c r="A833"/>
      <c r="B833"/>
      <c r="C833"/>
      <c r="D833"/>
      <c r="E833"/>
      <c r="F833"/>
      <c r="G833"/>
      <c r="H833"/>
      <c r="I833"/>
      <c r="J833"/>
    </row>
    <row r="834" spans="1:10" x14ac:dyDescent="0.2">
      <c r="A834"/>
      <c r="B834"/>
      <c r="C834"/>
      <c r="D834"/>
      <c r="E834"/>
      <c r="F834"/>
      <c r="G834"/>
      <c r="H834"/>
      <c r="I834"/>
      <c r="J834"/>
    </row>
    <row r="835" spans="1:10" x14ac:dyDescent="0.2">
      <c r="A835"/>
      <c r="B835"/>
      <c r="C835"/>
      <c r="D835"/>
      <c r="E835"/>
      <c r="F835"/>
      <c r="G835"/>
      <c r="H835"/>
      <c r="I835"/>
      <c r="J835"/>
    </row>
    <row r="836" spans="1:10" x14ac:dyDescent="0.2">
      <c r="A836"/>
      <c r="B836"/>
      <c r="C836"/>
      <c r="D836"/>
      <c r="E836"/>
      <c r="F836"/>
      <c r="G836"/>
      <c r="H836"/>
      <c r="I836"/>
      <c r="J836"/>
    </row>
    <row r="837" spans="1:10" x14ac:dyDescent="0.2">
      <c r="A837"/>
      <c r="B837"/>
      <c r="C837"/>
      <c r="D837"/>
      <c r="E837"/>
      <c r="F837"/>
      <c r="G837"/>
      <c r="H837"/>
      <c r="I837"/>
      <c r="J837"/>
    </row>
    <row r="838" spans="1:10" x14ac:dyDescent="0.2">
      <c r="A838"/>
      <c r="B838"/>
      <c r="C838"/>
      <c r="D838"/>
      <c r="E838"/>
      <c r="F838"/>
      <c r="G838"/>
      <c r="H838"/>
      <c r="I838"/>
      <c r="J838"/>
    </row>
    <row r="839" spans="1:10" x14ac:dyDescent="0.2">
      <c r="A839"/>
      <c r="B839"/>
      <c r="C839"/>
      <c r="D839"/>
      <c r="E839"/>
      <c r="F839"/>
      <c r="G839"/>
      <c r="H839"/>
      <c r="I839"/>
      <c r="J839"/>
    </row>
    <row r="840" spans="1:10" x14ac:dyDescent="0.2">
      <c r="A840"/>
      <c r="B840"/>
      <c r="C840"/>
      <c r="D840"/>
      <c r="E840"/>
      <c r="F840"/>
      <c r="G840"/>
      <c r="H840"/>
      <c r="I840"/>
      <c r="J840"/>
    </row>
    <row r="841" spans="1:10" x14ac:dyDescent="0.2">
      <c r="A841"/>
      <c r="B841"/>
      <c r="C841"/>
      <c r="D841"/>
      <c r="E841"/>
      <c r="F841"/>
      <c r="G841"/>
      <c r="H841"/>
      <c r="I841"/>
      <c r="J841"/>
    </row>
    <row r="842" spans="1:10" x14ac:dyDescent="0.2">
      <c r="A842"/>
      <c r="B842"/>
      <c r="C842"/>
      <c r="D842"/>
      <c r="E842"/>
      <c r="F842"/>
      <c r="G842"/>
      <c r="H842"/>
      <c r="I842"/>
      <c r="J842"/>
    </row>
    <row r="843" spans="1:10" x14ac:dyDescent="0.2">
      <c r="A843"/>
      <c r="B843"/>
      <c r="C843"/>
      <c r="D843"/>
      <c r="E843"/>
      <c r="F843"/>
      <c r="G843"/>
      <c r="H843"/>
      <c r="I843"/>
      <c r="J843"/>
    </row>
    <row r="844" spans="1:10" x14ac:dyDescent="0.2">
      <c r="A844"/>
      <c r="B844"/>
      <c r="C844"/>
      <c r="D844"/>
      <c r="E844"/>
      <c r="F844"/>
      <c r="G844"/>
      <c r="H844"/>
      <c r="I844"/>
      <c r="J844"/>
    </row>
    <row r="845" spans="1:10" x14ac:dyDescent="0.2">
      <c r="A845"/>
      <c r="B845"/>
      <c r="C845"/>
      <c r="D845"/>
      <c r="E845"/>
      <c r="F845"/>
      <c r="G845"/>
      <c r="H845"/>
      <c r="I845"/>
      <c r="J845"/>
    </row>
    <row r="846" spans="1:10" x14ac:dyDescent="0.2">
      <c r="A846"/>
      <c r="B846"/>
      <c r="C846"/>
      <c r="D846"/>
      <c r="E846"/>
      <c r="F846"/>
      <c r="G846"/>
      <c r="H846"/>
      <c r="I846"/>
      <c r="J846"/>
    </row>
    <row r="847" spans="1:10" x14ac:dyDescent="0.2">
      <c r="A847"/>
      <c r="B847"/>
      <c r="C847"/>
      <c r="D847"/>
      <c r="E847"/>
      <c r="F847"/>
      <c r="G847"/>
      <c r="H847"/>
      <c r="I847"/>
      <c r="J847"/>
    </row>
    <row r="848" spans="1:10" x14ac:dyDescent="0.2">
      <c r="A848"/>
      <c r="B848"/>
      <c r="C848"/>
      <c r="D848"/>
      <c r="E848"/>
      <c r="F848"/>
      <c r="G848"/>
      <c r="H848"/>
      <c r="I848"/>
      <c r="J848"/>
    </row>
    <row r="849" spans="1:10" x14ac:dyDescent="0.2">
      <c r="A849"/>
      <c r="B849"/>
      <c r="C849"/>
      <c r="D849"/>
      <c r="E849"/>
      <c r="F849"/>
      <c r="G849"/>
      <c r="H849"/>
      <c r="I849"/>
      <c r="J849"/>
    </row>
    <row r="850" spans="1:10" x14ac:dyDescent="0.2">
      <c r="A850"/>
      <c r="B850"/>
      <c r="C850"/>
      <c r="D850"/>
      <c r="E850"/>
      <c r="F850"/>
      <c r="G850"/>
      <c r="H850"/>
      <c r="I850"/>
      <c r="J850"/>
    </row>
    <row r="851" spans="1:10" x14ac:dyDescent="0.2">
      <c r="A851"/>
      <c r="B851"/>
      <c r="C851"/>
      <c r="D851"/>
      <c r="E851"/>
      <c r="F851"/>
      <c r="G851"/>
      <c r="H851"/>
      <c r="I851"/>
      <c r="J851"/>
    </row>
    <row r="852" spans="1:10" x14ac:dyDescent="0.2">
      <c r="A852"/>
      <c r="B852"/>
      <c r="C852"/>
      <c r="D852"/>
      <c r="E852"/>
      <c r="F852"/>
      <c r="G852"/>
      <c r="H852"/>
      <c r="I852"/>
      <c r="J852"/>
    </row>
    <row r="853" spans="1:10" x14ac:dyDescent="0.2">
      <c r="A853"/>
      <c r="B853"/>
      <c r="C853"/>
      <c r="D853"/>
      <c r="E853"/>
      <c r="F853"/>
      <c r="G853"/>
      <c r="H853"/>
      <c r="I853"/>
      <c r="J853"/>
    </row>
    <row r="854" spans="1:10" x14ac:dyDescent="0.2">
      <c r="A854"/>
      <c r="B854"/>
      <c r="C854"/>
      <c r="D854"/>
      <c r="E854"/>
      <c r="F854"/>
      <c r="G854"/>
      <c r="H854"/>
      <c r="I854"/>
      <c r="J854"/>
    </row>
    <row r="855" spans="1:10" x14ac:dyDescent="0.2">
      <c r="A855"/>
      <c r="B855"/>
      <c r="C855"/>
      <c r="D855"/>
      <c r="E855"/>
      <c r="F855"/>
      <c r="G855"/>
      <c r="H855"/>
      <c r="I855"/>
      <c r="J855"/>
    </row>
    <row r="856" spans="1:10" x14ac:dyDescent="0.2">
      <c r="A856"/>
      <c r="B856"/>
      <c r="C856"/>
      <c r="D856"/>
      <c r="E856"/>
      <c r="F856"/>
      <c r="G856"/>
      <c r="H856"/>
      <c r="I856"/>
      <c r="J856"/>
    </row>
    <row r="857" spans="1:10" x14ac:dyDescent="0.2">
      <c r="A857"/>
      <c r="B857"/>
      <c r="C857"/>
      <c r="D857"/>
      <c r="E857"/>
      <c r="F857"/>
      <c r="G857"/>
      <c r="H857"/>
      <c r="I857"/>
      <c r="J857"/>
    </row>
    <row r="858" spans="1:10" x14ac:dyDescent="0.2">
      <c r="A858"/>
      <c r="B858"/>
      <c r="C858"/>
      <c r="D858"/>
      <c r="E858"/>
      <c r="F858"/>
      <c r="G858"/>
      <c r="H858"/>
      <c r="I858"/>
      <c r="J858"/>
    </row>
    <row r="859" spans="1:10" x14ac:dyDescent="0.2">
      <c r="A859"/>
      <c r="B859"/>
      <c r="C859"/>
      <c r="D859"/>
      <c r="E859"/>
      <c r="F859"/>
      <c r="G859"/>
      <c r="H859"/>
      <c r="I859"/>
      <c r="J859"/>
    </row>
    <row r="860" spans="1:10" x14ac:dyDescent="0.2">
      <c r="A860"/>
      <c r="B860"/>
      <c r="C860"/>
      <c r="D860"/>
      <c r="E860"/>
      <c r="F860"/>
      <c r="G860"/>
      <c r="H860"/>
      <c r="I860"/>
      <c r="J860"/>
    </row>
    <row r="861" spans="1:10" x14ac:dyDescent="0.2">
      <c r="A861"/>
      <c r="B861"/>
      <c r="C861"/>
      <c r="D861"/>
      <c r="E861"/>
      <c r="F861"/>
      <c r="G861"/>
      <c r="H861"/>
      <c r="I861"/>
      <c r="J861"/>
    </row>
    <row r="862" spans="1:10" x14ac:dyDescent="0.2">
      <c r="A862"/>
      <c r="B862"/>
      <c r="C862"/>
      <c r="D862"/>
      <c r="E862"/>
      <c r="F862"/>
      <c r="G862"/>
      <c r="H862"/>
      <c r="I862"/>
      <c r="J862"/>
    </row>
    <row r="863" spans="1:10" x14ac:dyDescent="0.2">
      <c r="A863"/>
      <c r="B863"/>
      <c r="C863"/>
      <c r="D863"/>
      <c r="E863"/>
      <c r="F863"/>
      <c r="G863"/>
      <c r="H863"/>
      <c r="I863"/>
      <c r="J863"/>
    </row>
    <row r="864" spans="1:10" x14ac:dyDescent="0.2">
      <c r="A864"/>
      <c r="B864"/>
      <c r="C864"/>
      <c r="D864"/>
      <c r="E864"/>
      <c r="F864"/>
      <c r="G864"/>
      <c r="H864"/>
      <c r="I864"/>
      <c r="J864"/>
    </row>
    <row r="865" spans="1:10" x14ac:dyDescent="0.2">
      <c r="A865"/>
      <c r="B865"/>
      <c r="C865"/>
      <c r="D865"/>
      <c r="E865"/>
      <c r="F865"/>
      <c r="G865"/>
      <c r="H865"/>
      <c r="I865"/>
      <c r="J865"/>
    </row>
    <row r="866" spans="1:10" x14ac:dyDescent="0.2">
      <c r="A866"/>
      <c r="B866"/>
      <c r="C866"/>
      <c r="D866"/>
      <c r="E866"/>
      <c r="F866"/>
      <c r="G866"/>
      <c r="H866"/>
      <c r="I866"/>
      <c r="J866"/>
    </row>
    <row r="867" spans="1:10" x14ac:dyDescent="0.2">
      <c r="A867"/>
      <c r="B867"/>
      <c r="C867"/>
      <c r="D867"/>
      <c r="E867"/>
      <c r="F867"/>
      <c r="G867"/>
      <c r="H867"/>
      <c r="I867"/>
      <c r="J867"/>
    </row>
    <row r="868" spans="1:10" x14ac:dyDescent="0.2">
      <c r="A868"/>
      <c r="B868"/>
      <c r="C868"/>
      <c r="D868"/>
      <c r="E868"/>
      <c r="F868"/>
      <c r="G868"/>
      <c r="H868"/>
      <c r="I868"/>
      <c r="J868"/>
    </row>
    <row r="869" spans="1:10" x14ac:dyDescent="0.2">
      <c r="A869"/>
      <c r="B869"/>
      <c r="C869"/>
      <c r="D869"/>
      <c r="E869"/>
      <c r="F869"/>
      <c r="G869"/>
      <c r="H869"/>
      <c r="I869"/>
      <c r="J869"/>
    </row>
    <row r="870" spans="1:10" x14ac:dyDescent="0.2">
      <c r="A870"/>
      <c r="B870"/>
      <c r="C870"/>
      <c r="D870"/>
      <c r="E870"/>
      <c r="F870"/>
      <c r="G870"/>
      <c r="H870"/>
      <c r="I870"/>
      <c r="J870"/>
    </row>
    <row r="871" spans="1:10" x14ac:dyDescent="0.2">
      <c r="A871"/>
      <c r="B871"/>
      <c r="C871"/>
      <c r="D871"/>
      <c r="E871"/>
      <c r="F871"/>
      <c r="G871"/>
      <c r="H871"/>
      <c r="I871"/>
      <c r="J871"/>
    </row>
    <row r="872" spans="1:10" x14ac:dyDescent="0.2">
      <c r="A872"/>
      <c r="B872"/>
      <c r="C872"/>
      <c r="D872"/>
      <c r="E872"/>
      <c r="F872"/>
      <c r="G872"/>
      <c r="H872"/>
      <c r="I872"/>
      <c r="J872"/>
    </row>
    <row r="873" spans="1:10" x14ac:dyDescent="0.2">
      <c r="A873"/>
      <c r="B873"/>
      <c r="C873"/>
      <c r="D873"/>
      <c r="E873"/>
      <c r="F873"/>
      <c r="G873"/>
      <c r="H873"/>
      <c r="I873"/>
      <c r="J873"/>
    </row>
    <row r="874" spans="1:10" x14ac:dyDescent="0.2">
      <c r="A874"/>
      <c r="B874"/>
      <c r="C874"/>
      <c r="D874"/>
      <c r="E874"/>
      <c r="F874"/>
      <c r="G874"/>
      <c r="H874"/>
      <c r="I874"/>
      <c r="J874"/>
    </row>
    <row r="875" spans="1:10" x14ac:dyDescent="0.2">
      <c r="A875"/>
      <c r="B875"/>
      <c r="C875"/>
      <c r="D875"/>
      <c r="E875"/>
      <c r="F875"/>
      <c r="G875"/>
      <c r="H875"/>
      <c r="I875"/>
      <c r="J875"/>
    </row>
    <row r="876" spans="1:10" x14ac:dyDescent="0.2">
      <c r="A876"/>
      <c r="B876"/>
      <c r="C876"/>
      <c r="D876"/>
      <c r="E876"/>
      <c r="F876"/>
      <c r="G876"/>
      <c r="H876"/>
      <c r="I876"/>
      <c r="J876"/>
    </row>
    <row r="877" spans="1:10" x14ac:dyDescent="0.2">
      <c r="A877"/>
      <c r="B877"/>
      <c r="C877"/>
      <c r="D877"/>
      <c r="E877"/>
      <c r="F877"/>
      <c r="G877"/>
      <c r="H877"/>
      <c r="I877"/>
      <c r="J877"/>
    </row>
    <row r="878" spans="1:10" x14ac:dyDescent="0.2">
      <c r="A878"/>
      <c r="B878"/>
      <c r="C878"/>
      <c r="D878"/>
      <c r="E878"/>
      <c r="F878"/>
      <c r="G878"/>
      <c r="H878"/>
      <c r="I878"/>
      <c r="J878"/>
    </row>
    <row r="879" spans="1:10" x14ac:dyDescent="0.2">
      <c r="A879"/>
      <c r="B879"/>
      <c r="C879"/>
      <c r="D879"/>
      <c r="E879"/>
      <c r="F879"/>
      <c r="G879"/>
      <c r="H879"/>
      <c r="I879"/>
      <c r="J879"/>
    </row>
    <row r="880" spans="1:10" x14ac:dyDescent="0.2">
      <c r="A880"/>
      <c r="B880"/>
      <c r="C880"/>
      <c r="D880"/>
      <c r="E880"/>
      <c r="F880"/>
      <c r="G880"/>
      <c r="H880"/>
      <c r="I880"/>
      <c r="J880"/>
    </row>
    <row r="881" spans="1:10" x14ac:dyDescent="0.2">
      <c r="A881"/>
      <c r="B881"/>
      <c r="C881"/>
      <c r="D881"/>
      <c r="E881"/>
      <c r="F881"/>
      <c r="G881"/>
      <c r="H881"/>
      <c r="I881"/>
      <c r="J881"/>
    </row>
    <row r="882" spans="1:10" x14ac:dyDescent="0.2">
      <c r="A882"/>
      <c r="B882"/>
      <c r="C882"/>
      <c r="D882"/>
      <c r="E882"/>
      <c r="F882"/>
      <c r="G882"/>
      <c r="H882"/>
      <c r="I882"/>
      <c r="J882"/>
    </row>
    <row r="883" spans="1:10" x14ac:dyDescent="0.2">
      <c r="A883"/>
      <c r="B883"/>
      <c r="C883"/>
      <c r="D883"/>
      <c r="E883"/>
      <c r="F883"/>
      <c r="G883"/>
      <c r="H883"/>
      <c r="I883"/>
      <c r="J883"/>
    </row>
    <row r="884" spans="1:10" x14ac:dyDescent="0.2">
      <c r="A884"/>
      <c r="B884"/>
      <c r="C884"/>
      <c r="D884"/>
      <c r="E884"/>
      <c r="F884"/>
      <c r="G884"/>
      <c r="H884"/>
      <c r="I884"/>
      <c r="J884"/>
    </row>
    <row r="885" spans="1:10" x14ac:dyDescent="0.2">
      <c r="A885"/>
      <c r="B885"/>
      <c r="C885"/>
      <c r="D885"/>
      <c r="E885"/>
      <c r="F885"/>
      <c r="G885"/>
      <c r="H885"/>
      <c r="I885"/>
      <c r="J885"/>
    </row>
    <row r="886" spans="1:10" x14ac:dyDescent="0.2">
      <c r="A886"/>
      <c r="B886"/>
      <c r="C886"/>
      <c r="D886"/>
      <c r="E886"/>
      <c r="F886"/>
      <c r="G886"/>
      <c r="H886"/>
      <c r="I886"/>
      <c r="J886"/>
    </row>
    <row r="887" spans="1:10" x14ac:dyDescent="0.2">
      <c r="A887"/>
      <c r="B887"/>
      <c r="C887"/>
      <c r="D887"/>
      <c r="E887"/>
      <c r="F887"/>
      <c r="G887"/>
      <c r="H887"/>
      <c r="I887"/>
      <c r="J887"/>
    </row>
    <row r="888" spans="1:10" x14ac:dyDescent="0.2">
      <c r="A888"/>
      <c r="B888"/>
      <c r="C888"/>
      <c r="D888"/>
      <c r="E888"/>
      <c r="F888"/>
      <c r="G888"/>
      <c r="H888"/>
      <c r="I888"/>
      <c r="J888"/>
    </row>
    <row r="889" spans="1:10" x14ac:dyDescent="0.2">
      <c r="A889"/>
      <c r="B889"/>
      <c r="C889"/>
      <c r="D889"/>
      <c r="E889"/>
      <c r="F889"/>
      <c r="G889"/>
      <c r="H889"/>
      <c r="I889"/>
      <c r="J889"/>
    </row>
    <row r="890" spans="1:10" x14ac:dyDescent="0.2">
      <c r="A890"/>
      <c r="B890"/>
      <c r="C890"/>
      <c r="D890"/>
      <c r="E890"/>
      <c r="F890"/>
      <c r="G890"/>
      <c r="H890"/>
      <c r="I890"/>
      <c r="J890"/>
    </row>
    <row r="891" spans="1:10" x14ac:dyDescent="0.2">
      <c r="A891"/>
      <c r="B891"/>
      <c r="C891"/>
      <c r="D891"/>
      <c r="E891"/>
      <c r="F891"/>
      <c r="G891"/>
      <c r="H891"/>
      <c r="I891"/>
      <c r="J891"/>
    </row>
    <row r="892" spans="1:10" x14ac:dyDescent="0.2">
      <c r="A892"/>
      <c r="B892"/>
      <c r="C892"/>
      <c r="D892"/>
      <c r="E892"/>
      <c r="F892"/>
      <c r="G892"/>
      <c r="H892"/>
      <c r="I892"/>
      <c r="J892"/>
    </row>
    <row r="893" spans="1:10" x14ac:dyDescent="0.2">
      <c r="A893"/>
      <c r="B893"/>
      <c r="C893"/>
      <c r="D893"/>
      <c r="E893"/>
      <c r="F893"/>
      <c r="G893"/>
      <c r="H893"/>
      <c r="I893"/>
      <c r="J893"/>
    </row>
    <row r="894" spans="1:10" x14ac:dyDescent="0.2">
      <c r="A894"/>
      <c r="B894"/>
      <c r="C894"/>
      <c r="D894"/>
      <c r="E894"/>
      <c r="F894"/>
      <c r="G894"/>
      <c r="H894"/>
      <c r="I894"/>
      <c r="J894"/>
    </row>
    <row r="895" spans="1:10" x14ac:dyDescent="0.2">
      <c r="A895"/>
      <c r="B895"/>
      <c r="C895"/>
      <c r="D895"/>
      <c r="E895"/>
      <c r="F895"/>
      <c r="G895"/>
      <c r="H895"/>
      <c r="I895"/>
      <c r="J895"/>
    </row>
    <row r="896" spans="1:10" x14ac:dyDescent="0.2">
      <c r="A896"/>
      <c r="B896"/>
      <c r="C896"/>
      <c r="D896"/>
      <c r="E896"/>
      <c r="F896"/>
      <c r="G896"/>
      <c r="H896"/>
      <c r="I896"/>
      <c r="J896"/>
    </row>
    <row r="897" spans="1:10" x14ac:dyDescent="0.2">
      <c r="A897"/>
      <c r="B897"/>
      <c r="C897"/>
      <c r="D897"/>
      <c r="E897"/>
      <c r="F897"/>
      <c r="G897"/>
      <c r="H897"/>
      <c r="I897"/>
      <c r="J897"/>
    </row>
    <row r="898" spans="1:10" x14ac:dyDescent="0.2">
      <c r="A898"/>
      <c r="B898"/>
      <c r="C898"/>
      <c r="D898"/>
      <c r="E898"/>
      <c r="F898"/>
      <c r="G898"/>
      <c r="H898"/>
      <c r="I898"/>
      <c r="J898"/>
    </row>
    <row r="899" spans="1:10" x14ac:dyDescent="0.2">
      <c r="A899"/>
      <c r="B899"/>
      <c r="C899"/>
      <c r="D899"/>
      <c r="E899"/>
      <c r="F899"/>
      <c r="G899"/>
      <c r="H899"/>
      <c r="I899"/>
      <c r="J899"/>
    </row>
    <row r="900" spans="1:10" x14ac:dyDescent="0.2">
      <c r="A900"/>
      <c r="B900"/>
      <c r="C900"/>
      <c r="D900"/>
      <c r="E900"/>
      <c r="F900"/>
      <c r="G900"/>
      <c r="H900"/>
      <c r="I900"/>
      <c r="J900"/>
    </row>
    <row r="901" spans="1:10" x14ac:dyDescent="0.2">
      <c r="A901"/>
      <c r="B901"/>
      <c r="C901"/>
      <c r="D901"/>
      <c r="E901"/>
      <c r="F901"/>
      <c r="G901"/>
      <c r="H901"/>
      <c r="I901"/>
      <c r="J901"/>
    </row>
    <row r="902" spans="1:10" x14ac:dyDescent="0.2">
      <c r="A902"/>
      <c r="B902"/>
      <c r="C902"/>
      <c r="D902"/>
      <c r="E902"/>
      <c r="F902"/>
      <c r="G902"/>
      <c r="H902"/>
      <c r="I902"/>
      <c r="J902"/>
    </row>
    <row r="903" spans="1:10" x14ac:dyDescent="0.2">
      <c r="A903"/>
      <c r="B903"/>
      <c r="C903"/>
      <c r="D903"/>
      <c r="E903"/>
      <c r="F903"/>
      <c r="G903"/>
      <c r="H903"/>
      <c r="I903"/>
      <c r="J903"/>
    </row>
    <row r="904" spans="1:10" x14ac:dyDescent="0.2">
      <c r="A904"/>
      <c r="B904"/>
      <c r="C904"/>
      <c r="D904"/>
      <c r="E904"/>
      <c r="F904"/>
      <c r="G904"/>
      <c r="H904"/>
      <c r="I904"/>
      <c r="J904"/>
    </row>
    <row r="905" spans="1:10" x14ac:dyDescent="0.2">
      <c r="A905"/>
      <c r="B905"/>
      <c r="C905"/>
      <c r="D905"/>
      <c r="E905"/>
      <c r="F905"/>
      <c r="G905"/>
      <c r="H905"/>
      <c r="I905"/>
      <c r="J905"/>
    </row>
    <row r="906" spans="1:10" x14ac:dyDescent="0.2">
      <c r="A906"/>
      <c r="B906"/>
      <c r="C906"/>
      <c r="D906"/>
      <c r="E906"/>
      <c r="F906"/>
      <c r="G906"/>
      <c r="H906"/>
      <c r="I906"/>
      <c r="J906"/>
    </row>
    <row r="907" spans="1:10" x14ac:dyDescent="0.2">
      <c r="A907"/>
      <c r="B907"/>
      <c r="C907"/>
      <c r="D907"/>
      <c r="E907"/>
      <c r="F907"/>
      <c r="G907"/>
      <c r="H907"/>
      <c r="I907"/>
      <c r="J907"/>
    </row>
    <row r="908" spans="1:10" x14ac:dyDescent="0.2">
      <c r="A908"/>
      <c r="B908"/>
      <c r="C908"/>
      <c r="D908"/>
      <c r="E908"/>
      <c r="F908"/>
      <c r="G908"/>
      <c r="H908"/>
      <c r="I908"/>
      <c r="J908"/>
    </row>
    <row r="909" spans="1:10" x14ac:dyDescent="0.2">
      <c r="A909"/>
      <c r="B909"/>
      <c r="C909"/>
      <c r="D909"/>
      <c r="E909"/>
      <c r="F909"/>
      <c r="G909"/>
      <c r="H909"/>
      <c r="I909"/>
      <c r="J909"/>
    </row>
    <row r="910" spans="1:10" x14ac:dyDescent="0.2">
      <c r="A910"/>
      <c r="B910"/>
      <c r="C910"/>
      <c r="D910"/>
      <c r="E910"/>
      <c r="F910"/>
      <c r="G910"/>
      <c r="H910"/>
      <c r="I910"/>
      <c r="J910"/>
    </row>
    <row r="911" spans="1:10" x14ac:dyDescent="0.2">
      <c r="A911"/>
      <c r="B911"/>
      <c r="C911"/>
      <c r="D911"/>
      <c r="E911"/>
      <c r="F911"/>
      <c r="G911"/>
      <c r="H911"/>
      <c r="I911"/>
      <c r="J911"/>
    </row>
    <row r="912" spans="1:10" x14ac:dyDescent="0.2">
      <c r="A912"/>
      <c r="B912"/>
      <c r="C912"/>
      <c r="D912"/>
      <c r="E912"/>
      <c r="F912"/>
      <c r="G912"/>
      <c r="H912"/>
      <c r="I912"/>
      <c r="J912"/>
    </row>
    <row r="913" spans="1:10" x14ac:dyDescent="0.2">
      <c r="A913"/>
      <c r="B913"/>
      <c r="C913"/>
      <c r="D913"/>
      <c r="E913"/>
      <c r="F913"/>
      <c r="G913"/>
      <c r="H913"/>
      <c r="I913"/>
      <c r="J913"/>
    </row>
    <row r="914" spans="1:10" x14ac:dyDescent="0.2">
      <c r="A914"/>
      <c r="B914"/>
      <c r="C914"/>
      <c r="D914"/>
      <c r="E914"/>
      <c r="F914"/>
      <c r="G914"/>
      <c r="H914"/>
      <c r="I914"/>
      <c r="J914"/>
    </row>
    <row r="915" spans="1:10" x14ac:dyDescent="0.2">
      <c r="A915"/>
      <c r="B915"/>
      <c r="C915"/>
      <c r="D915"/>
      <c r="E915"/>
      <c r="F915"/>
      <c r="G915"/>
      <c r="H915"/>
      <c r="I915"/>
      <c r="J915"/>
    </row>
    <row r="916" spans="1:10" x14ac:dyDescent="0.2">
      <c r="A916"/>
      <c r="B916"/>
      <c r="C916"/>
      <c r="D916"/>
      <c r="E916"/>
      <c r="F916"/>
      <c r="G916"/>
      <c r="H916"/>
      <c r="I916"/>
      <c r="J916"/>
    </row>
    <row r="917" spans="1:10" x14ac:dyDescent="0.2">
      <c r="A917"/>
      <c r="B917"/>
      <c r="C917"/>
      <c r="D917"/>
      <c r="E917"/>
      <c r="F917"/>
      <c r="G917"/>
      <c r="H917"/>
      <c r="I917"/>
      <c r="J917"/>
    </row>
    <row r="918" spans="1:10" x14ac:dyDescent="0.2">
      <c r="A918"/>
      <c r="B918"/>
      <c r="C918"/>
      <c r="D918"/>
      <c r="E918"/>
      <c r="F918"/>
      <c r="G918"/>
      <c r="H918"/>
      <c r="I918"/>
      <c r="J918"/>
    </row>
    <row r="919" spans="1:10" x14ac:dyDescent="0.2">
      <c r="A919"/>
      <c r="B919"/>
      <c r="C919"/>
      <c r="D919"/>
      <c r="E919"/>
      <c r="F919"/>
      <c r="G919"/>
      <c r="H919"/>
      <c r="I919"/>
      <c r="J919"/>
    </row>
    <row r="920" spans="1:10" x14ac:dyDescent="0.2">
      <c r="A920"/>
      <c r="B920"/>
      <c r="C920"/>
      <c r="D920"/>
      <c r="E920"/>
      <c r="F920"/>
      <c r="G920"/>
      <c r="H920"/>
      <c r="I920"/>
      <c r="J920"/>
    </row>
    <row r="921" spans="1:10" x14ac:dyDescent="0.2">
      <c r="A921"/>
      <c r="B921"/>
      <c r="C921"/>
      <c r="D921"/>
      <c r="E921"/>
      <c r="F921"/>
      <c r="G921"/>
      <c r="H921"/>
      <c r="I921"/>
      <c r="J921"/>
    </row>
    <row r="922" spans="1:10" x14ac:dyDescent="0.2">
      <c r="A922"/>
      <c r="B922"/>
      <c r="C922"/>
      <c r="D922"/>
      <c r="E922"/>
      <c r="F922"/>
      <c r="G922"/>
      <c r="H922"/>
      <c r="I922"/>
      <c r="J922"/>
    </row>
    <row r="923" spans="1:10" x14ac:dyDescent="0.2">
      <c r="A923"/>
      <c r="B923"/>
      <c r="C923"/>
      <c r="D923"/>
      <c r="E923"/>
      <c r="F923"/>
      <c r="G923"/>
      <c r="H923"/>
      <c r="I923"/>
      <c r="J923"/>
    </row>
    <row r="924" spans="1:10" x14ac:dyDescent="0.2">
      <c r="A924"/>
      <c r="B924"/>
      <c r="C924"/>
      <c r="D924"/>
      <c r="E924"/>
      <c r="F924"/>
      <c r="G924"/>
      <c r="H924"/>
      <c r="I924"/>
      <c r="J924"/>
    </row>
    <row r="925" spans="1:10" x14ac:dyDescent="0.2">
      <c r="A925"/>
      <c r="B925"/>
      <c r="C925"/>
      <c r="D925"/>
      <c r="E925"/>
      <c r="F925"/>
      <c r="G925"/>
      <c r="H925"/>
      <c r="I925"/>
      <c r="J925"/>
    </row>
    <row r="926" spans="1:10" x14ac:dyDescent="0.2">
      <c r="A926"/>
      <c r="B926"/>
      <c r="C926"/>
      <c r="D926"/>
      <c r="E926"/>
      <c r="F926"/>
      <c r="G926"/>
      <c r="H926"/>
      <c r="I926"/>
      <c r="J926"/>
    </row>
    <row r="927" spans="1:10" x14ac:dyDescent="0.2">
      <c r="A927"/>
      <c r="B927"/>
      <c r="C927"/>
      <c r="D927"/>
      <c r="E927"/>
      <c r="F927"/>
      <c r="G927"/>
      <c r="H927"/>
      <c r="I927"/>
      <c r="J927"/>
    </row>
    <row r="928" spans="1:10" x14ac:dyDescent="0.2">
      <c r="A928"/>
      <c r="B928"/>
      <c r="C928"/>
      <c r="D928"/>
      <c r="E928"/>
      <c r="F928"/>
      <c r="G928"/>
      <c r="H928"/>
      <c r="I928"/>
      <c r="J928"/>
    </row>
    <row r="929" spans="1:10" x14ac:dyDescent="0.2">
      <c r="A929"/>
      <c r="B929"/>
      <c r="C929"/>
      <c r="D929"/>
      <c r="E929"/>
      <c r="F929"/>
      <c r="G929"/>
      <c r="H929"/>
      <c r="I929"/>
      <c r="J929"/>
    </row>
    <row r="930" spans="1:10" x14ac:dyDescent="0.2">
      <c r="A930"/>
      <c r="B930"/>
      <c r="C930"/>
      <c r="D930"/>
      <c r="E930"/>
      <c r="F930"/>
      <c r="G930"/>
      <c r="H930"/>
      <c r="I930"/>
      <c r="J930"/>
    </row>
    <row r="931" spans="1:10" x14ac:dyDescent="0.2">
      <c r="A931"/>
      <c r="B931"/>
      <c r="C931"/>
      <c r="D931"/>
      <c r="E931"/>
      <c r="F931"/>
      <c r="G931"/>
      <c r="H931"/>
      <c r="I931"/>
      <c r="J931"/>
    </row>
    <row r="932" spans="1:10" x14ac:dyDescent="0.2">
      <c r="A932"/>
      <c r="B932"/>
      <c r="C932"/>
      <c r="D932"/>
      <c r="E932"/>
      <c r="F932"/>
      <c r="G932"/>
      <c r="H932"/>
      <c r="I932"/>
      <c r="J932"/>
    </row>
    <row r="933" spans="1:10" x14ac:dyDescent="0.2">
      <c r="A933"/>
      <c r="B933"/>
      <c r="C933"/>
      <c r="D933"/>
      <c r="E933"/>
      <c r="F933"/>
      <c r="G933"/>
      <c r="H933"/>
      <c r="I933"/>
      <c r="J933"/>
    </row>
    <row r="934" spans="1:10" x14ac:dyDescent="0.2">
      <c r="A934"/>
      <c r="B934"/>
      <c r="C934"/>
      <c r="D934"/>
      <c r="E934"/>
      <c r="F934"/>
      <c r="G934"/>
      <c r="H934"/>
      <c r="I934"/>
      <c r="J934"/>
    </row>
    <row r="935" spans="1:10" x14ac:dyDescent="0.2">
      <c r="A935"/>
      <c r="B935"/>
      <c r="C935"/>
      <c r="D935"/>
      <c r="E935"/>
      <c r="F935"/>
      <c r="G935"/>
      <c r="H935"/>
      <c r="I935"/>
      <c r="J935"/>
    </row>
    <row r="936" spans="1:10" x14ac:dyDescent="0.2">
      <c r="A936"/>
      <c r="B936"/>
      <c r="C936"/>
      <c r="D936"/>
      <c r="E936"/>
      <c r="F936"/>
      <c r="G936"/>
      <c r="H936"/>
      <c r="I936"/>
      <c r="J936"/>
    </row>
    <row r="937" spans="1:10" x14ac:dyDescent="0.2">
      <c r="A937"/>
      <c r="B937"/>
      <c r="C937"/>
      <c r="D937"/>
      <c r="E937"/>
      <c r="F937"/>
      <c r="G937"/>
      <c r="H937"/>
      <c r="I937"/>
      <c r="J937"/>
    </row>
    <row r="938" spans="1:10" x14ac:dyDescent="0.2">
      <c r="A938"/>
      <c r="B938"/>
      <c r="C938"/>
      <c r="D938"/>
      <c r="E938"/>
      <c r="F938"/>
      <c r="G938"/>
      <c r="H938"/>
      <c r="I938"/>
      <c r="J938"/>
    </row>
    <row r="939" spans="1:10" x14ac:dyDescent="0.2">
      <c r="A939"/>
      <c r="B939"/>
      <c r="C939"/>
      <c r="D939"/>
      <c r="E939"/>
      <c r="F939"/>
      <c r="G939"/>
      <c r="H939"/>
      <c r="I939"/>
      <c r="J939"/>
    </row>
    <row r="940" spans="1:10" x14ac:dyDescent="0.2">
      <c r="A940"/>
      <c r="B940"/>
      <c r="C940"/>
      <c r="D940"/>
      <c r="E940"/>
      <c r="F940"/>
      <c r="G940"/>
      <c r="H940"/>
      <c r="I940"/>
      <c r="J940"/>
    </row>
    <row r="941" spans="1:10" x14ac:dyDescent="0.2">
      <c r="A941"/>
      <c r="B941"/>
      <c r="C941"/>
      <c r="D941"/>
      <c r="E941"/>
      <c r="F941"/>
      <c r="G941"/>
      <c r="H941"/>
      <c r="I941"/>
      <c r="J941"/>
    </row>
    <row r="942" spans="1:10" x14ac:dyDescent="0.2">
      <c r="A942"/>
      <c r="B942"/>
      <c r="C942"/>
      <c r="D942"/>
      <c r="E942"/>
      <c r="F942"/>
      <c r="G942"/>
      <c r="H942"/>
      <c r="I942"/>
      <c r="J942"/>
    </row>
    <row r="943" spans="1:10" x14ac:dyDescent="0.2">
      <c r="A943"/>
      <c r="B943"/>
      <c r="C943"/>
      <c r="D943"/>
      <c r="E943"/>
      <c r="F943"/>
      <c r="G943"/>
      <c r="H943"/>
      <c r="I943"/>
      <c r="J943"/>
    </row>
    <row r="944" spans="1:10" x14ac:dyDescent="0.2">
      <c r="A944"/>
      <c r="B944"/>
      <c r="C944"/>
      <c r="D944"/>
      <c r="E944"/>
      <c r="F944"/>
      <c r="G944"/>
      <c r="H944"/>
      <c r="I944"/>
      <c r="J944"/>
    </row>
    <row r="945" spans="1:10" x14ac:dyDescent="0.2">
      <c r="A945"/>
      <c r="B945"/>
      <c r="C945"/>
      <c r="D945"/>
      <c r="E945"/>
      <c r="F945"/>
      <c r="G945"/>
      <c r="H945"/>
      <c r="I945"/>
      <c r="J945"/>
    </row>
    <row r="946" spans="1:10" x14ac:dyDescent="0.2">
      <c r="A946"/>
      <c r="B946"/>
      <c r="C946"/>
      <c r="D946"/>
      <c r="E946"/>
      <c r="F946"/>
      <c r="G946"/>
      <c r="H946"/>
      <c r="I946"/>
      <c r="J946"/>
    </row>
    <row r="947" spans="1:10" x14ac:dyDescent="0.2">
      <c r="A947"/>
      <c r="B947"/>
      <c r="C947"/>
      <c r="D947"/>
      <c r="E947"/>
      <c r="F947"/>
      <c r="G947"/>
      <c r="H947"/>
      <c r="I947"/>
      <c r="J947"/>
    </row>
    <row r="948" spans="1:10" x14ac:dyDescent="0.2">
      <c r="A948"/>
      <c r="B948"/>
      <c r="C948"/>
      <c r="D948"/>
      <c r="E948"/>
      <c r="F948"/>
      <c r="G948"/>
      <c r="H948"/>
      <c r="I948"/>
      <c r="J948"/>
    </row>
    <row r="949" spans="1:10" x14ac:dyDescent="0.2">
      <c r="A949"/>
      <c r="B949"/>
      <c r="C949"/>
      <c r="D949"/>
      <c r="E949"/>
      <c r="F949"/>
      <c r="G949"/>
      <c r="H949"/>
      <c r="I949"/>
      <c r="J949"/>
    </row>
    <row r="950" spans="1:10" x14ac:dyDescent="0.2">
      <c r="A950"/>
      <c r="B950"/>
      <c r="C950"/>
      <c r="D950"/>
      <c r="E950"/>
      <c r="F950"/>
      <c r="G950"/>
      <c r="H950"/>
      <c r="I950"/>
      <c r="J950"/>
    </row>
    <row r="951" spans="1:10" x14ac:dyDescent="0.2">
      <c r="A951"/>
      <c r="B951"/>
      <c r="C951"/>
      <c r="D951"/>
      <c r="E951"/>
      <c r="F951"/>
      <c r="G951"/>
      <c r="H951"/>
      <c r="I951"/>
      <c r="J951"/>
    </row>
    <row r="952" spans="1:10" x14ac:dyDescent="0.2">
      <c r="A952"/>
      <c r="B952"/>
      <c r="C952"/>
      <c r="D952"/>
      <c r="E952"/>
      <c r="F952"/>
      <c r="G952"/>
      <c r="H952"/>
      <c r="I952"/>
      <c r="J952"/>
    </row>
    <row r="953" spans="1:10" x14ac:dyDescent="0.2">
      <c r="A953"/>
      <c r="B953"/>
      <c r="C953"/>
      <c r="D953"/>
      <c r="E953"/>
      <c r="F953"/>
      <c r="G953"/>
      <c r="H953"/>
      <c r="I953"/>
      <c r="J953"/>
    </row>
    <row r="954" spans="1:10" x14ac:dyDescent="0.2">
      <c r="A954"/>
      <c r="B954"/>
      <c r="C954"/>
      <c r="D954"/>
      <c r="E954"/>
      <c r="F954"/>
      <c r="G954"/>
      <c r="H954"/>
      <c r="I954"/>
      <c r="J954"/>
    </row>
    <row r="955" spans="1:10" x14ac:dyDescent="0.2">
      <c r="A955"/>
      <c r="B955"/>
      <c r="C955"/>
      <c r="D955"/>
      <c r="E955"/>
      <c r="F955"/>
      <c r="G955"/>
      <c r="H955"/>
      <c r="I955"/>
      <c r="J955"/>
    </row>
    <row r="956" spans="1:10" x14ac:dyDescent="0.2">
      <c r="A956"/>
      <c r="B956"/>
      <c r="C956"/>
      <c r="D956"/>
      <c r="E956"/>
      <c r="F956"/>
      <c r="G956"/>
      <c r="H956"/>
      <c r="I956"/>
      <c r="J956"/>
    </row>
    <row r="957" spans="1:10" x14ac:dyDescent="0.2">
      <c r="A957"/>
      <c r="B957"/>
      <c r="C957"/>
      <c r="D957"/>
      <c r="E957"/>
      <c r="F957"/>
      <c r="G957"/>
      <c r="H957"/>
      <c r="I957"/>
      <c r="J957"/>
    </row>
    <row r="958" spans="1:10" x14ac:dyDescent="0.2">
      <c r="A958"/>
      <c r="B958"/>
      <c r="C958"/>
      <c r="D958"/>
      <c r="E958"/>
      <c r="F958"/>
      <c r="G958"/>
      <c r="H958"/>
      <c r="I958"/>
      <c r="J958"/>
    </row>
    <row r="959" spans="1:10" x14ac:dyDescent="0.2">
      <c r="A959"/>
      <c r="B959"/>
      <c r="C959"/>
      <c r="D959"/>
      <c r="E959"/>
      <c r="F959"/>
      <c r="G959"/>
      <c r="H959"/>
      <c r="I959"/>
      <c r="J959"/>
    </row>
    <row r="960" spans="1:10" x14ac:dyDescent="0.2">
      <c r="A960"/>
      <c r="B960"/>
      <c r="C960"/>
      <c r="D960"/>
      <c r="E960"/>
      <c r="F960"/>
      <c r="G960"/>
      <c r="H960"/>
      <c r="I960"/>
      <c r="J960"/>
    </row>
    <row r="961" spans="1:10" x14ac:dyDescent="0.2">
      <c r="A961"/>
      <c r="B961"/>
      <c r="C961"/>
      <c r="D961"/>
      <c r="E961"/>
      <c r="F961"/>
      <c r="G961"/>
      <c r="H961"/>
      <c r="I961"/>
      <c r="J961"/>
    </row>
    <row r="962" spans="1:10" x14ac:dyDescent="0.2">
      <c r="A962"/>
      <c r="B962"/>
      <c r="C962"/>
      <c r="D962"/>
      <c r="E962"/>
      <c r="F962"/>
      <c r="G962"/>
      <c r="H962"/>
      <c r="I962"/>
      <c r="J962"/>
    </row>
    <row r="963" spans="1:10" x14ac:dyDescent="0.2">
      <c r="A963"/>
      <c r="B963"/>
      <c r="C963"/>
      <c r="D963"/>
      <c r="E963"/>
      <c r="F963"/>
      <c r="G963"/>
      <c r="H963"/>
      <c r="I963"/>
      <c r="J963"/>
    </row>
    <row r="964" spans="1:10" x14ac:dyDescent="0.2">
      <c r="A964"/>
      <c r="B964"/>
      <c r="C964"/>
      <c r="D964"/>
      <c r="E964"/>
      <c r="F964"/>
      <c r="G964"/>
      <c r="H964"/>
      <c r="I964"/>
      <c r="J964"/>
    </row>
    <row r="965" spans="1:10" x14ac:dyDescent="0.2">
      <c r="A965"/>
      <c r="B965"/>
      <c r="C965"/>
      <c r="D965"/>
      <c r="E965"/>
      <c r="F965"/>
      <c r="G965"/>
      <c r="H965"/>
      <c r="I965"/>
      <c r="J965"/>
    </row>
    <row r="966" spans="1:10" x14ac:dyDescent="0.2">
      <c r="A966"/>
      <c r="B966"/>
      <c r="C966"/>
      <c r="D966"/>
      <c r="E966"/>
      <c r="F966"/>
      <c r="G966"/>
      <c r="H966"/>
      <c r="I966"/>
      <c r="J966"/>
    </row>
    <row r="967" spans="1:10" x14ac:dyDescent="0.2">
      <c r="A967"/>
      <c r="B967"/>
      <c r="C967"/>
      <c r="D967"/>
      <c r="E967"/>
      <c r="F967"/>
      <c r="G967"/>
      <c r="H967"/>
      <c r="I967"/>
      <c r="J967"/>
    </row>
    <row r="968" spans="1:10" x14ac:dyDescent="0.2">
      <c r="A968"/>
      <c r="B968"/>
      <c r="C968"/>
      <c r="D968"/>
      <c r="E968"/>
      <c r="F968"/>
      <c r="G968"/>
      <c r="H968"/>
      <c r="I968"/>
      <c r="J968"/>
    </row>
    <row r="969" spans="1:10" x14ac:dyDescent="0.2">
      <c r="A969"/>
      <c r="B969"/>
      <c r="C969"/>
      <c r="D969"/>
      <c r="E969"/>
      <c r="F969"/>
      <c r="G969"/>
      <c r="H969"/>
      <c r="I969"/>
      <c r="J969"/>
    </row>
    <row r="970" spans="1:10" x14ac:dyDescent="0.2">
      <c r="A970"/>
      <c r="B970"/>
      <c r="C970"/>
      <c r="D970"/>
      <c r="E970"/>
      <c r="F970"/>
      <c r="G970"/>
      <c r="H970"/>
      <c r="I970"/>
      <c r="J970"/>
    </row>
    <row r="971" spans="1:10" x14ac:dyDescent="0.2">
      <c r="A971"/>
      <c r="B971"/>
      <c r="C971"/>
      <c r="D971"/>
      <c r="E971"/>
      <c r="F971"/>
      <c r="G971"/>
      <c r="H971"/>
      <c r="I971"/>
      <c r="J971"/>
    </row>
    <row r="972" spans="1:10" x14ac:dyDescent="0.2">
      <c r="A972"/>
      <c r="B972"/>
      <c r="C972"/>
      <c r="D972"/>
      <c r="E972"/>
      <c r="F972"/>
      <c r="G972"/>
      <c r="H972"/>
      <c r="I972"/>
      <c r="J972"/>
    </row>
    <row r="973" spans="1:10" x14ac:dyDescent="0.2">
      <c r="A973"/>
      <c r="B973"/>
      <c r="C973"/>
      <c r="D973"/>
      <c r="E973"/>
      <c r="F973"/>
      <c r="G973"/>
      <c r="H973"/>
      <c r="I973"/>
      <c r="J973"/>
    </row>
    <row r="974" spans="1:10" x14ac:dyDescent="0.2">
      <c r="A974"/>
      <c r="B974"/>
      <c r="C974"/>
      <c r="D974"/>
      <c r="E974"/>
      <c r="F974"/>
      <c r="G974"/>
      <c r="H974"/>
      <c r="I974"/>
      <c r="J974"/>
    </row>
    <row r="975" spans="1:10" x14ac:dyDescent="0.2">
      <c r="A975"/>
      <c r="B975"/>
      <c r="C975"/>
      <c r="D975"/>
      <c r="E975"/>
      <c r="F975"/>
      <c r="G975"/>
      <c r="H975"/>
      <c r="I975"/>
      <c r="J975"/>
    </row>
    <row r="976" spans="1:10" x14ac:dyDescent="0.2">
      <c r="A976"/>
      <c r="B976"/>
      <c r="C976"/>
      <c r="D976"/>
      <c r="E976"/>
      <c r="F976"/>
      <c r="G976"/>
      <c r="H976"/>
      <c r="I976"/>
      <c r="J976"/>
    </row>
    <row r="977" spans="1:10" x14ac:dyDescent="0.2">
      <c r="A977"/>
      <c r="B977"/>
      <c r="C977"/>
      <c r="D977"/>
      <c r="E977"/>
      <c r="F977"/>
      <c r="G977"/>
      <c r="H977"/>
      <c r="I977"/>
      <c r="J977"/>
    </row>
    <row r="978" spans="1:10" x14ac:dyDescent="0.2">
      <c r="A978"/>
      <c r="B978"/>
      <c r="C978"/>
      <c r="D978"/>
      <c r="E978"/>
      <c r="F978"/>
      <c r="G978"/>
      <c r="H978"/>
      <c r="I978"/>
      <c r="J978"/>
    </row>
    <row r="979" spans="1:10" x14ac:dyDescent="0.2">
      <c r="A979"/>
      <c r="B979"/>
      <c r="C979"/>
      <c r="D979"/>
      <c r="E979"/>
      <c r="F979"/>
      <c r="G979"/>
      <c r="H979"/>
      <c r="I979"/>
      <c r="J979"/>
    </row>
    <row r="980" spans="1:10" x14ac:dyDescent="0.2">
      <c r="A980"/>
      <c r="B980"/>
      <c r="C980"/>
      <c r="D980"/>
      <c r="E980"/>
      <c r="F980"/>
      <c r="G980"/>
      <c r="H980"/>
      <c r="I980"/>
      <c r="J980"/>
    </row>
    <row r="981" spans="1:10" x14ac:dyDescent="0.2">
      <c r="A981"/>
      <c r="B981"/>
      <c r="C981"/>
      <c r="D981"/>
      <c r="E981"/>
      <c r="F981"/>
      <c r="G981"/>
      <c r="H981"/>
      <c r="I981"/>
      <c r="J981"/>
    </row>
    <row r="982" spans="1:10" x14ac:dyDescent="0.2">
      <c r="A982"/>
      <c r="B982"/>
      <c r="C982"/>
      <c r="D982"/>
      <c r="E982"/>
      <c r="F982"/>
      <c r="G982"/>
      <c r="H982"/>
      <c r="I982"/>
      <c r="J982"/>
    </row>
    <row r="983" spans="1:10" x14ac:dyDescent="0.2">
      <c r="A983"/>
      <c r="B983"/>
      <c r="C983"/>
      <c r="D983"/>
      <c r="E983"/>
      <c r="F983"/>
      <c r="G983"/>
      <c r="H983"/>
      <c r="I983"/>
      <c r="J983"/>
    </row>
    <row r="984" spans="1:10" x14ac:dyDescent="0.2">
      <c r="A984"/>
      <c r="B984"/>
      <c r="C984"/>
      <c r="D984"/>
      <c r="E984"/>
      <c r="F984"/>
      <c r="G984"/>
      <c r="H984"/>
      <c r="I984"/>
      <c r="J984"/>
    </row>
    <row r="985" spans="1:10" x14ac:dyDescent="0.2">
      <c r="A985"/>
      <c r="B985"/>
      <c r="C985"/>
      <c r="D985"/>
      <c r="E985"/>
      <c r="F985"/>
      <c r="G985"/>
      <c r="H985"/>
      <c r="I985"/>
      <c r="J985"/>
    </row>
    <row r="986" spans="1:10" x14ac:dyDescent="0.2">
      <c r="A986"/>
      <c r="B986"/>
      <c r="C986"/>
      <c r="D986"/>
      <c r="E986"/>
      <c r="F986"/>
      <c r="G986"/>
      <c r="H986"/>
      <c r="I986"/>
      <c r="J986"/>
    </row>
    <row r="987" spans="1:10" x14ac:dyDescent="0.2">
      <c r="A987"/>
      <c r="B987"/>
      <c r="C987"/>
      <c r="D987"/>
      <c r="E987"/>
      <c r="F987"/>
      <c r="G987"/>
      <c r="H987"/>
      <c r="I987"/>
      <c r="J987"/>
    </row>
    <row r="988" spans="1:10" x14ac:dyDescent="0.2">
      <c r="A988"/>
      <c r="B988"/>
      <c r="C988"/>
      <c r="D988"/>
      <c r="E988"/>
      <c r="F988"/>
      <c r="G988"/>
      <c r="H988"/>
      <c r="I988"/>
      <c r="J988"/>
    </row>
    <row r="989" spans="1:10" x14ac:dyDescent="0.2">
      <c r="A989"/>
      <c r="B989"/>
      <c r="C989"/>
      <c r="D989"/>
      <c r="E989"/>
      <c r="F989"/>
      <c r="G989"/>
      <c r="H989"/>
      <c r="I989"/>
      <c r="J989"/>
    </row>
    <row r="990" spans="1:10" x14ac:dyDescent="0.2">
      <c r="A990"/>
      <c r="B990"/>
      <c r="C990"/>
      <c r="D990"/>
      <c r="E990"/>
      <c r="F990"/>
      <c r="G990"/>
      <c r="H990"/>
      <c r="I990"/>
      <c r="J990"/>
    </row>
    <row r="991" spans="1:10" x14ac:dyDescent="0.2">
      <c r="A991"/>
      <c r="B991"/>
      <c r="C991"/>
      <c r="D991"/>
      <c r="E991"/>
      <c r="F991"/>
      <c r="G991"/>
      <c r="H991"/>
      <c r="I991"/>
      <c r="J991"/>
    </row>
    <row r="992" spans="1:10" x14ac:dyDescent="0.2">
      <c r="A992"/>
      <c r="B992"/>
      <c r="C992"/>
      <c r="D992"/>
      <c r="E992"/>
      <c r="F992"/>
      <c r="G992"/>
      <c r="H992"/>
      <c r="I992"/>
      <c r="J992"/>
    </row>
    <row r="993" spans="1:10" x14ac:dyDescent="0.2">
      <c r="A993"/>
      <c r="B993"/>
      <c r="C993"/>
      <c r="D993"/>
      <c r="E993"/>
      <c r="F993"/>
      <c r="G993"/>
      <c r="H993"/>
      <c r="I993"/>
      <c r="J993"/>
    </row>
    <row r="994" spans="1:10" x14ac:dyDescent="0.2">
      <c r="A994"/>
      <c r="B994"/>
      <c r="C994"/>
      <c r="D994"/>
      <c r="E994"/>
      <c r="F994"/>
      <c r="G994"/>
      <c r="H994"/>
      <c r="I994"/>
      <c r="J994"/>
    </row>
    <row r="995" spans="1:10" x14ac:dyDescent="0.2">
      <c r="A995"/>
      <c r="B995"/>
      <c r="C995"/>
      <c r="D995"/>
      <c r="E995"/>
      <c r="F995"/>
      <c r="G995"/>
      <c r="H995"/>
      <c r="I995"/>
      <c r="J995"/>
    </row>
    <row r="996" spans="1:10" x14ac:dyDescent="0.2">
      <c r="A996"/>
      <c r="B996"/>
      <c r="C996"/>
      <c r="D996"/>
      <c r="E996"/>
      <c r="F996"/>
      <c r="G996"/>
      <c r="H996"/>
      <c r="I996"/>
      <c r="J996"/>
    </row>
    <row r="997" spans="1:10" x14ac:dyDescent="0.2">
      <c r="A997"/>
      <c r="B997"/>
      <c r="C997"/>
      <c r="D997"/>
      <c r="E997"/>
      <c r="F997"/>
      <c r="G997"/>
      <c r="H997"/>
      <c r="I997"/>
      <c r="J997"/>
    </row>
    <row r="998" spans="1:10" x14ac:dyDescent="0.2">
      <c r="A998"/>
      <c r="B998"/>
      <c r="C998"/>
      <c r="D998"/>
      <c r="E998"/>
      <c r="F998"/>
      <c r="G998"/>
      <c r="H998"/>
      <c r="I998"/>
      <c r="J998"/>
    </row>
    <row r="999" spans="1:10" x14ac:dyDescent="0.2">
      <c r="A999"/>
      <c r="B999"/>
      <c r="C999"/>
      <c r="D999"/>
      <c r="E999"/>
      <c r="F999"/>
      <c r="G999"/>
      <c r="H999"/>
      <c r="I999"/>
      <c r="J999"/>
    </row>
    <row r="1000" spans="1:10" x14ac:dyDescent="0.2">
      <c r="A1000"/>
      <c r="B1000"/>
      <c r="C1000"/>
      <c r="D1000"/>
      <c r="E1000"/>
      <c r="F1000"/>
      <c r="G1000"/>
      <c r="H1000"/>
      <c r="I1000"/>
      <c r="J1000"/>
    </row>
    <row r="1001" spans="1:10" x14ac:dyDescent="0.2">
      <c r="A1001"/>
      <c r="B1001"/>
      <c r="C1001"/>
      <c r="D1001"/>
      <c r="E1001"/>
      <c r="F1001"/>
      <c r="G1001"/>
      <c r="H1001"/>
      <c r="I1001"/>
      <c r="J1001"/>
    </row>
    <row r="1002" spans="1:10" x14ac:dyDescent="0.2">
      <c r="A1002"/>
      <c r="B1002"/>
      <c r="C1002"/>
      <c r="D1002"/>
      <c r="E1002"/>
      <c r="F1002"/>
      <c r="G1002"/>
      <c r="H1002"/>
      <c r="I1002"/>
      <c r="J1002"/>
    </row>
    <row r="1003" spans="1:10" x14ac:dyDescent="0.2">
      <c r="A1003"/>
      <c r="B1003"/>
      <c r="C1003"/>
      <c r="D1003"/>
      <c r="E1003"/>
      <c r="F1003"/>
      <c r="G1003"/>
      <c r="H1003"/>
      <c r="I1003"/>
      <c r="J1003"/>
    </row>
    <row r="1004" spans="1:10" x14ac:dyDescent="0.2">
      <c r="A1004"/>
      <c r="B1004"/>
      <c r="C1004"/>
      <c r="D1004"/>
      <c r="E1004"/>
      <c r="F1004"/>
      <c r="G1004"/>
      <c r="H1004"/>
      <c r="I1004"/>
      <c r="J1004"/>
    </row>
    <row r="1005" spans="1:10" x14ac:dyDescent="0.2">
      <c r="A1005"/>
      <c r="B1005"/>
      <c r="C1005"/>
      <c r="D1005"/>
      <c r="E1005"/>
      <c r="F1005"/>
      <c r="G1005"/>
      <c r="H1005"/>
      <c r="I1005"/>
      <c r="J1005"/>
    </row>
    <row r="1006" spans="1:10" x14ac:dyDescent="0.2">
      <c r="A1006"/>
      <c r="B1006"/>
      <c r="C1006"/>
      <c r="D1006"/>
      <c r="E1006"/>
      <c r="F1006"/>
      <c r="G1006"/>
      <c r="H1006"/>
      <c r="I1006"/>
      <c r="J1006"/>
    </row>
    <row r="1007" spans="1:10" x14ac:dyDescent="0.2">
      <c r="A1007"/>
      <c r="B1007"/>
      <c r="C1007"/>
      <c r="D1007"/>
      <c r="E1007"/>
      <c r="F1007"/>
      <c r="G1007"/>
      <c r="H1007"/>
      <c r="I1007"/>
      <c r="J1007"/>
    </row>
    <row r="1008" spans="1:10" x14ac:dyDescent="0.2">
      <c r="A1008"/>
      <c r="B1008"/>
      <c r="C1008"/>
      <c r="D1008"/>
      <c r="E1008"/>
      <c r="F1008"/>
      <c r="G1008"/>
      <c r="H1008"/>
      <c r="I1008"/>
      <c r="J1008"/>
    </row>
    <row r="1009" spans="1:10" x14ac:dyDescent="0.2">
      <c r="A1009"/>
      <c r="B1009"/>
      <c r="C1009"/>
      <c r="D1009"/>
      <c r="E1009"/>
      <c r="F1009"/>
      <c r="G1009"/>
      <c r="H1009"/>
      <c r="I1009"/>
      <c r="J1009"/>
    </row>
    <row r="1010" spans="1:10" x14ac:dyDescent="0.2">
      <c r="A1010"/>
      <c r="B1010"/>
      <c r="C1010"/>
      <c r="D1010"/>
      <c r="E1010"/>
      <c r="F1010"/>
      <c r="G1010"/>
      <c r="H1010"/>
      <c r="I1010"/>
      <c r="J1010"/>
    </row>
    <row r="1011" spans="1:10" x14ac:dyDescent="0.2">
      <c r="A1011"/>
      <c r="B1011"/>
      <c r="C1011"/>
      <c r="D1011"/>
      <c r="E1011"/>
      <c r="F1011"/>
      <c r="G1011"/>
      <c r="H1011"/>
      <c r="I1011"/>
      <c r="J1011"/>
    </row>
    <row r="1012" spans="1:10" x14ac:dyDescent="0.2">
      <c r="A1012"/>
      <c r="B1012"/>
      <c r="C1012"/>
      <c r="D1012"/>
      <c r="E1012"/>
      <c r="F1012"/>
      <c r="G1012"/>
      <c r="H1012"/>
      <c r="I1012"/>
      <c r="J1012"/>
    </row>
    <row r="1013" spans="1:10" x14ac:dyDescent="0.2">
      <c r="A1013"/>
      <c r="B1013"/>
      <c r="C1013"/>
      <c r="D1013"/>
      <c r="E1013"/>
      <c r="F1013"/>
      <c r="G1013"/>
      <c r="H1013"/>
      <c r="I1013"/>
      <c r="J1013"/>
    </row>
    <row r="1014" spans="1:10" x14ac:dyDescent="0.2">
      <c r="A1014"/>
      <c r="B1014"/>
      <c r="C1014"/>
      <c r="D1014"/>
      <c r="E1014"/>
      <c r="F1014"/>
      <c r="G1014"/>
      <c r="H1014"/>
      <c r="I1014"/>
      <c r="J1014"/>
    </row>
    <row r="1015" spans="1:10" x14ac:dyDescent="0.2">
      <c r="A1015"/>
      <c r="B1015"/>
      <c r="C1015"/>
      <c r="D1015"/>
      <c r="E1015"/>
      <c r="F1015"/>
      <c r="G1015"/>
      <c r="H1015"/>
      <c r="I1015"/>
      <c r="J1015"/>
    </row>
    <row r="1016" spans="1:10" x14ac:dyDescent="0.2">
      <c r="A1016"/>
      <c r="B1016"/>
      <c r="C1016"/>
      <c r="D1016"/>
      <c r="E1016"/>
      <c r="F1016"/>
      <c r="G1016"/>
      <c r="H1016"/>
      <c r="I1016"/>
      <c r="J1016"/>
    </row>
    <row r="1017" spans="1:10" x14ac:dyDescent="0.2">
      <c r="A1017"/>
      <c r="B1017"/>
      <c r="C1017"/>
      <c r="D1017"/>
      <c r="E1017"/>
      <c r="F1017"/>
      <c r="G1017"/>
      <c r="H1017"/>
      <c r="I1017"/>
      <c r="J1017"/>
    </row>
    <row r="1018" spans="1:10" x14ac:dyDescent="0.2">
      <c r="A1018"/>
      <c r="B1018"/>
      <c r="C1018"/>
      <c r="D1018"/>
      <c r="E1018"/>
      <c r="F1018"/>
      <c r="G1018"/>
      <c r="H1018"/>
      <c r="I1018"/>
      <c r="J1018"/>
    </row>
    <row r="1019" spans="1:10" x14ac:dyDescent="0.2">
      <c r="A1019"/>
      <c r="B1019"/>
      <c r="C1019"/>
      <c r="D1019"/>
      <c r="E1019"/>
      <c r="F1019"/>
      <c r="G1019"/>
      <c r="H1019"/>
      <c r="I1019"/>
      <c r="J1019"/>
    </row>
    <row r="1020" spans="1:10" x14ac:dyDescent="0.2">
      <c r="A1020"/>
      <c r="B1020"/>
      <c r="C1020"/>
      <c r="D1020"/>
      <c r="E1020"/>
      <c r="F1020"/>
      <c r="G1020"/>
      <c r="H1020"/>
      <c r="I1020"/>
      <c r="J1020"/>
    </row>
    <row r="1021" spans="1:10" x14ac:dyDescent="0.2">
      <c r="A1021"/>
      <c r="B1021"/>
      <c r="C1021"/>
      <c r="D1021"/>
      <c r="E1021"/>
      <c r="F1021"/>
      <c r="G1021"/>
      <c r="H1021"/>
      <c r="I1021"/>
      <c r="J1021"/>
    </row>
    <row r="1022" spans="1:10" x14ac:dyDescent="0.2">
      <c r="A1022"/>
      <c r="B1022"/>
      <c r="C1022"/>
      <c r="D1022"/>
      <c r="E1022"/>
      <c r="F1022"/>
      <c r="G1022"/>
      <c r="H1022"/>
      <c r="I1022"/>
      <c r="J1022"/>
    </row>
    <row r="1023" spans="1:10" x14ac:dyDescent="0.2">
      <c r="A1023"/>
      <c r="B1023"/>
      <c r="C1023"/>
      <c r="D1023"/>
      <c r="E1023"/>
      <c r="F1023"/>
      <c r="G1023"/>
      <c r="H1023"/>
      <c r="I1023"/>
      <c r="J1023"/>
    </row>
    <row r="1024" spans="1:10" x14ac:dyDescent="0.2">
      <c r="A1024"/>
      <c r="B1024"/>
      <c r="C1024"/>
      <c r="D1024"/>
      <c r="E1024"/>
      <c r="F1024"/>
      <c r="G1024"/>
      <c r="H1024"/>
      <c r="I1024"/>
      <c r="J1024"/>
    </row>
    <row r="1025" spans="1:10" x14ac:dyDescent="0.2">
      <c r="A1025"/>
      <c r="B1025"/>
      <c r="C1025"/>
      <c r="D1025"/>
      <c r="E1025"/>
      <c r="F1025"/>
      <c r="G1025"/>
      <c r="H1025"/>
      <c r="I1025"/>
      <c r="J1025"/>
    </row>
    <row r="1026" spans="1:10" x14ac:dyDescent="0.2">
      <c r="A1026"/>
      <c r="B1026"/>
      <c r="C1026"/>
      <c r="D1026"/>
      <c r="E1026"/>
      <c r="F1026"/>
      <c r="G1026"/>
      <c r="H1026"/>
      <c r="I1026"/>
      <c r="J1026"/>
    </row>
    <row r="1027" spans="1:10" x14ac:dyDescent="0.2">
      <c r="A1027"/>
      <c r="B1027"/>
      <c r="C1027"/>
      <c r="D1027"/>
      <c r="E1027"/>
      <c r="F1027"/>
      <c r="G1027"/>
      <c r="H1027"/>
      <c r="I1027"/>
      <c r="J1027"/>
    </row>
    <row r="1028" spans="1:10" x14ac:dyDescent="0.2">
      <c r="A1028"/>
      <c r="B1028"/>
      <c r="C1028"/>
      <c r="D1028"/>
      <c r="E1028"/>
      <c r="F1028"/>
      <c r="G1028"/>
      <c r="H1028"/>
      <c r="I1028"/>
      <c r="J1028"/>
    </row>
    <row r="1029" spans="1:10" x14ac:dyDescent="0.2">
      <c r="A1029"/>
      <c r="B1029"/>
      <c r="C1029"/>
      <c r="D1029"/>
      <c r="E1029"/>
      <c r="F1029"/>
      <c r="G1029"/>
      <c r="H1029"/>
      <c r="I1029"/>
      <c r="J1029"/>
    </row>
    <row r="1030" spans="1:10" x14ac:dyDescent="0.2">
      <c r="A1030"/>
      <c r="B1030"/>
      <c r="C1030"/>
      <c r="D1030"/>
      <c r="E1030"/>
      <c r="F1030"/>
      <c r="G1030"/>
      <c r="H1030"/>
      <c r="I1030"/>
      <c r="J1030"/>
    </row>
    <row r="1031" spans="1:10" x14ac:dyDescent="0.2">
      <c r="A1031"/>
      <c r="B1031"/>
      <c r="C1031"/>
      <c r="D1031"/>
      <c r="E1031"/>
      <c r="F1031"/>
      <c r="G1031"/>
      <c r="H1031"/>
      <c r="I1031"/>
      <c r="J1031"/>
    </row>
    <row r="1032" spans="1:10" x14ac:dyDescent="0.2">
      <c r="A1032"/>
      <c r="B1032"/>
      <c r="C1032"/>
      <c r="D1032"/>
      <c r="E1032"/>
      <c r="F1032"/>
      <c r="G1032"/>
      <c r="H1032"/>
      <c r="I1032"/>
      <c r="J1032"/>
    </row>
    <row r="1033" spans="1:10" x14ac:dyDescent="0.2">
      <c r="A1033"/>
      <c r="B1033"/>
      <c r="C1033"/>
      <c r="D1033"/>
      <c r="E1033"/>
      <c r="F1033"/>
      <c r="G1033"/>
      <c r="H1033"/>
      <c r="I1033"/>
      <c r="J1033"/>
    </row>
    <row r="1034" spans="1:10" x14ac:dyDescent="0.2">
      <c r="A1034"/>
      <c r="B1034"/>
      <c r="C1034"/>
      <c r="D1034"/>
      <c r="E1034"/>
      <c r="F1034"/>
      <c r="G1034"/>
      <c r="H1034"/>
      <c r="I1034"/>
      <c r="J1034"/>
    </row>
    <row r="1035" spans="1:10" x14ac:dyDescent="0.2">
      <c r="A1035"/>
      <c r="B1035"/>
      <c r="C1035"/>
      <c r="D1035"/>
      <c r="E1035"/>
      <c r="F1035"/>
      <c r="G1035"/>
      <c r="H1035"/>
      <c r="I1035"/>
      <c r="J1035"/>
    </row>
    <row r="1036" spans="1:10" x14ac:dyDescent="0.2">
      <c r="A1036"/>
      <c r="B1036"/>
      <c r="C1036"/>
      <c r="D1036"/>
      <c r="E1036"/>
      <c r="F1036"/>
      <c r="G1036"/>
      <c r="H1036"/>
      <c r="I1036"/>
      <c r="J1036"/>
    </row>
    <row r="1037" spans="1:10" x14ac:dyDescent="0.2">
      <c r="A1037"/>
      <c r="B1037"/>
      <c r="C1037"/>
      <c r="D1037"/>
      <c r="E1037"/>
      <c r="F1037"/>
      <c r="G1037"/>
      <c r="H1037"/>
      <c r="I1037"/>
      <c r="J1037"/>
    </row>
    <row r="1038" spans="1:10" x14ac:dyDescent="0.2">
      <c r="A1038"/>
      <c r="B1038"/>
      <c r="C1038"/>
      <c r="D1038"/>
      <c r="E1038"/>
      <c r="F1038"/>
      <c r="G1038"/>
      <c r="H1038"/>
      <c r="I1038"/>
      <c r="J1038"/>
    </row>
    <row r="1039" spans="1:10" x14ac:dyDescent="0.2">
      <c r="A1039"/>
      <c r="B1039"/>
      <c r="C1039"/>
      <c r="D1039"/>
      <c r="E1039"/>
      <c r="F1039"/>
      <c r="G1039"/>
      <c r="H1039"/>
      <c r="I1039"/>
      <c r="J1039"/>
    </row>
    <row r="1040" spans="1:10" x14ac:dyDescent="0.2">
      <c r="A1040"/>
      <c r="B1040"/>
      <c r="C1040"/>
      <c r="D1040"/>
      <c r="E1040"/>
      <c r="F1040"/>
      <c r="G1040"/>
      <c r="H1040"/>
      <c r="I1040"/>
      <c r="J1040"/>
    </row>
    <row r="1041" spans="1:10" x14ac:dyDescent="0.2">
      <c r="A1041"/>
      <c r="B1041"/>
      <c r="C1041"/>
      <c r="D1041"/>
      <c r="E1041"/>
      <c r="F1041"/>
      <c r="G1041"/>
      <c r="H1041"/>
      <c r="I1041"/>
      <c r="J1041"/>
    </row>
    <row r="1042" spans="1:10" x14ac:dyDescent="0.2">
      <c r="A1042"/>
      <c r="B1042"/>
      <c r="C1042"/>
      <c r="D1042"/>
      <c r="E1042"/>
      <c r="F1042"/>
      <c r="G1042"/>
      <c r="H1042"/>
      <c r="I1042"/>
      <c r="J1042"/>
    </row>
    <row r="1043" spans="1:10" x14ac:dyDescent="0.2">
      <c r="A1043"/>
      <c r="B1043"/>
      <c r="C1043"/>
      <c r="D1043"/>
      <c r="E1043"/>
      <c r="F1043"/>
      <c r="G1043"/>
      <c r="H1043"/>
      <c r="I1043"/>
      <c r="J1043"/>
    </row>
    <row r="1044" spans="1:10" x14ac:dyDescent="0.2">
      <c r="A1044"/>
      <c r="B1044"/>
      <c r="C1044"/>
      <c r="D1044"/>
      <c r="E1044"/>
      <c r="F1044"/>
      <c r="G1044"/>
      <c r="H1044"/>
      <c r="I1044"/>
      <c r="J1044"/>
    </row>
    <row r="1045" spans="1:10" x14ac:dyDescent="0.2">
      <c r="A1045"/>
      <c r="B1045"/>
      <c r="C1045"/>
      <c r="D1045"/>
      <c r="E1045"/>
      <c r="F1045"/>
      <c r="G1045"/>
      <c r="H1045"/>
      <c r="I1045"/>
      <c r="J1045"/>
    </row>
    <row r="1046" spans="1:10" x14ac:dyDescent="0.2">
      <c r="A1046"/>
      <c r="B1046"/>
      <c r="C1046"/>
      <c r="D1046"/>
      <c r="E1046"/>
      <c r="F1046"/>
      <c r="G1046"/>
      <c r="H1046"/>
      <c r="I1046"/>
      <c r="J1046"/>
    </row>
    <row r="1047" spans="1:10" x14ac:dyDescent="0.2">
      <c r="A1047"/>
      <c r="B1047"/>
      <c r="C1047"/>
      <c r="D1047"/>
      <c r="E1047"/>
      <c r="F1047"/>
      <c r="G1047"/>
      <c r="H1047"/>
      <c r="I1047"/>
      <c r="J1047"/>
    </row>
    <row r="1048" spans="1:10" x14ac:dyDescent="0.2">
      <c r="A1048"/>
      <c r="B1048"/>
      <c r="C1048"/>
      <c r="D1048"/>
      <c r="E1048"/>
      <c r="F1048"/>
      <c r="G1048"/>
      <c r="H1048"/>
      <c r="I1048"/>
      <c r="J1048"/>
    </row>
    <row r="1049" spans="1:10" x14ac:dyDescent="0.2">
      <c r="A1049"/>
      <c r="B1049"/>
      <c r="C1049"/>
      <c r="D1049"/>
      <c r="E1049"/>
      <c r="F1049"/>
      <c r="G1049"/>
      <c r="H1049"/>
      <c r="I1049"/>
      <c r="J1049"/>
    </row>
    <row r="1050" spans="1:10" x14ac:dyDescent="0.2">
      <c r="A1050"/>
      <c r="B1050"/>
      <c r="C1050"/>
      <c r="D1050"/>
      <c r="E1050"/>
      <c r="F1050"/>
      <c r="G1050"/>
      <c r="H1050"/>
      <c r="I1050"/>
      <c r="J1050"/>
    </row>
    <row r="1051" spans="1:10" x14ac:dyDescent="0.2">
      <c r="A1051"/>
      <c r="B1051"/>
      <c r="C1051"/>
      <c r="D1051"/>
      <c r="E1051"/>
      <c r="F1051"/>
      <c r="G1051"/>
      <c r="H1051"/>
      <c r="I1051"/>
      <c r="J1051"/>
    </row>
    <row r="1052" spans="1:10" x14ac:dyDescent="0.2">
      <c r="A1052"/>
      <c r="B1052"/>
      <c r="C1052"/>
      <c r="D1052"/>
      <c r="E1052"/>
      <c r="F1052"/>
      <c r="G1052"/>
      <c r="H1052"/>
      <c r="I1052"/>
      <c r="J1052"/>
    </row>
    <row r="1053" spans="1:10" x14ac:dyDescent="0.2">
      <c r="A1053"/>
      <c r="B1053"/>
      <c r="C1053"/>
      <c r="D1053"/>
      <c r="E1053"/>
      <c r="F1053"/>
      <c r="G1053"/>
      <c r="H1053"/>
      <c r="I1053"/>
      <c r="J1053"/>
    </row>
    <row r="1054" spans="1:10" x14ac:dyDescent="0.2">
      <c r="A1054"/>
      <c r="B1054"/>
      <c r="C1054"/>
      <c r="D1054"/>
      <c r="E1054"/>
      <c r="F1054"/>
      <c r="G1054"/>
      <c r="H1054"/>
      <c r="I1054"/>
      <c r="J1054"/>
    </row>
    <row r="1055" spans="1:10" x14ac:dyDescent="0.2">
      <c r="A1055"/>
      <c r="B1055"/>
      <c r="C1055"/>
      <c r="D1055"/>
      <c r="E1055"/>
      <c r="F1055"/>
      <c r="G1055"/>
      <c r="H1055"/>
      <c r="I1055"/>
      <c r="J1055"/>
    </row>
    <row r="1056" spans="1:10" x14ac:dyDescent="0.2">
      <c r="A1056"/>
      <c r="B1056"/>
      <c r="C1056"/>
      <c r="D1056"/>
      <c r="E1056"/>
      <c r="F1056"/>
      <c r="G1056"/>
      <c r="H1056"/>
      <c r="I1056"/>
      <c r="J1056"/>
    </row>
    <row r="1057" spans="1:10" x14ac:dyDescent="0.2">
      <c r="A1057"/>
      <c r="B1057"/>
      <c r="C1057"/>
      <c r="D1057"/>
      <c r="E1057"/>
      <c r="F1057"/>
      <c r="G1057"/>
      <c r="H1057"/>
      <c r="I1057"/>
      <c r="J1057"/>
    </row>
    <row r="1058" spans="1:10" x14ac:dyDescent="0.2">
      <c r="A1058"/>
      <c r="B1058"/>
      <c r="C1058"/>
      <c r="D1058"/>
      <c r="E1058"/>
      <c r="F1058"/>
      <c r="G1058"/>
      <c r="H1058"/>
      <c r="I1058"/>
      <c r="J1058"/>
    </row>
    <row r="1059" spans="1:10" x14ac:dyDescent="0.2">
      <c r="A1059"/>
      <c r="B1059"/>
      <c r="C1059"/>
      <c r="D1059"/>
      <c r="E1059"/>
      <c r="F1059"/>
      <c r="G1059"/>
      <c r="H1059"/>
      <c r="I1059"/>
      <c r="J1059"/>
    </row>
    <row r="1060" spans="1:10" x14ac:dyDescent="0.2">
      <c r="A1060"/>
      <c r="B1060"/>
      <c r="C1060"/>
      <c r="D1060"/>
      <c r="E1060"/>
      <c r="F1060"/>
      <c r="G1060"/>
      <c r="H1060"/>
      <c r="I1060"/>
      <c r="J1060"/>
    </row>
    <row r="1061" spans="1:10" x14ac:dyDescent="0.2">
      <c r="A1061"/>
      <c r="B1061"/>
      <c r="C1061"/>
      <c r="D1061"/>
      <c r="E1061"/>
      <c r="F1061"/>
      <c r="G1061"/>
      <c r="H1061"/>
      <c r="I1061"/>
      <c r="J1061"/>
    </row>
    <row r="1062" spans="1:10" x14ac:dyDescent="0.2">
      <c r="A1062"/>
      <c r="B1062"/>
      <c r="C1062"/>
      <c r="D1062"/>
      <c r="E1062"/>
      <c r="F1062"/>
      <c r="G1062"/>
      <c r="H1062"/>
      <c r="I1062"/>
      <c r="J1062"/>
    </row>
    <row r="1063" spans="1:10" x14ac:dyDescent="0.2">
      <c r="A1063"/>
      <c r="B1063"/>
      <c r="C1063"/>
      <c r="D1063"/>
      <c r="E1063"/>
      <c r="F1063"/>
      <c r="G1063"/>
      <c r="H1063"/>
      <c r="I1063"/>
      <c r="J1063"/>
    </row>
    <row r="1064" spans="1:10" x14ac:dyDescent="0.2">
      <c r="A1064"/>
      <c r="B1064"/>
      <c r="C1064"/>
      <c r="D1064"/>
      <c r="E1064"/>
      <c r="F1064"/>
      <c r="G1064"/>
      <c r="H1064"/>
      <c r="I1064"/>
      <c r="J1064"/>
    </row>
    <row r="1065" spans="1:10" x14ac:dyDescent="0.2">
      <c r="A1065"/>
      <c r="B1065"/>
      <c r="C1065"/>
      <c r="D1065"/>
      <c r="E1065"/>
      <c r="F1065"/>
      <c r="G1065"/>
      <c r="H1065"/>
      <c r="I1065"/>
      <c r="J1065"/>
    </row>
    <row r="1066" spans="1:10" x14ac:dyDescent="0.2">
      <c r="A1066"/>
      <c r="B1066"/>
      <c r="C1066"/>
      <c r="D1066"/>
      <c r="E1066"/>
      <c r="F1066"/>
      <c r="G1066"/>
      <c r="H1066"/>
      <c r="I1066"/>
      <c r="J1066"/>
    </row>
    <row r="1067" spans="1:10" x14ac:dyDescent="0.2">
      <c r="A1067"/>
      <c r="B1067"/>
      <c r="C1067"/>
      <c r="D1067"/>
      <c r="E1067"/>
      <c r="F1067"/>
      <c r="G1067"/>
      <c r="H1067"/>
      <c r="I1067"/>
      <c r="J1067"/>
    </row>
    <row r="1068" spans="1:10" x14ac:dyDescent="0.2">
      <c r="A1068"/>
      <c r="B1068"/>
      <c r="C1068"/>
      <c r="D1068"/>
      <c r="E1068"/>
      <c r="F1068"/>
      <c r="G1068"/>
      <c r="H1068"/>
      <c r="I1068"/>
      <c r="J1068"/>
    </row>
    <row r="1069" spans="1:10" x14ac:dyDescent="0.2">
      <c r="A1069"/>
      <c r="B1069"/>
      <c r="C1069"/>
      <c r="D1069"/>
      <c r="E1069"/>
      <c r="F1069"/>
      <c r="G1069"/>
      <c r="H1069"/>
      <c r="I1069"/>
      <c r="J1069"/>
    </row>
    <row r="1070" spans="1:10" x14ac:dyDescent="0.2">
      <c r="A1070"/>
      <c r="B1070"/>
      <c r="C1070"/>
      <c r="D1070"/>
      <c r="E1070"/>
      <c r="F1070"/>
      <c r="G1070"/>
      <c r="H1070"/>
      <c r="I1070"/>
      <c r="J1070"/>
    </row>
    <row r="1071" spans="1:10" x14ac:dyDescent="0.2">
      <c r="A1071"/>
      <c r="B1071"/>
      <c r="C1071"/>
      <c r="D1071"/>
      <c r="E1071"/>
      <c r="F1071"/>
      <c r="G1071"/>
      <c r="H1071"/>
      <c r="I1071"/>
      <c r="J1071"/>
    </row>
    <row r="1072" spans="1:10" x14ac:dyDescent="0.2">
      <c r="A1072"/>
      <c r="B1072"/>
      <c r="C1072"/>
      <c r="D1072"/>
      <c r="E1072"/>
      <c r="F1072"/>
      <c r="G1072"/>
      <c r="H1072"/>
      <c r="I1072"/>
      <c r="J1072"/>
    </row>
    <row r="1073" spans="1:10" x14ac:dyDescent="0.2">
      <c r="A1073"/>
      <c r="B1073"/>
      <c r="C1073"/>
      <c r="D1073"/>
      <c r="E1073"/>
      <c r="F1073"/>
      <c r="G1073"/>
      <c r="H1073"/>
      <c r="I1073"/>
      <c r="J1073"/>
    </row>
    <row r="1074" spans="1:10" x14ac:dyDescent="0.2">
      <c r="A1074"/>
      <c r="B1074"/>
      <c r="C1074"/>
      <c r="D1074"/>
      <c r="E1074"/>
      <c r="F1074"/>
      <c r="G1074"/>
      <c r="H1074"/>
      <c r="I1074"/>
      <c r="J1074"/>
    </row>
    <row r="1075" spans="1:10" x14ac:dyDescent="0.2">
      <c r="A1075"/>
      <c r="B1075"/>
      <c r="C1075"/>
      <c r="D1075"/>
      <c r="E1075"/>
      <c r="F1075"/>
      <c r="G1075"/>
      <c r="H1075"/>
      <c r="I1075"/>
      <c r="J1075"/>
    </row>
    <row r="1076" spans="1:10" x14ac:dyDescent="0.2">
      <c r="A1076"/>
      <c r="B1076"/>
      <c r="C1076"/>
      <c r="D1076"/>
      <c r="E1076"/>
      <c r="F1076"/>
      <c r="G1076"/>
      <c r="H1076"/>
      <c r="I1076"/>
      <c r="J1076"/>
    </row>
    <row r="1077" spans="1:10" x14ac:dyDescent="0.2">
      <c r="A1077"/>
      <c r="B1077"/>
      <c r="C1077"/>
      <c r="D1077"/>
      <c r="E1077"/>
      <c r="F1077"/>
      <c r="G1077"/>
      <c r="H1077"/>
      <c r="I1077"/>
      <c r="J1077"/>
    </row>
    <row r="1078" spans="1:10" x14ac:dyDescent="0.2">
      <c r="A1078"/>
      <c r="B1078"/>
      <c r="C1078"/>
      <c r="D1078"/>
      <c r="E1078"/>
      <c r="F1078"/>
      <c r="G1078"/>
      <c r="H1078"/>
      <c r="I1078"/>
      <c r="J1078"/>
    </row>
    <row r="1079" spans="1:10" x14ac:dyDescent="0.2">
      <c r="A1079"/>
      <c r="B1079"/>
      <c r="C1079"/>
      <c r="D1079"/>
      <c r="E1079"/>
      <c r="F1079"/>
      <c r="G1079"/>
      <c r="H1079"/>
      <c r="I1079"/>
      <c r="J1079"/>
    </row>
    <row r="1080" spans="1:10" x14ac:dyDescent="0.2">
      <c r="A1080"/>
      <c r="B1080"/>
      <c r="C1080"/>
      <c r="D1080"/>
      <c r="E1080"/>
      <c r="F1080"/>
      <c r="G1080"/>
      <c r="H1080"/>
      <c r="I1080"/>
      <c r="J1080"/>
    </row>
    <row r="1081" spans="1:10" x14ac:dyDescent="0.2">
      <c r="A1081"/>
      <c r="B1081"/>
      <c r="C1081"/>
      <c r="D1081"/>
      <c r="E1081"/>
      <c r="F1081"/>
      <c r="G1081"/>
      <c r="H1081"/>
      <c r="I1081"/>
      <c r="J1081"/>
    </row>
    <row r="1082" spans="1:10" x14ac:dyDescent="0.2">
      <c r="A1082"/>
      <c r="B1082"/>
      <c r="C1082"/>
      <c r="D1082"/>
      <c r="E1082"/>
      <c r="F1082"/>
      <c r="G1082"/>
      <c r="H1082"/>
      <c r="I1082"/>
      <c r="J1082"/>
    </row>
    <row r="1083" spans="1:10" x14ac:dyDescent="0.2">
      <c r="A1083"/>
      <c r="B1083"/>
      <c r="C1083"/>
      <c r="D1083"/>
      <c r="E1083"/>
      <c r="F1083"/>
      <c r="G1083"/>
      <c r="H1083"/>
      <c r="I1083"/>
      <c r="J1083"/>
    </row>
    <row r="1084" spans="1:10" x14ac:dyDescent="0.2">
      <c r="A1084"/>
      <c r="B1084"/>
      <c r="C1084"/>
      <c r="D1084"/>
      <c r="E1084"/>
      <c r="F1084"/>
      <c r="G1084"/>
      <c r="H1084"/>
      <c r="I1084"/>
      <c r="J1084"/>
    </row>
    <row r="1085" spans="1:10" x14ac:dyDescent="0.2">
      <c r="A1085"/>
      <c r="B1085"/>
      <c r="C1085"/>
      <c r="D1085"/>
      <c r="E1085"/>
      <c r="F1085"/>
      <c r="G1085"/>
      <c r="H1085"/>
      <c r="I1085"/>
      <c r="J1085"/>
    </row>
    <row r="1086" spans="1:10" x14ac:dyDescent="0.2">
      <c r="A1086"/>
      <c r="B1086"/>
      <c r="C1086"/>
      <c r="D1086"/>
      <c r="E1086"/>
      <c r="F1086"/>
      <c r="G1086"/>
      <c r="H1086"/>
      <c r="I1086"/>
      <c r="J1086"/>
    </row>
    <row r="1087" spans="1:10" x14ac:dyDescent="0.2">
      <c r="A1087"/>
      <c r="B1087"/>
      <c r="C1087"/>
      <c r="D1087"/>
      <c r="E1087"/>
      <c r="F1087"/>
      <c r="G1087"/>
      <c r="H1087"/>
      <c r="I1087"/>
      <c r="J1087"/>
    </row>
    <row r="1088" spans="1:10" x14ac:dyDescent="0.2">
      <c r="A1088"/>
      <c r="B1088"/>
      <c r="C1088"/>
      <c r="D1088"/>
      <c r="E1088"/>
      <c r="F1088"/>
      <c r="G1088"/>
      <c r="H1088"/>
      <c r="I1088"/>
      <c r="J1088"/>
    </row>
    <row r="1089" spans="1:10" x14ac:dyDescent="0.2">
      <c r="A1089"/>
      <c r="B1089"/>
      <c r="C1089"/>
      <c r="D1089"/>
      <c r="E1089"/>
      <c r="F1089"/>
      <c r="G1089"/>
      <c r="H1089"/>
      <c r="I1089"/>
      <c r="J1089"/>
    </row>
    <row r="1090" spans="1:10" x14ac:dyDescent="0.2">
      <c r="A1090"/>
      <c r="B1090"/>
      <c r="C1090"/>
      <c r="D1090"/>
      <c r="E1090"/>
      <c r="F1090"/>
      <c r="G1090"/>
      <c r="H1090"/>
      <c r="I1090"/>
      <c r="J1090"/>
    </row>
    <row r="1091" spans="1:10" x14ac:dyDescent="0.2">
      <c r="A1091"/>
      <c r="B1091"/>
      <c r="C1091"/>
      <c r="D1091"/>
      <c r="E1091"/>
      <c r="F1091"/>
      <c r="G1091"/>
      <c r="H1091"/>
      <c r="I1091"/>
      <c r="J1091"/>
    </row>
    <row r="1092" spans="1:10" x14ac:dyDescent="0.2">
      <c r="A1092"/>
      <c r="B1092"/>
      <c r="C1092"/>
      <c r="D1092"/>
      <c r="E1092"/>
      <c r="F1092"/>
      <c r="G1092"/>
      <c r="H1092"/>
      <c r="I1092"/>
      <c r="J1092"/>
    </row>
    <row r="1093" spans="1:10" x14ac:dyDescent="0.2">
      <c r="A1093"/>
      <c r="B1093"/>
      <c r="C1093"/>
      <c r="D1093"/>
      <c r="E1093"/>
      <c r="F1093"/>
      <c r="G1093"/>
      <c r="H1093"/>
      <c r="I1093"/>
      <c r="J1093"/>
    </row>
    <row r="1094" spans="1:10" x14ac:dyDescent="0.2">
      <c r="A1094"/>
      <c r="B1094"/>
      <c r="C1094"/>
      <c r="D1094"/>
      <c r="E1094"/>
      <c r="F1094"/>
      <c r="G1094"/>
      <c r="H1094"/>
      <c r="I1094"/>
      <c r="J1094"/>
    </row>
    <row r="1095" spans="1:10" x14ac:dyDescent="0.2">
      <c r="A1095"/>
      <c r="B1095"/>
      <c r="C1095"/>
      <c r="D1095"/>
      <c r="E1095"/>
      <c r="F1095"/>
      <c r="G1095"/>
      <c r="H1095"/>
      <c r="I1095"/>
      <c r="J1095"/>
    </row>
    <row r="1096" spans="1:10" x14ac:dyDescent="0.2">
      <c r="A1096"/>
      <c r="B1096"/>
      <c r="C1096"/>
      <c r="D1096"/>
      <c r="E1096"/>
      <c r="F1096"/>
      <c r="G1096"/>
      <c r="H1096"/>
      <c r="I1096"/>
      <c r="J1096"/>
    </row>
    <row r="1097" spans="1:10" x14ac:dyDescent="0.2">
      <c r="A1097"/>
      <c r="B1097"/>
      <c r="C1097"/>
      <c r="D1097"/>
      <c r="E1097"/>
      <c r="F1097"/>
      <c r="G1097"/>
      <c r="H1097"/>
      <c r="I1097"/>
      <c r="J1097"/>
    </row>
    <row r="1098" spans="1:10" x14ac:dyDescent="0.2">
      <c r="A1098"/>
      <c r="B1098"/>
      <c r="C1098"/>
      <c r="D1098"/>
      <c r="E1098"/>
      <c r="F1098"/>
      <c r="G1098"/>
      <c r="H1098"/>
      <c r="I1098"/>
      <c r="J1098"/>
    </row>
    <row r="1099" spans="1:10" x14ac:dyDescent="0.2">
      <c r="A1099"/>
      <c r="B1099"/>
      <c r="C1099"/>
      <c r="D1099"/>
      <c r="E1099"/>
      <c r="F1099"/>
      <c r="G1099"/>
      <c r="H1099"/>
      <c r="I1099"/>
      <c r="J1099"/>
    </row>
    <row r="1100" spans="1:10" x14ac:dyDescent="0.2">
      <c r="A1100"/>
      <c r="B1100"/>
      <c r="C1100"/>
      <c r="D1100"/>
      <c r="E1100"/>
      <c r="F1100"/>
      <c r="G1100"/>
      <c r="H1100"/>
      <c r="I1100"/>
      <c r="J1100"/>
    </row>
    <row r="1101" spans="1:10" x14ac:dyDescent="0.2">
      <c r="A1101"/>
      <c r="B1101"/>
      <c r="C1101"/>
      <c r="D1101"/>
      <c r="E1101"/>
      <c r="F1101"/>
      <c r="G1101"/>
      <c r="H1101"/>
      <c r="I1101"/>
      <c r="J1101"/>
    </row>
    <row r="1102" spans="1:10" x14ac:dyDescent="0.2">
      <c r="A1102"/>
      <c r="B1102"/>
      <c r="C1102"/>
      <c r="D1102"/>
      <c r="E1102"/>
      <c r="F1102"/>
      <c r="G1102"/>
      <c r="H1102"/>
      <c r="I1102"/>
      <c r="J1102"/>
    </row>
    <row r="1103" spans="1:10" x14ac:dyDescent="0.2">
      <c r="A1103"/>
      <c r="B1103"/>
      <c r="C1103"/>
      <c r="D1103"/>
      <c r="E1103"/>
      <c r="F1103"/>
      <c r="G1103"/>
      <c r="H1103"/>
      <c r="I1103"/>
      <c r="J1103"/>
    </row>
    <row r="1104" spans="1:10" x14ac:dyDescent="0.2">
      <c r="A1104"/>
      <c r="B1104"/>
      <c r="C1104"/>
      <c r="D1104"/>
      <c r="E1104"/>
      <c r="F1104"/>
      <c r="G1104"/>
      <c r="H1104"/>
      <c r="I1104"/>
      <c r="J1104"/>
    </row>
    <row r="1105" spans="1:10" x14ac:dyDescent="0.2">
      <c r="A1105"/>
      <c r="B1105"/>
      <c r="C1105"/>
      <c r="D1105"/>
      <c r="E1105"/>
      <c r="F1105"/>
      <c r="G1105"/>
      <c r="H1105"/>
      <c r="I1105"/>
      <c r="J1105"/>
    </row>
    <row r="1106" spans="1:10" x14ac:dyDescent="0.2">
      <c r="A1106"/>
      <c r="B1106"/>
      <c r="C1106"/>
      <c r="D1106"/>
      <c r="E1106"/>
      <c r="F1106"/>
      <c r="G1106"/>
      <c r="H1106"/>
      <c r="I1106"/>
      <c r="J1106"/>
    </row>
    <row r="1107" spans="1:10" x14ac:dyDescent="0.2">
      <c r="A1107"/>
      <c r="B1107"/>
      <c r="C1107"/>
      <c r="D1107"/>
      <c r="E1107"/>
      <c r="F1107"/>
      <c r="G1107"/>
      <c r="H1107"/>
      <c r="I1107"/>
      <c r="J1107"/>
    </row>
    <row r="1108" spans="1:10" x14ac:dyDescent="0.2">
      <c r="A1108"/>
      <c r="B1108"/>
      <c r="C1108"/>
      <c r="D1108"/>
      <c r="E1108"/>
      <c r="F1108"/>
      <c r="G1108"/>
      <c r="H1108"/>
      <c r="I1108"/>
      <c r="J1108"/>
    </row>
    <row r="1109" spans="1:10" x14ac:dyDescent="0.2">
      <c r="A1109"/>
      <c r="B1109"/>
      <c r="C1109"/>
      <c r="D1109"/>
      <c r="E1109"/>
      <c r="F1109"/>
      <c r="G1109"/>
      <c r="H1109"/>
      <c r="I1109"/>
      <c r="J1109"/>
    </row>
    <row r="1110" spans="1:10" x14ac:dyDescent="0.2">
      <c r="A1110"/>
      <c r="B1110"/>
      <c r="C1110"/>
      <c r="D1110"/>
      <c r="E1110"/>
      <c r="F1110"/>
      <c r="G1110"/>
      <c r="H1110"/>
      <c r="I1110"/>
      <c r="J1110"/>
    </row>
    <row r="1111" spans="1:10" x14ac:dyDescent="0.2">
      <c r="A1111"/>
      <c r="B1111"/>
      <c r="C1111"/>
      <c r="D1111"/>
      <c r="E1111"/>
      <c r="F1111"/>
      <c r="G1111"/>
      <c r="H1111"/>
      <c r="I1111"/>
      <c r="J1111"/>
    </row>
    <row r="1112" spans="1:10" x14ac:dyDescent="0.2">
      <c r="A1112"/>
      <c r="B1112"/>
      <c r="C1112"/>
      <c r="D1112"/>
      <c r="E1112"/>
      <c r="F1112"/>
      <c r="G1112"/>
      <c r="H1112"/>
      <c r="I1112"/>
      <c r="J1112"/>
    </row>
    <row r="1113" spans="1:10" x14ac:dyDescent="0.2">
      <c r="A1113"/>
      <c r="B1113"/>
      <c r="C1113"/>
      <c r="D1113"/>
      <c r="E1113"/>
      <c r="F1113"/>
      <c r="G1113"/>
      <c r="H1113"/>
      <c r="I1113"/>
      <c r="J1113"/>
    </row>
    <row r="1114" spans="1:10" x14ac:dyDescent="0.2">
      <c r="A1114"/>
      <c r="B1114"/>
      <c r="C1114"/>
      <c r="D1114"/>
      <c r="E1114"/>
      <c r="F1114"/>
      <c r="G1114"/>
      <c r="H1114"/>
      <c r="I1114"/>
      <c r="J1114"/>
    </row>
    <row r="1115" spans="1:10" x14ac:dyDescent="0.2">
      <c r="A1115"/>
      <c r="B1115"/>
      <c r="C1115"/>
      <c r="D1115"/>
      <c r="E1115"/>
      <c r="F1115"/>
      <c r="G1115"/>
      <c r="H1115"/>
      <c r="I1115"/>
      <c r="J1115"/>
    </row>
    <row r="1116" spans="1:10" x14ac:dyDescent="0.2">
      <c r="A1116"/>
      <c r="B1116"/>
      <c r="C1116"/>
      <c r="D1116"/>
      <c r="E1116"/>
      <c r="F1116"/>
      <c r="G1116"/>
      <c r="H1116"/>
      <c r="I1116"/>
      <c r="J1116"/>
    </row>
    <row r="1117" spans="1:10" x14ac:dyDescent="0.2">
      <c r="A1117"/>
      <c r="B1117"/>
      <c r="C1117"/>
      <c r="D1117"/>
      <c r="E1117"/>
      <c r="F1117"/>
      <c r="G1117"/>
      <c r="H1117"/>
      <c r="I1117"/>
      <c r="J1117"/>
    </row>
    <row r="1118" spans="1:10" x14ac:dyDescent="0.2">
      <c r="A1118"/>
      <c r="B1118"/>
      <c r="C1118"/>
      <c r="D1118"/>
      <c r="E1118"/>
      <c r="F1118"/>
      <c r="G1118"/>
      <c r="H1118"/>
      <c r="I1118"/>
      <c r="J1118"/>
    </row>
    <row r="1119" spans="1:10" x14ac:dyDescent="0.2">
      <c r="A1119"/>
      <c r="B1119"/>
      <c r="C1119"/>
      <c r="D1119"/>
      <c r="E1119"/>
      <c r="F1119"/>
      <c r="G1119"/>
      <c r="H1119"/>
      <c r="I1119"/>
      <c r="J1119"/>
    </row>
    <row r="1120" spans="1:10" x14ac:dyDescent="0.2">
      <c r="A1120"/>
      <c r="B1120"/>
      <c r="C1120"/>
      <c r="D1120"/>
      <c r="E1120"/>
      <c r="F1120"/>
      <c r="G1120"/>
      <c r="H1120"/>
      <c r="I1120"/>
      <c r="J1120"/>
    </row>
    <row r="1121" spans="1:10" x14ac:dyDescent="0.2">
      <c r="A1121"/>
      <c r="B1121"/>
      <c r="C1121"/>
      <c r="D1121"/>
      <c r="E1121"/>
      <c r="F1121"/>
      <c r="G1121"/>
      <c r="H1121"/>
      <c r="I1121"/>
      <c r="J1121"/>
    </row>
    <row r="1122" spans="1:10" x14ac:dyDescent="0.2">
      <c r="A1122"/>
      <c r="B1122"/>
      <c r="C1122"/>
      <c r="D1122"/>
      <c r="E1122"/>
      <c r="F1122"/>
      <c r="G1122"/>
      <c r="H1122"/>
      <c r="I1122"/>
      <c r="J1122"/>
    </row>
    <row r="1123" spans="1:10" x14ac:dyDescent="0.2">
      <c r="A1123"/>
      <c r="B1123"/>
      <c r="C1123"/>
      <c r="D1123"/>
      <c r="E1123"/>
      <c r="F1123"/>
      <c r="G1123"/>
      <c r="H1123"/>
      <c r="I1123"/>
      <c r="J1123"/>
    </row>
    <row r="1124" spans="1:10" x14ac:dyDescent="0.2">
      <c r="A1124"/>
      <c r="B1124"/>
      <c r="C1124"/>
      <c r="D1124"/>
      <c r="E1124"/>
      <c r="F1124"/>
      <c r="G1124"/>
      <c r="H1124"/>
      <c r="I1124"/>
      <c r="J1124"/>
    </row>
    <row r="1125" spans="1:10" x14ac:dyDescent="0.2">
      <c r="A1125"/>
      <c r="B1125"/>
      <c r="C1125"/>
      <c r="D1125"/>
      <c r="E1125"/>
      <c r="F1125"/>
      <c r="G1125"/>
      <c r="H1125"/>
      <c r="I1125"/>
      <c r="J1125"/>
    </row>
    <row r="1126" spans="1:10" x14ac:dyDescent="0.2">
      <c r="A1126"/>
      <c r="B1126"/>
      <c r="C1126"/>
      <c r="D1126"/>
      <c r="E1126"/>
      <c r="F1126"/>
      <c r="G1126"/>
      <c r="H1126"/>
      <c r="I1126"/>
      <c r="J1126"/>
    </row>
    <row r="1127" spans="1:10" x14ac:dyDescent="0.2">
      <c r="A1127"/>
      <c r="B1127"/>
      <c r="C1127"/>
      <c r="D1127"/>
      <c r="E1127"/>
      <c r="F1127"/>
      <c r="G1127"/>
      <c r="H1127"/>
      <c r="I1127"/>
      <c r="J1127"/>
    </row>
    <row r="1128" spans="1:10" x14ac:dyDescent="0.2">
      <c r="A1128"/>
      <c r="B1128"/>
      <c r="C1128"/>
      <c r="D1128"/>
      <c r="E1128"/>
      <c r="F1128"/>
      <c r="G1128"/>
      <c r="H1128"/>
      <c r="I1128"/>
      <c r="J1128"/>
    </row>
    <row r="1129" spans="1:10" x14ac:dyDescent="0.2">
      <c r="A1129"/>
      <c r="B1129"/>
      <c r="C1129"/>
      <c r="D1129"/>
      <c r="E1129"/>
      <c r="F1129"/>
      <c r="G1129"/>
      <c r="H1129"/>
      <c r="I1129"/>
      <c r="J1129"/>
    </row>
    <row r="1130" spans="1:10" x14ac:dyDescent="0.2">
      <c r="A1130"/>
      <c r="B1130"/>
      <c r="C1130"/>
      <c r="D1130"/>
      <c r="E1130"/>
      <c r="F1130"/>
      <c r="G1130"/>
      <c r="H1130"/>
      <c r="I1130"/>
      <c r="J1130"/>
    </row>
    <row r="1131" spans="1:10" x14ac:dyDescent="0.2">
      <c r="A1131"/>
      <c r="B1131"/>
      <c r="C1131"/>
      <c r="D1131"/>
      <c r="E1131"/>
      <c r="F1131"/>
      <c r="G1131"/>
      <c r="H1131"/>
      <c r="I1131"/>
      <c r="J1131"/>
    </row>
    <row r="1132" spans="1:10" x14ac:dyDescent="0.2">
      <c r="A1132"/>
      <c r="B1132"/>
      <c r="C1132"/>
      <c r="D1132"/>
      <c r="E1132"/>
      <c r="F1132"/>
      <c r="G1132"/>
      <c r="H1132"/>
      <c r="I1132"/>
      <c r="J1132"/>
    </row>
    <row r="1133" spans="1:10" x14ac:dyDescent="0.2">
      <c r="A1133"/>
      <c r="B1133"/>
      <c r="C1133"/>
      <c r="D1133"/>
      <c r="E1133"/>
      <c r="F1133"/>
      <c r="G1133"/>
      <c r="H1133"/>
      <c r="I1133"/>
      <c r="J1133"/>
    </row>
    <row r="1134" spans="1:10" x14ac:dyDescent="0.2">
      <c r="A1134"/>
      <c r="B1134"/>
      <c r="C1134"/>
      <c r="D1134"/>
      <c r="E1134"/>
      <c r="F1134"/>
      <c r="G1134"/>
      <c r="H1134"/>
      <c r="I1134"/>
      <c r="J1134"/>
    </row>
    <row r="1135" spans="1:10" x14ac:dyDescent="0.2">
      <c r="A1135"/>
      <c r="B1135"/>
      <c r="C1135"/>
      <c r="D1135"/>
      <c r="E1135"/>
      <c r="F1135"/>
      <c r="G1135"/>
      <c r="H1135"/>
      <c r="I1135"/>
      <c r="J1135"/>
    </row>
    <row r="1136" spans="1:10" x14ac:dyDescent="0.2">
      <c r="A1136"/>
      <c r="B1136"/>
      <c r="C1136"/>
      <c r="D1136"/>
      <c r="E1136"/>
      <c r="F1136"/>
      <c r="G1136"/>
      <c r="H1136"/>
      <c r="I1136"/>
      <c r="J1136"/>
    </row>
    <row r="1137" spans="1:10" x14ac:dyDescent="0.2">
      <c r="A1137"/>
      <c r="B1137"/>
      <c r="C1137"/>
      <c r="D1137"/>
      <c r="E1137"/>
      <c r="F1137"/>
      <c r="G1137"/>
      <c r="H1137"/>
      <c r="I1137"/>
      <c r="J1137"/>
    </row>
    <row r="1138" spans="1:10" x14ac:dyDescent="0.2">
      <c r="A1138"/>
      <c r="B1138"/>
      <c r="C1138"/>
      <c r="D1138"/>
      <c r="E1138"/>
      <c r="F1138"/>
      <c r="G1138"/>
      <c r="H1138"/>
      <c r="I1138"/>
      <c r="J1138"/>
    </row>
    <row r="1139" spans="1:10" x14ac:dyDescent="0.2">
      <c r="A1139"/>
      <c r="B1139"/>
      <c r="C1139"/>
      <c r="D1139"/>
      <c r="E1139"/>
      <c r="F1139"/>
      <c r="G1139"/>
      <c r="H1139"/>
      <c r="I1139"/>
      <c r="J1139"/>
    </row>
    <row r="1140" spans="1:10" x14ac:dyDescent="0.2">
      <c r="A1140"/>
      <c r="B1140"/>
      <c r="C1140"/>
      <c r="D1140"/>
      <c r="E1140"/>
      <c r="F1140"/>
      <c r="G1140"/>
      <c r="H1140"/>
      <c r="I1140"/>
      <c r="J1140"/>
    </row>
    <row r="1141" spans="1:10" x14ac:dyDescent="0.2">
      <c r="A1141"/>
      <c r="B1141"/>
      <c r="C1141"/>
      <c r="D1141"/>
      <c r="E1141"/>
      <c r="F1141"/>
      <c r="G1141"/>
      <c r="H1141"/>
      <c r="I1141"/>
      <c r="J1141"/>
    </row>
    <row r="1142" spans="1:10" x14ac:dyDescent="0.2">
      <c r="A1142"/>
      <c r="B1142"/>
      <c r="C1142"/>
      <c r="D1142"/>
      <c r="E1142"/>
      <c r="F1142"/>
      <c r="G1142"/>
      <c r="H1142"/>
      <c r="I1142"/>
      <c r="J1142"/>
    </row>
    <row r="1143" spans="1:10" x14ac:dyDescent="0.2">
      <c r="A1143"/>
      <c r="B1143"/>
      <c r="C1143"/>
      <c r="D1143"/>
      <c r="E1143"/>
      <c r="F1143"/>
      <c r="G1143"/>
      <c r="H1143"/>
      <c r="I1143"/>
      <c r="J1143"/>
    </row>
    <row r="1144" spans="1:10" x14ac:dyDescent="0.2">
      <c r="A1144"/>
      <c r="B1144"/>
      <c r="C1144"/>
      <c r="D1144"/>
      <c r="E1144"/>
      <c r="F1144"/>
      <c r="G1144"/>
      <c r="H1144"/>
      <c r="I1144"/>
      <c r="J1144"/>
    </row>
    <row r="1145" spans="1:10" x14ac:dyDescent="0.2">
      <c r="A1145"/>
      <c r="B1145"/>
      <c r="C1145"/>
      <c r="D1145"/>
      <c r="E1145"/>
      <c r="F1145"/>
      <c r="G1145"/>
      <c r="H1145"/>
      <c r="I1145"/>
      <c r="J1145"/>
    </row>
    <row r="1146" spans="1:10" x14ac:dyDescent="0.2">
      <c r="A1146"/>
      <c r="B1146"/>
      <c r="C1146"/>
      <c r="D1146"/>
      <c r="E1146"/>
      <c r="F1146"/>
      <c r="G1146"/>
      <c r="H1146"/>
      <c r="I1146"/>
      <c r="J1146"/>
    </row>
    <row r="1147" spans="1:10" x14ac:dyDescent="0.2">
      <c r="A1147"/>
      <c r="B1147"/>
      <c r="C1147"/>
      <c r="D1147"/>
      <c r="E1147"/>
      <c r="F1147"/>
      <c r="G1147"/>
      <c r="H1147"/>
      <c r="I1147"/>
      <c r="J1147"/>
    </row>
    <row r="1148" spans="1:10" x14ac:dyDescent="0.2">
      <c r="A1148"/>
      <c r="B1148"/>
      <c r="C1148"/>
      <c r="D1148"/>
      <c r="E1148"/>
      <c r="F1148" s="2"/>
      <c r="G1148"/>
      <c r="H1148"/>
      <c r="I1148"/>
      <c r="J1148"/>
    </row>
    <row r="1149" spans="1:10" x14ac:dyDescent="0.2">
      <c r="A1149"/>
      <c r="B1149"/>
      <c r="C1149"/>
      <c r="D1149"/>
      <c r="E1149"/>
      <c r="F1149"/>
      <c r="G1149"/>
      <c r="H1149"/>
      <c r="I1149"/>
      <c r="J1149"/>
    </row>
    <row r="1150" spans="1:10" x14ac:dyDescent="0.2">
      <c r="A1150"/>
      <c r="B1150"/>
      <c r="C1150"/>
      <c r="D1150"/>
      <c r="E1150"/>
      <c r="F1150"/>
      <c r="G1150"/>
      <c r="H1150"/>
      <c r="I1150"/>
      <c r="J1150"/>
    </row>
    <row r="1151" spans="1:10" x14ac:dyDescent="0.2">
      <c r="A1151"/>
      <c r="B1151"/>
      <c r="C1151"/>
      <c r="D1151"/>
      <c r="E1151"/>
      <c r="F1151"/>
      <c r="G1151"/>
      <c r="H1151"/>
      <c r="I1151"/>
      <c r="J1151"/>
    </row>
    <row r="1152" spans="1:10" x14ac:dyDescent="0.2">
      <c r="A1152"/>
      <c r="B1152"/>
      <c r="C1152"/>
      <c r="D1152"/>
      <c r="E1152"/>
      <c r="F1152"/>
      <c r="G1152"/>
      <c r="H1152"/>
      <c r="I1152"/>
      <c r="J1152"/>
    </row>
    <row r="1153" spans="1:10" x14ac:dyDescent="0.2">
      <c r="A1153"/>
      <c r="B1153"/>
      <c r="C1153"/>
      <c r="D1153"/>
      <c r="E1153"/>
      <c r="F1153"/>
      <c r="G1153"/>
      <c r="H1153"/>
      <c r="I1153"/>
      <c r="J1153"/>
    </row>
    <row r="1154" spans="1:10" x14ac:dyDescent="0.2">
      <c r="A1154"/>
      <c r="B1154"/>
      <c r="C1154"/>
      <c r="D1154"/>
      <c r="E1154"/>
      <c r="F1154"/>
      <c r="G1154"/>
      <c r="H1154"/>
      <c r="I1154"/>
      <c r="J1154"/>
    </row>
    <row r="1155" spans="1:10" x14ac:dyDescent="0.2">
      <c r="A1155"/>
      <c r="B1155"/>
      <c r="C1155"/>
      <c r="D1155"/>
      <c r="E1155"/>
      <c r="F1155"/>
      <c r="G1155"/>
      <c r="H1155"/>
      <c r="I1155"/>
      <c r="J1155"/>
    </row>
    <row r="1156" spans="1:10" x14ac:dyDescent="0.2">
      <c r="A1156"/>
      <c r="B1156"/>
      <c r="C1156"/>
      <c r="D1156"/>
      <c r="E1156"/>
      <c r="F1156"/>
      <c r="G1156"/>
      <c r="H1156"/>
      <c r="I1156"/>
      <c r="J1156"/>
    </row>
    <row r="1157" spans="1:10" x14ac:dyDescent="0.2">
      <c r="A1157"/>
      <c r="B1157"/>
      <c r="C1157"/>
      <c r="D1157"/>
      <c r="E1157"/>
      <c r="F1157"/>
      <c r="G1157"/>
      <c r="H1157"/>
      <c r="I1157"/>
      <c r="J1157"/>
    </row>
    <row r="1158" spans="1:10" x14ac:dyDescent="0.2">
      <c r="A1158"/>
      <c r="B1158"/>
      <c r="C1158"/>
      <c r="D1158"/>
      <c r="E1158"/>
      <c r="F1158"/>
      <c r="G1158"/>
      <c r="H1158"/>
      <c r="I1158"/>
      <c r="J1158"/>
    </row>
    <row r="1159" spans="1:10" x14ac:dyDescent="0.2">
      <c r="A1159"/>
      <c r="B1159"/>
      <c r="C1159"/>
      <c r="D1159"/>
      <c r="E1159"/>
      <c r="F1159"/>
      <c r="G1159"/>
      <c r="H1159"/>
      <c r="I1159"/>
      <c r="J1159"/>
    </row>
    <row r="1160" spans="1:10" x14ac:dyDescent="0.2">
      <c r="A1160"/>
      <c r="B1160"/>
      <c r="C1160"/>
      <c r="D1160"/>
      <c r="E1160"/>
      <c r="F1160"/>
      <c r="G1160"/>
      <c r="H1160"/>
      <c r="I1160"/>
      <c r="J1160"/>
    </row>
    <row r="1161" spans="1:10" x14ac:dyDescent="0.2">
      <c r="A1161"/>
      <c r="B1161"/>
      <c r="C1161"/>
      <c r="D1161"/>
      <c r="E1161"/>
      <c r="F1161"/>
      <c r="G1161"/>
      <c r="H1161"/>
      <c r="I1161"/>
      <c r="J1161"/>
    </row>
    <row r="1162" spans="1:10" x14ac:dyDescent="0.2">
      <c r="A1162"/>
      <c r="B1162"/>
      <c r="C1162"/>
      <c r="D1162"/>
      <c r="E1162"/>
      <c r="F1162"/>
      <c r="G1162"/>
      <c r="H1162"/>
      <c r="I1162"/>
      <c r="J1162"/>
    </row>
    <row r="1163" spans="1:10" x14ac:dyDescent="0.2">
      <c r="A1163"/>
      <c r="B1163"/>
      <c r="C1163"/>
      <c r="D1163"/>
      <c r="E1163"/>
      <c r="F1163"/>
      <c r="G1163"/>
      <c r="H1163"/>
      <c r="I1163"/>
      <c r="J1163"/>
    </row>
    <row r="1164" spans="1:10" x14ac:dyDescent="0.2">
      <c r="A1164"/>
      <c r="B1164"/>
      <c r="C1164"/>
      <c r="D1164"/>
      <c r="E1164"/>
      <c r="F1164"/>
      <c r="G1164"/>
      <c r="H1164"/>
      <c r="I1164"/>
      <c r="J1164"/>
    </row>
    <row r="1165" spans="1:10" x14ac:dyDescent="0.2">
      <c r="A1165"/>
      <c r="B1165"/>
      <c r="C1165"/>
      <c r="D1165"/>
      <c r="E1165"/>
      <c r="F1165"/>
      <c r="G1165"/>
      <c r="H1165"/>
      <c r="I1165"/>
      <c r="J1165"/>
    </row>
    <row r="1166" spans="1:10" x14ac:dyDescent="0.2">
      <c r="A1166"/>
      <c r="B1166"/>
      <c r="C1166"/>
      <c r="D1166"/>
      <c r="E1166"/>
      <c r="F1166"/>
      <c r="G1166"/>
      <c r="H1166"/>
      <c r="I1166"/>
      <c r="J1166"/>
    </row>
    <row r="1167" spans="1:10" x14ac:dyDescent="0.2">
      <c r="A1167"/>
      <c r="B1167"/>
      <c r="C1167"/>
      <c r="D1167"/>
      <c r="E1167"/>
      <c r="F1167"/>
      <c r="G1167"/>
      <c r="H1167"/>
      <c r="I1167"/>
      <c r="J1167"/>
    </row>
    <row r="1168" spans="1:10" x14ac:dyDescent="0.2">
      <c r="A1168"/>
      <c r="B1168"/>
      <c r="C1168"/>
      <c r="D1168"/>
      <c r="E1168"/>
      <c r="F1168"/>
      <c r="G1168"/>
      <c r="H1168"/>
      <c r="I1168"/>
      <c r="J1168"/>
    </row>
    <row r="1169" spans="1:10" x14ac:dyDescent="0.2">
      <c r="A1169"/>
      <c r="B1169"/>
      <c r="C1169"/>
      <c r="D1169"/>
      <c r="E1169"/>
      <c r="F1169"/>
      <c r="G1169"/>
      <c r="H1169"/>
      <c r="I1169"/>
      <c r="J1169"/>
    </row>
    <row r="1170" spans="1:10" x14ac:dyDescent="0.2">
      <c r="A1170"/>
      <c r="B1170"/>
      <c r="C1170"/>
      <c r="D1170"/>
      <c r="E1170"/>
      <c r="F1170"/>
      <c r="G1170"/>
      <c r="H1170"/>
      <c r="I1170"/>
      <c r="J1170"/>
    </row>
    <row r="1171" spans="1:10" x14ac:dyDescent="0.2">
      <c r="A1171"/>
      <c r="B1171"/>
      <c r="C1171"/>
      <c r="D1171"/>
      <c r="E1171"/>
      <c r="F1171"/>
      <c r="G1171"/>
      <c r="H1171"/>
      <c r="I1171"/>
      <c r="J1171"/>
    </row>
    <row r="1172" spans="1:10" x14ac:dyDescent="0.2">
      <c r="A1172"/>
      <c r="B1172"/>
      <c r="C1172"/>
      <c r="D1172"/>
      <c r="E1172"/>
      <c r="F1172"/>
      <c r="G1172"/>
      <c r="H1172"/>
      <c r="I1172"/>
      <c r="J1172"/>
    </row>
    <row r="1173" spans="1:10" x14ac:dyDescent="0.2">
      <c r="A1173"/>
      <c r="B1173"/>
      <c r="C1173"/>
      <c r="D1173"/>
      <c r="E1173"/>
      <c r="F1173"/>
      <c r="G1173"/>
      <c r="H1173"/>
      <c r="I1173"/>
      <c r="J1173"/>
    </row>
    <row r="1174" spans="1:10" x14ac:dyDescent="0.2">
      <c r="A1174"/>
      <c r="B1174"/>
      <c r="C1174"/>
      <c r="D1174"/>
      <c r="E1174"/>
      <c r="F1174"/>
      <c r="G1174"/>
      <c r="H1174"/>
      <c r="I1174"/>
      <c r="J1174"/>
    </row>
    <row r="1175" spans="1:10" x14ac:dyDescent="0.2">
      <c r="A1175"/>
      <c r="B1175"/>
      <c r="C1175"/>
      <c r="D1175"/>
      <c r="E1175"/>
      <c r="F1175"/>
      <c r="G1175"/>
      <c r="H1175"/>
      <c r="I1175"/>
      <c r="J1175"/>
    </row>
    <row r="1176" spans="1:10" x14ac:dyDescent="0.2">
      <c r="A1176"/>
      <c r="B1176"/>
      <c r="C1176"/>
      <c r="D1176"/>
      <c r="E1176"/>
      <c r="F1176"/>
      <c r="G1176"/>
      <c r="H1176"/>
      <c r="I1176"/>
      <c r="J1176"/>
    </row>
    <row r="1177" spans="1:10" x14ac:dyDescent="0.2">
      <c r="A1177"/>
      <c r="B1177"/>
      <c r="C1177"/>
      <c r="D1177"/>
      <c r="E1177"/>
      <c r="F1177"/>
      <c r="G1177"/>
      <c r="H1177"/>
      <c r="I1177"/>
      <c r="J1177"/>
    </row>
    <row r="1178" spans="1:10" x14ac:dyDescent="0.2">
      <c r="A1178"/>
      <c r="B1178"/>
      <c r="C1178"/>
      <c r="D1178"/>
      <c r="E1178"/>
      <c r="F1178"/>
      <c r="G1178"/>
      <c r="H1178"/>
      <c r="I1178"/>
      <c r="J1178"/>
    </row>
    <row r="1179" spans="1:10" x14ac:dyDescent="0.2">
      <c r="A1179"/>
      <c r="B1179"/>
      <c r="C1179"/>
      <c r="D1179"/>
      <c r="E1179"/>
      <c r="F1179"/>
      <c r="G1179"/>
      <c r="H1179"/>
      <c r="I1179"/>
      <c r="J1179"/>
    </row>
    <row r="1180" spans="1:10" x14ac:dyDescent="0.2">
      <c r="A1180"/>
      <c r="B1180"/>
      <c r="C1180"/>
      <c r="D1180"/>
      <c r="E1180"/>
      <c r="F1180"/>
      <c r="G1180"/>
      <c r="H1180"/>
      <c r="I1180"/>
      <c r="J1180"/>
    </row>
    <row r="1181" spans="1:10" x14ac:dyDescent="0.2">
      <c r="A1181"/>
      <c r="B1181"/>
      <c r="C1181"/>
      <c r="D1181"/>
      <c r="E1181"/>
      <c r="F1181"/>
      <c r="G1181"/>
      <c r="H1181"/>
      <c r="I1181"/>
      <c r="J1181"/>
    </row>
    <row r="1182" spans="1:10" x14ac:dyDescent="0.2">
      <c r="A1182"/>
      <c r="B1182"/>
      <c r="C1182"/>
      <c r="D1182"/>
      <c r="E1182"/>
      <c r="F1182"/>
      <c r="G1182"/>
      <c r="H1182"/>
      <c r="I1182"/>
      <c r="J1182"/>
    </row>
    <row r="1183" spans="1:10" x14ac:dyDescent="0.2">
      <c r="A1183"/>
      <c r="B1183"/>
      <c r="C1183"/>
      <c r="D1183"/>
      <c r="E1183"/>
      <c r="F1183"/>
      <c r="G1183"/>
      <c r="H1183"/>
      <c r="I1183"/>
      <c r="J1183"/>
    </row>
    <row r="1184" spans="1:10" x14ac:dyDescent="0.2">
      <c r="A1184"/>
      <c r="B1184"/>
      <c r="C1184"/>
      <c r="D1184"/>
      <c r="E1184"/>
      <c r="F1184"/>
      <c r="G1184"/>
      <c r="H1184"/>
      <c r="I1184"/>
      <c r="J1184"/>
    </row>
    <row r="1185" spans="1:10" x14ac:dyDescent="0.2">
      <c r="A1185"/>
      <c r="B1185"/>
      <c r="C1185"/>
      <c r="D1185"/>
      <c r="E1185"/>
      <c r="F1185"/>
      <c r="G1185"/>
      <c r="H1185"/>
      <c r="I1185"/>
      <c r="J1185"/>
    </row>
    <row r="1186" spans="1:10" x14ac:dyDescent="0.2">
      <c r="A1186"/>
      <c r="B1186"/>
      <c r="C1186"/>
      <c r="D1186"/>
      <c r="E1186"/>
      <c r="F1186"/>
      <c r="G1186"/>
      <c r="H1186"/>
      <c r="I1186"/>
      <c r="J1186"/>
    </row>
    <row r="1187" spans="1:10" x14ac:dyDescent="0.2">
      <c r="A1187"/>
      <c r="B1187"/>
      <c r="C1187"/>
      <c r="D1187"/>
      <c r="E1187"/>
      <c r="F1187"/>
      <c r="G1187"/>
      <c r="H1187"/>
      <c r="I1187"/>
      <c r="J1187"/>
    </row>
    <row r="1188" spans="1:10" x14ac:dyDescent="0.2">
      <c r="A1188"/>
      <c r="B1188"/>
      <c r="C1188"/>
      <c r="D1188"/>
      <c r="E1188"/>
      <c r="F1188"/>
      <c r="G1188"/>
      <c r="H1188"/>
      <c r="I1188"/>
      <c r="J1188"/>
    </row>
    <row r="1189" spans="1:10" x14ac:dyDescent="0.2">
      <c r="A1189"/>
      <c r="B1189"/>
      <c r="C1189"/>
      <c r="D1189"/>
      <c r="E1189"/>
      <c r="F1189"/>
      <c r="G1189"/>
      <c r="H1189"/>
      <c r="I1189"/>
      <c r="J1189"/>
    </row>
    <row r="1190" spans="1:10" x14ac:dyDescent="0.2">
      <c r="A1190"/>
      <c r="B1190"/>
      <c r="C1190"/>
      <c r="D1190"/>
      <c r="E1190"/>
      <c r="F1190"/>
      <c r="G1190"/>
      <c r="H1190"/>
      <c r="I1190"/>
      <c r="J1190"/>
    </row>
    <row r="1191" spans="1:10" x14ac:dyDescent="0.2">
      <c r="A1191"/>
      <c r="B1191"/>
      <c r="C1191"/>
      <c r="D1191"/>
      <c r="E1191"/>
      <c r="F1191"/>
      <c r="G1191"/>
      <c r="H1191"/>
      <c r="I1191"/>
      <c r="J1191"/>
    </row>
    <row r="1192" spans="1:10" x14ac:dyDescent="0.2">
      <c r="A1192"/>
      <c r="B1192"/>
      <c r="C1192"/>
      <c r="D1192"/>
      <c r="E1192"/>
      <c r="F1192"/>
      <c r="G1192"/>
      <c r="H1192"/>
      <c r="I1192"/>
      <c r="J1192"/>
    </row>
    <row r="1193" spans="1:10" x14ac:dyDescent="0.2">
      <c r="A1193"/>
      <c r="B1193"/>
      <c r="C1193"/>
      <c r="D1193"/>
      <c r="E1193"/>
      <c r="F1193"/>
      <c r="G1193"/>
      <c r="H1193"/>
      <c r="I1193"/>
      <c r="J1193"/>
    </row>
    <row r="1194" spans="1:10" x14ac:dyDescent="0.2">
      <c r="A1194"/>
      <c r="B1194"/>
      <c r="C1194"/>
      <c r="D1194"/>
      <c r="E1194"/>
      <c r="F1194"/>
      <c r="G1194"/>
      <c r="H1194"/>
      <c r="I1194"/>
      <c r="J1194"/>
    </row>
    <row r="1195" spans="1:10" x14ac:dyDescent="0.2">
      <c r="A1195"/>
      <c r="B1195"/>
      <c r="C1195"/>
      <c r="D1195"/>
      <c r="E1195"/>
      <c r="F1195"/>
      <c r="G1195"/>
      <c r="H1195"/>
      <c r="I1195"/>
      <c r="J1195"/>
    </row>
    <row r="1196" spans="1:10" x14ac:dyDescent="0.2">
      <c r="A1196"/>
      <c r="B1196"/>
      <c r="C1196"/>
      <c r="D1196"/>
      <c r="E1196"/>
      <c r="F1196"/>
      <c r="G1196"/>
      <c r="H1196"/>
      <c r="I1196"/>
      <c r="J1196"/>
    </row>
    <row r="1197" spans="1:10" x14ac:dyDescent="0.2">
      <c r="A1197"/>
      <c r="B1197"/>
      <c r="C1197"/>
      <c r="D1197"/>
      <c r="E1197"/>
      <c r="F1197"/>
      <c r="G1197"/>
      <c r="H1197"/>
      <c r="I1197"/>
      <c r="J1197"/>
    </row>
    <row r="1198" spans="1:10" x14ac:dyDescent="0.2">
      <c r="A1198"/>
      <c r="B1198"/>
      <c r="C1198"/>
      <c r="D1198"/>
      <c r="E1198"/>
      <c r="F1198"/>
      <c r="G1198"/>
      <c r="H1198"/>
      <c r="I1198"/>
      <c r="J1198"/>
    </row>
    <row r="1199" spans="1:10" x14ac:dyDescent="0.2">
      <c r="A1199"/>
      <c r="B1199"/>
      <c r="C1199"/>
      <c r="D1199"/>
      <c r="E1199"/>
      <c r="F1199"/>
      <c r="G1199"/>
      <c r="H1199"/>
      <c r="I1199"/>
      <c r="J1199"/>
    </row>
    <row r="1200" spans="1:10" x14ac:dyDescent="0.2">
      <c r="A1200"/>
      <c r="B1200"/>
      <c r="C1200"/>
      <c r="D1200"/>
      <c r="E1200"/>
      <c r="F1200"/>
      <c r="G1200"/>
      <c r="H1200"/>
      <c r="I1200"/>
      <c r="J1200"/>
    </row>
    <row r="1201" spans="1:10" x14ac:dyDescent="0.2">
      <c r="A1201"/>
      <c r="B1201"/>
      <c r="C1201"/>
      <c r="D1201"/>
      <c r="E1201"/>
      <c r="F1201"/>
      <c r="G1201"/>
      <c r="H1201"/>
      <c r="I1201"/>
      <c r="J1201"/>
    </row>
    <row r="1202" spans="1:10" x14ac:dyDescent="0.2">
      <c r="A1202"/>
      <c r="B1202"/>
      <c r="C1202"/>
      <c r="D1202"/>
      <c r="E1202"/>
      <c r="F1202"/>
      <c r="G1202"/>
      <c r="H1202"/>
      <c r="I1202"/>
      <c r="J1202"/>
    </row>
    <row r="1203" spans="1:10" x14ac:dyDescent="0.2">
      <c r="A1203"/>
      <c r="B1203"/>
      <c r="C1203"/>
      <c r="D1203"/>
      <c r="E1203"/>
      <c r="F1203"/>
      <c r="G1203"/>
      <c r="H1203"/>
      <c r="I1203"/>
      <c r="J1203"/>
    </row>
    <row r="1204" spans="1:10" x14ac:dyDescent="0.2">
      <c r="A1204"/>
      <c r="B1204"/>
      <c r="C1204"/>
      <c r="D1204"/>
      <c r="E1204"/>
      <c r="F1204"/>
      <c r="G1204"/>
      <c r="H1204"/>
      <c r="I1204"/>
      <c r="J1204"/>
    </row>
    <row r="1205" spans="1:10" x14ac:dyDescent="0.2">
      <c r="A1205"/>
      <c r="B1205"/>
      <c r="C1205"/>
      <c r="D1205"/>
      <c r="E1205"/>
      <c r="F1205"/>
      <c r="G1205"/>
      <c r="H1205"/>
      <c r="I1205"/>
      <c r="J1205"/>
    </row>
    <row r="1206" spans="1:10" x14ac:dyDescent="0.2">
      <c r="A1206"/>
      <c r="B1206"/>
      <c r="C1206"/>
      <c r="D1206"/>
      <c r="E1206"/>
      <c r="F1206"/>
      <c r="G1206"/>
      <c r="H1206"/>
      <c r="I1206"/>
      <c r="J1206"/>
    </row>
    <row r="1207" spans="1:10" x14ac:dyDescent="0.2">
      <c r="A1207"/>
      <c r="B1207"/>
      <c r="C1207"/>
      <c r="D1207"/>
      <c r="E1207"/>
      <c r="F1207"/>
      <c r="G1207"/>
      <c r="H1207"/>
      <c r="I1207"/>
      <c r="J1207"/>
    </row>
    <row r="1208" spans="1:10" x14ac:dyDescent="0.2">
      <c r="A1208"/>
      <c r="B1208"/>
      <c r="C1208"/>
      <c r="D1208"/>
      <c r="E1208"/>
      <c r="F1208"/>
      <c r="G1208"/>
      <c r="H1208"/>
      <c r="I1208"/>
      <c r="J1208"/>
    </row>
    <row r="1209" spans="1:10" x14ac:dyDescent="0.2">
      <c r="A1209"/>
      <c r="B1209"/>
      <c r="C1209"/>
      <c r="D1209"/>
      <c r="E1209"/>
      <c r="F1209"/>
      <c r="G1209"/>
      <c r="H1209"/>
      <c r="I1209"/>
      <c r="J1209"/>
    </row>
    <row r="1210" spans="1:10" x14ac:dyDescent="0.2">
      <c r="A1210"/>
      <c r="B1210"/>
      <c r="C1210"/>
      <c r="D1210"/>
      <c r="E1210"/>
      <c r="F1210"/>
      <c r="G1210"/>
      <c r="H1210"/>
      <c r="I1210"/>
      <c r="J1210"/>
    </row>
    <row r="1211" spans="1:10" x14ac:dyDescent="0.2">
      <c r="A1211"/>
      <c r="B1211"/>
      <c r="C1211"/>
      <c r="D1211"/>
      <c r="E1211"/>
      <c r="F1211"/>
      <c r="G1211"/>
      <c r="H1211"/>
      <c r="I1211"/>
      <c r="J1211"/>
    </row>
    <row r="1212" spans="1:10" x14ac:dyDescent="0.2">
      <c r="A1212"/>
      <c r="B1212"/>
      <c r="C1212"/>
      <c r="D1212"/>
      <c r="E1212"/>
      <c r="F1212"/>
      <c r="G1212"/>
      <c r="H1212"/>
      <c r="I1212"/>
      <c r="J1212"/>
    </row>
    <row r="1213" spans="1:10" x14ac:dyDescent="0.2">
      <c r="A1213"/>
      <c r="B1213"/>
      <c r="C1213"/>
      <c r="D1213"/>
      <c r="E1213"/>
      <c r="F1213"/>
      <c r="G1213"/>
      <c r="H1213"/>
      <c r="I1213"/>
      <c r="J1213"/>
    </row>
    <row r="1214" spans="1:10" x14ac:dyDescent="0.2">
      <c r="A1214"/>
      <c r="B1214"/>
      <c r="C1214"/>
      <c r="D1214"/>
      <c r="E1214"/>
      <c r="F1214"/>
      <c r="G1214"/>
      <c r="H1214"/>
      <c r="I1214"/>
      <c r="J1214"/>
    </row>
    <row r="1215" spans="1:10" x14ac:dyDescent="0.2">
      <c r="A1215"/>
      <c r="B1215"/>
      <c r="C1215"/>
      <c r="D1215"/>
      <c r="E1215"/>
      <c r="F1215"/>
      <c r="G1215"/>
      <c r="H1215"/>
      <c r="I1215"/>
      <c r="J1215"/>
    </row>
    <row r="1216" spans="1:10" x14ac:dyDescent="0.2">
      <c r="A1216"/>
      <c r="B1216"/>
      <c r="C1216"/>
      <c r="D1216"/>
      <c r="E1216"/>
      <c r="F1216"/>
      <c r="G1216"/>
      <c r="H1216"/>
      <c r="I1216"/>
      <c r="J1216"/>
    </row>
    <row r="1217" spans="1:10" x14ac:dyDescent="0.2">
      <c r="A1217"/>
      <c r="B1217"/>
      <c r="C1217"/>
      <c r="D1217"/>
      <c r="E1217"/>
      <c r="F1217"/>
      <c r="G1217"/>
      <c r="H1217"/>
      <c r="I1217"/>
      <c r="J1217"/>
    </row>
    <row r="1218" spans="1:10" x14ac:dyDescent="0.2">
      <c r="A1218"/>
      <c r="B1218"/>
      <c r="C1218"/>
      <c r="D1218"/>
      <c r="E1218"/>
      <c r="F1218"/>
      <c r="G1218"/>
      <c r="H1218"/>
      <c r="I1218"/>
      <c r="J1218"/>
    </row>
    <row r="1219" spans="1:10" x14ac:dyDescent="0.2">
      <c r="A1219"/>
      <c r="B1219"/>
      <c r="C1219"/>
      <c r="D1219"/>
      <c r="E1219"/>
      <c r="F1219"/>
      <c r="G1219"/>
      <c r="H1219"/>
      <c r="I1219"/>
      <c r="J1219"/>
    </row>
    <row r="1220" spans="1:10" x14ac:dyDescent="0.2">
      <c r="A1220"/>
      <c r="B1220"/>
      <c r="C1220"/>
      <c r="D1220"/>
      <c r="E1220"/>
      <c r="F1220"/>
      <c r="G1220"/>
      <c r="H1220"/>
      <c r="I1220"/>
      <c r="J1220"/>
    </row>
    <row r="1221" spans="1:10" x14ac:dyDescent="0.2">
      <c r="A1221"/>
      <c r="B1221"/>
      <c r="C1221"/>
      <c r="D1221"/>
      <c r="E1221"/>
      <c r="F1221"/>
      <c r="G1221"/>
      <c r="H1221"/>
      <c r="I1221"/>
      <c r="J1221"/>
    </row>
    <row r="1222" spans="1:10" x14ac:dyDescent="0.2">
      <c r="A1222"/>
      <c r="B1222"/>
      <c r="C1222"/>
      <c r="D1222"/>
      <c r="E1222"/>
      <c r="F1222"/>
      <c r="G1222"/>
      <c r="H1222"/>
      <c r="I1222"/>
      <c r="J1222"/>
    </row>
    <row r="1223" spans="1:10" x14ac:dyDescent="0.2">
      <c r="A1223"/>
      <c r="B1223"/>
      <c r="C1223"/>
      <c r="D1223"/>
      <c r="E1223"/>
      <c r="F1223"/>
      <c r="G1223"/>
      <c r="H1223"/>
      <c r="I1223"/>
      <c r="J1223"/>
    </row>
    <row r="1224" spans="1:10" x14ac:dyDescent="0.2">
      <c r="A1224"/>
      <c r="B1224"/>
      <c r="C1224"/>
      <c r="D1224"/>
      <c r="E1224"/>
      <c r="F1224"/>
      <c r="G1224"/>
      <c r="H1224"/>
      <c r="I1224"/>
      <c r="J1224"/>
    </row>
    <row r="1225" spans="1:10" x14ac:dyDescent="0.2">
      <c r="A1225"/>
      <c r="B1225"/>
      <c r="C1225"/>
      <c r="D1225"/>
      <c r="E1225"/>
      <c r="F1225"/>
      <c r="G1225"/>
      <c r="H1225"/>
      <c r="I1225"/>
      <c r="J1225"/>
    </row>
    <row r="1226" spans="1:10" x14ac:dyDescent="0.2">
      <c r="A1226"/>
      <c r="B1226"/>
      <c r="C1226"/>
      <c r="D1226"/>
      <c r="E1226"/>
      <c r="F1226"/>
      <c r="G1226"/>
      <c r="H1226"/>
      <c r="I1226"/>
      <c r="J1226"/>
    </row>
    <row r="1227" spans="1:10" x14ac:dyDescent="0.2">
      <c r="A1227"/>
      <c r="B1227"/>
      <c r="C1227"/>
      <c r="D1227"/>
      <c r="E1227"/>
      <c r="F1227"/>
      <c r="G1227"/>
      <c r="H1227"/>
      <c r="I1227"/>
      <c r="J1227"/>
    </row>
    <row r="1228" spans="1:10" x14ac:dyDescent="0.2">
      <c r="A1228"/>
      <c r="B1228"/>
      <c r="C1228"/>
      <c r="D1228"/>
      <c r="E1228"/>
      <c r="F1228"/>
      <c r="G1228"/>
      <c r="H1228"/>
      <c r="I1228"/>
      <c r="J1228"/>
    </row>
    <row r="1229" spans="1:10" x14ac:dyDescent="0.2">
      <c r="A1229"/>
      <c r="B1229"/>
      <c r="C1229"/>
      <c r="D1229"/>
      <c r="E1229"/>
      <c r="F1229"/>
      <c r="G1229"/>
      <c r="H1229"/>
      <c r="I1229"/>
      <c r="J1229"/>
    </row>
    <row r="1230" spans="1:10" x14ac:dyDescent="0.2">
      <c r="A1230"/>
      <c r="B1230"/>
      <c r="C1230"/>
      <c r="D1230"/>
      <c r="E1230"/>
      <c r="F1230"/>
      <c r="G1230"/>
      <c r="H1230"/>
      <c r="I1230"/>
      <c r="J1230"/>
    </row>
    <row r="1231" spans="1:10" x14ac:dyDescent="0.2">
      <c r="A1231"/>
      <c r="B1231"/>
      <c r="C1231"/>
      <c r="D1231"/>
      <c r="E1231"/>
      <c r="F1231"/>
      <c r="G1231"/>
      <c r="H1231"/>
      <c r="I1231"/>
      <c r="J1231"/>
    </row>
    <row r="1232" spans="1:10" x14ac:dyDescent="0.2">
      <c r="A1232"/>
      <c r="B1232"/>
      <c r="C1232"/>
      <c r="D1232"/>
      <c r="E1232"/>
      <c r="F1232"/>
      <c r="G1232"/>
      <c r="H1232"/>
      <c r="I1232"/>
      <c r="J1232"/>
    </row>
    <row r="1233" spans="1:10" x14ac:dyDescent="0.2">
      <c r="A1233"/>
      <c r="B1233"/>
      <c r="C1233"/>
      <c r="D1233"/>
      <c r="E1233"/>
      <c r="F1233"/>
      <c r="G1233"/>
      <c r="H1233"/>
      <c r="I1233"/>
      <c r="J1233"/>
    </row>
    <row r="1234" spans="1:10" x14ac:dyDescent="0.2">
      <c r="A1234"/>
      <c r="B1234"/>
      <c r="C1234"/>
      <c r="D1234"/>
      <c r="E1234"/>
      <c r="F1234"/>
      <c r="G1234"/>
      <c r="H1234"/>
      <c r="I1234"/>
      <c r="J1234"/>
    </row>
    <row r="1235" spans="1:10" x14ac:dyDescent="0.2">
      <c r="A1235"/>
      <c r="B1235"/>
      <c r="C1235"/>
      <c r="D1235"/>
      <c r="E1235"/>
      <c r="F1235"/>
      <c r="G1235"/>
      <c r="H1235"/>
      <c r="I1235"/>
      <c r="J1235"/>
    </row>
    <row r="1236" spans="1:10" x14ac:dyDescent="0.2">
      <c r="A1236"/>
      <c r="B1236"/>
      <c r="C1236"/>
      <c r="D1236"/>
      <c r="E1236"/>
      <c r="F1236"/>
      <c r="G1236"/>
      <c r="H1236"/>
      <c r="I1236"/>
      <c r="J1236"/>
    </row>
    <row r="1237" spans="1:10" x14ac:dyDescent="0.2">
      <c r="A1237"/>
      <c r="B1237"/>
      <c r="C1237"/>
      <c r="D1237"/>
      <c r="E1237"/>
      <c r="F1237"/>
      <c r="G1237"/>
      <c r="H1237"/>
      <c r="I1237"/>
      <c r="J1237"/>
    </row>
    <row r="1238" spans="1:10" x14ac:dyDescent="0.2">
      <c r="A1238"/>
      <c r="B1238"/>
      <c r="C1238"/>
      <c r="D1238"/>
      <c r="E1238"/>
      <c r="F1238"/>
      <c r="G1238"/>
      <c r="H1238"/>
      <c r="I1238"/>
      <c r="J1238"/>
    </row>
    <row r="1239" spans="1:10" x14ac:dyDescent="0.2">
      <c r="A1239"/>
      <c r="B1239"/>
      <c r="C1239"/>
      <c r="D1239"/>
      <c r="E1239"/>
      <c r="F1239"/>
      <c r="G1239"/>
      <c r="H1239"/>
      <c r="I1239"/>
      <c r="J1239"/>
    </row>
    <row r="1240" spans="1:10" x14ac:dyDescent="0.2">
      <c r="A1240"/>
      <c r="B1240"/>
      <c r="C1240"/>
      <c r="D1240"/>
      <c r="E1240"/>
      <c r="F1240"/>
      <c r="G1240"/>
      <c r="H1240"/>
      <c r="I1240"/>
      <c r="J1240"/>
    </row>
    <row r="1241" spans="1:10" x14ac:dyDescent="0.2">
      <c r="A1241"/>
      <c r="B1241"/>
      <c r="C1241"/>
      <c r="D1241"/>
      <c r="E1241"/>
      <c r="F1241"/>
      <c r="G1241"/>
      <c r="H1241"/>
      <c r="I1241"/>
      <c r="J1241"/>
    </row>
    <row r="1242" spans="1:10" x14ac:dyDescent="0.2">
      <c r="A1242"/>
      <c r="B1242"/>
      <c r="C1242"/>
      <c r="D1242"/>
      <c r="E1242"/>
      <c r="F1242"/>
      <c r="G1242"/>
      <c r="H1242"/>
      <c r="I1242"/>
      <c r="J1242"/>
    </row>
    <row r="1243" spans="1:10" x14ac:dyDescent="0.2">
      <c r="A1243"/>
      <c r="B1243"/>
      <c r="C1243"/>
      <c r="D1243"/>
      <c r="E1243"/>
      <c r="F1243"/>
      <c r="G1243"/>
      <c r="H1243"/>
      <c r="I1243"/>
      <c r="J1243"/>
    </row>
    <row r="1244" spans="1:10" x14ac:dyDescent="0.2">
      <c r="A1244"/>
      <c r="B1244"/>
      <c r="C1244"/>
      <c r="D1244"/>
      <c r="E1244"/>
      <c r="F1244"/>
      <c r="G1244"/>
      <c r="H1244"/>
      <c r="I1244"/>
      <c r="J1244"/>
    </row>
    <row r="1245" spans="1:10" x14ac:dyDescent="0.2">
      <c r="A1245"/>
      <c r="B1245"/>
      <c r="C1245"/>
      <c r="D1245"/>
      <c r="E1245"/>
      <c r="F1245"/>
      <c r="G1245"/>
      <c r="H1245"/>
      <c r="I1245"/>
      <c r="J1245"/>
    </row>
    <row r="1246" spans="1:10" x14ac:dyDescent="0.2">
      <c r="A1246"/>
      <c r="B1246"/>
      <c r="C1246"/>
      <c r="D1246"/>
      <c r="E1246"/>
      <c r="F1246"/>
      <c r="G1246"/>
      <c r="H1246"/>
      <c r="I1246"/>
      <c r="J1246"/>
    </row>
    <row r="1247" spans="1:10" x14ac:dyDescent="0.2">
      <c r="A1247"/>
      <c r="B1247"/>
      <c r="C1247"/>
      <c r="D1247"/>
      <c r="E1247"/>
      <c r="F1247"/>
      <c r="G1247"/>
      <c r="H1247"/>
      <c r="I1247"/>
      <c r="J1247"/>
    </row>
    <row r="1248" spans="1:10" x14ac:dyDescent="0.2">
      <c r="A1248"/>
      <c r="B1248"/>
      <c r="C1248"/>
      <c r="D1248"/>
      <c r="E1248"/>
      <c r="F1248"/>
      <c r="G1248"/>
      <c r="H1248"/>
      <c r="I1248"/>
      <c r="J1248"/>
    </row>
    <row r="1249" spans="1:10" x14ac:dyDescent="0.2">
      <c r="A1249"/>
      <c r="B1249"/>
      <c r="C1249"/>
      <c r="D1249"/>
      <c r="E1249"/>
      <c r="F1249"/>
      <c r="G1249"/>
      <c r="H1249"/>
      <c r="I1249"/>
      <c r="J1249"/>
    </row>
    <row r="1250" spans="1:10" x14ac:dyDescent="0.2">
      <c r="A1250"/>
      <c r="B1250"/>
      <c r="C1250"/>
      <c r="D1250"/>
      <c r="E1250"/>
      <c r="F1250"/>
      <c r="G1250"/>
      <c r="H1250"/>
      <c r="I1250"/>
      <c r="J1250"/>
    </row>
    <row r="1251" spans="1:10" x14ac:dyDescent="0.2">
      <c r="A1251"/>
      <c r="B1251"/>
      <c r="C1251"/>
      <c r="D1251"/>
      <c r="E1251"/>
      <c r="F1251"/>
      <c r="G1251"/>
      <c r="H1251"/>
      <c r="I1251"/>
      <c r="J1251"/>
    </row>
    <row r="1252" spans="1:10" x14ac:dyDescent="0.2">
      <c r="A1252"/>
      <c r="B1252"/>
      <c r="C1252"/>
      <c r="D1252"/>
      <c r="E1252"/>
      <c r="F1252"/>
      <c r="G1252"/>
      <c r="H1252"/>
      <c r="I1252"/>
      <c r="J1252"/>
    </row>
    <row r="1253" spans="1:10" x14ac:dyDescent="0.2">
      <c r="A1253"/>
      <c r="B1253"/>
      <c r="C1253"/>
      <c r="D1253"/>
      <c r="E1253"/>
      <c r="F1253"/>
      <c r="G1253"/>
      <c r="H1253"/>
      <c r="I1253"/>
      <c r="J1253"/>
    </row>
    <row r="1254" spans="1:10" x14ac:dyDescent="0.2">
      <c r="A1254"/>
      <c r="B1254"/>
      <c r="C1254"/>
      <c r="D1254"/>
      <c r="E1254"/>
      <c r="F1254"/>
      <c r="G1254"/>
      <c r="H1254"/>
      <c r="I1254"/>
      <c r="J1254"/>
    </row>
    <row r="1255" spans="1:10" x14ac:dyDescent="0.2">
      <c r="A1255"/>
      <c r="B1255"/>
      <c r="C1255"/>
      <c r="D1255"/>
      <c r="E1255"/>
      <c r="F1255"/>
      <c r="G1255"/>
      <c r="H1255"/>
      <c r="I1255"/>
      <c r="J1255"/>
    </row>
    <row r="1256" spans="1:10" x14ac:dyDescent="0.2">
      <c r="A1256"/>
      <c r="B1256"/>
      <c r="C1256"/>
      <c r="D1256"/>
      <c r="E1256"/>
      <c r="F1256"/>
      <c r="G1256"/>
      <c r="H1256"/>
      <c r="I1256"/>
      <c r="J1256"/>
    </row>
    <row r="1257" spans="1:10" x14ac:dyDescent="0.2">
      <c r="A1257"/>
      <c r="B1257"/>
      <c r="C1257"/>
      <c r="D1257"/>
      <c r="E1257"/>
      <c r="F1257"/>
      <c r="G1257"/>
      <c r="H1257"/>
      <c r="I1257"/>
      <c r="J1257"/>
    </row>
    <row r="1258" spans="1:10" x14ac:dyDescent="0.2">
      <c r="A1258"/>
      <c r="B1258"/>
      <c r="C1258"/>
      <c r="D1258"/>
      <c r="E1258"/>
      <c r="F1258"/>
      <c r="G1258"/>
      <c r="H1258"/>
      <c r="I1258"/>
      <c r="J1258"/>
    </row>
    <row r="1259" spans="1:10" x14ac:dyDescent="0.2">
      <c r="A1259"/>
      <c r="B1259"/>
      <c r="C1259"/>
      <c r="D1259"/>
      <c r="E1259"/>
      <c r="F1259"/>
      <c r="G1259"/>
      <c r="H1259"/>
      <c r="I1259"/>
      <c r="J1259"/>
    </row>
    <row r="1260" spans="1:10" x14ac:dyDescent="0.2">
      <c r="A1260"/>
      <c r="B1260"/>
      <c r="C1260"/>
      <c r="D1260"/>
      <c r="E1260"/>
      <c r="F1260"/>
      <c r="G1260"/>
      <c r="H1260"/>
      <c r="I1260"/>
      <c r="J1260"/>
    </row>
    <row r="1261" spans="1:10" x14ac:dyDescent="0.2">
      <c r="A1261"/>
      <c r="B1261"/>
      <c r="C1261"/>
      <c r="D1261"/>
      <c r="E1261"/>
      <c r="F1261"/>
      <c r="G1261"/>
      <c r="H1261"/>
      <c r="I1261"/>
      <c r="J1261"/>
    </row>
    <row r="1262" spans="1:10" x14ac:dyDescent="0.2">
      <c r="A1262"/>
      <c r="B1262"/>
      <c r="C1262"/>
      <c r="D1262"/>
      <c r="E1262"/>
      <c r="F1262"/>
      <c r="G1262"/>
      <c r="H1262"/>
      <c r="I1262"/>
      <c r="J1262"/>
    </row>
    <row r="1263" spans="1:10" x14ac:dyDescent="0.2">
      <c r="A1263"/>
      <c r="B1263"/>
      <c r="C1263"/>
      <c r="D1263"/>
      <c r="E1263"/>
      <c r="F1263"/>
      <c r="G1263"/>
      <c r="H1263"/>
      <c r="I1263"/>
      <c r="J1263"/>
    </row>
    <row r="1264" spans="1:10" x14ac:dyDescent="0.2">
      <c r="A1264"/>
      <c r="B1264"/>
      <c r="C1264"/>
      <c r="D1264"/>
      <c r="E1264"/>
      <c r="F1264"/>
      <c r="G1264"/>
      <c r="H1264"/>
      <c r="I1264"/>
      <c r="J1264"/>
    </row>
    <row r="1265" spans="1:10" x14ac:dyDescent="0.2">
      <c r="A1265"/>
      <c r="B1265"/>
      <c r="C1265"/>
      <c r="D1265"/>
      <c r="E1265"/>
      <c r="F1265"/>
      <c r="G1265"/>
      <c r="H1265"/>
      <c r="I1265"/>
      <c r="J1265"/>
    </row>
    <row r="1266" spans="1:10" x14ac:dyDescent="0.2">
      <c r="A1266"/>
      <c r="B1266"/>
      <c r="C1266"/>
      <c r="D1266"/>
      <c r="E1266"/>
      <c r="F1266"/>
      <c r="G1266"/>
      <c r="H1266"/>
      <c r="I1266"/>
      <c r="J1266"/>
    </row>
    <row r="1267" spans="1:10" x14ac:dyDescent="0.2">
      <c r="A1267"/>
      <c r="B1267"/>
      <c r="C1267"/>
      <c r="D1267"/>
      <c r="E1267"/>
      <c r="F1267"/>
      <c r="G1267"/>
      <c r="H1267"/>
      <c r="I1267"/>
      <c r="J1267"/>
    </row>
    <row r="1268" spans="1:10" x14ac:dyDescent="0.2">
      <c r="A1268"/>
      <c r="B1268"/>
      <c r="C1268"/>
      <c r="D1268"/>
      <c r="E1268"/>
      <c r="F1268"/>
      <c r="G1268"/>
      <c r="H1268"/>
      <c r="I1268"/>
      <c r="J1268"/>
    </row>
    <row r="1269" spans="1:10" x14ac:dyDescent="0.2">
      <c r="A1269"/>
      <c r="B1269"/>
      <c r="C1269"/>
      <c r="D1269"/>
      <c r="E1269"/>
      <c r="F1269"/>
      <c r="G1269"/>
      <c r="H1269"/>
      <c r="I1269"/>
      <c r="J1269"/>
    </row>
    <row r="1270" spans="1:10" x14ac:dyDescent="0.2">
      <c r="A1270"/>
      <c r="B1270"/>
      <c r="C1270"/>
      <c r="D1270"/>
      <c r="E1270"/>
      <c r="F1270"/>
      <c r="G1270"/>
      <c r="H1270"/>
      <c r="I1270"/>
      <c r="J1270"/>
    </row>
    <row r="1271" spans="1:10" x14ac:dyDescent="0.2">
      <c r="A1271"/>
      <c r="B1271"/>
      <c r="C1271"/>
      <c r="D1271"/>
      <c r="E1271"/>
      <c r="F1271"/>
      <c r="G1271"/>
      <c r="H1271"/>
      <c r="I1271"/>
      <c r="J1271"/>
    </row>
    <row r="1272" spans="1:10" x14ac:dyDescent="0.2">
      <c r="A1272"/>
      <c r="B1272"/>
      <c r="C1272"/>
      <c r="D1272"/>
      <c r="E1272"/>
      <c r="F1272"/>
      <c r="G1272"/>
      <c r="H1272"/>
      <c r="I1272"/>
      <c r="J1272"/>
    </row>
    <row r="1273" spans="1:10" x14ac:dyDescent="0.2">
      <c r="A1273"/>
      <c r="B1273"/>
      <c r="C1273"/>
      <c r="D1273"/>
      <c r="E1273"/>
      <c r="F1273"/>
      <c r="G1273"/>
      <c r="H1273"/>
      <c r="I1273"/>
      <c r="J1273"/>
    </row>
    <row r="1274" spans="1:10" x14ac:dyDescent="0.2">
      <c r="A1274"/>
      <c r="B1274"/>
      <c r="C1274"/>
      <c r="D1274"/>
      <c r="E1274"/>
      <c r="F1274"/>
      <c r="G1274"/>
      <c r="H1274"/>
      <c r="I1274"/>
      <c r="J1274"/>
    </row>
    <row r="1275" spans="1:10" x14ac:dyDescent="0.2">
      <c r="A1275"/>
      <c r="B1275"/>
      <c r="C1275"/>
      <c r="D1275"/>
      <c r="E1275"/>
      <c r="F1275"/>
      <c r="G1275"/>
      <c r="H1275"/>
      <c r="I1275"/>
      <c r="J1275"/>
    </row>
    <row r="1276" spans="1:10" x14ac:dyDescent="0.2">
      <c r="A1276"/>
      <c r="B1276"/>
      <c r="C1276"/>
      <c r="D1276"/>
      <c r="E1276"/>
      <c r="F1276"/>
      <c r="G1276"/>
      <c r="H1276"/>
      <c r="I1276"/>
      <c r="J1276"/>
    </row>
    <row r="1277" spans="1:10" x14ac:dyDescent="0.2">
      <c r="A1277"/>
      <c r="B1277"/>
      <c r="C1277"/>
      <c r="D1277"/>
      <c r="E1277"/>
      <c r="F1277"/>
      <c r="G1277"/>
      <c r="H1277"/>
      <c r="I1277"/>
      <c r="J1277"/>
    </row>
    <row r="1278" spans="1:10" x14ac:dyDescent="0.2">
      <c r="A1278"/>
      <c r="B1278"/>
      <c r="C1278"/>
      <c r="D1278"/>
      <c r="E1278"/>
      <c r="F1278"/>
      <c r="G1278"/>
      <c r="H1278"/>
      <c r="I1278"/>
      <c r="J1278"/>
    </row>
    <row r="1279" spans="1:10" x14ac:dyDescent="0.2">
      <c r="A1279"/>
      <c r="B1279"/>
      <c r="C1279"/>
      <c r="D1279"/>
      <c r="E1279"/>
      <c r="F1279"/>
      <c r="G1279"/>
      <c r="H1279"/>
      <c r="I1279"/>
      <c r="J1279"/>
    </row>
    <row r="1280" spans="1:10" x14ac:dyDescent="0.2">
      <c r="A1280"/>
      <c r="B1280"/>
      <c r="C1280"/>
      <c r="D1280"/>
      <c r="E1280"/>
      <c r="F1280"/>
      <c r="G1280"/>
      <c r="H1280"/>
      <c r="I1280"/>
      <c r="J1280"/>
    </row>
    <row r="1281" spans="1:10" x14ac:dyDescent="0.2">
      <c r="A1281"/>
      <c r="B1281"/>
      <c r="C1281"/>
      <c r="D1281"/>
      <c r="E1281"/>
      <c r="F1281"/>
      <c r="G1281"/>
      <c r="H1281"/>
      <c r="I1281"/>
      <c r="J1281"/>
    </row>
    <row r="1282" spans="1:10" x14ac:dyDescent="0.2">
      <c r="A1282"/>
      <c r="B1282"/>
      <c r="C1282"/>
      <c r="D1282"/>
      <c r="E1282"/>
      <c r="F1282"/>
      <c r="G1282"/>
      <c r="H1282"/>
      <c r="I1282"/>
      <c r="J1282"/>
    </row>
    <row r="1283" spans="1:10" x14ac:dyDescent="0.2">
      <c r="A1283"/>
      <c r="B1283"/>
      <c r="C1283"/>
      <c r="D1283"/>
      <c r="E1283"/>
      <c r="F1283"/>
      <c r="G1283"/>
      <c r="H1283"/>
      <c r="I1283"/>
      <c r="J1283"/>
    </row>
    <row r="1284" spans="1:10" x14ac:dyDescent="0.2">
      <c r="A1284"/>
      <c r="B1284"/>
      <c r="C1284"/>
      <c r="D1284"/>
      <c r="E1284"/>
      <c r="F1284"/>
      <c r="G1284"/>
      <c r="H1284"/>
      <c r="I1284"/>
      <c r="J1284"/>
    </row>
    <row r="1285" spans="1:10" x14ac:dyDescent="0.2">
      <c r="A1285"/>
      <c r="B1285"/>
      <c r="C1285"/>
      <c r="D1285"/>
      <c r="E1285"/>
      <c r="F1285"/>
      <c r="G1285"/>
      <c r="H1285"/>
      <c r="I1285"/>
      <c r="J1285"/>
    </row>
    <row r="1286" spans="1:10" x14ac:dyDescent="0.2">
      <c r="A1286"/>
      <c r="B1286"/>
      <c r="C1286"/>
      <c r="D1286"/>
      <c r="E1286"/>
      <c r="F1286"/>
      <c r="G1286"/>
      <c r="H1286"/>
      <c r="I1286"/>
      <c r="J1286"/>
    </row>
    <row r="1287" spans="1:10" x14ac:dyDescent="0.2">
      <c r="A1287"/>
      <c r="B1287"/>
      <c r="C1287"/>
      <c r="D1287"/>
      <c r="E1287"/>
      <c r="F1287"/>
      <c r="G1287"/>
      <c r="H1287"/>
      <c r="I1287"/>
      <c r="J1287"/>
    </row>
    <row r="1288" spans="1:10" x14ac:dyDescent="0.2">
      <c r="A1288"/>
      <c r="B1288"/>
      <c r="C1288"/>
      <c r="D1288"/>
      <c r="E1288"/>
      <c r="F1288"/>
      <c r="G1288"/>
      <c r="H1288"/>
      <c r="I1288"/>
      <c r="J1288"/>
    </row>
    <row r="1289" spans="1:10" x14ac:dyDescent="0.2">
      <c r="A1289"/>
      <c r="B1289"/>
      <c r="C1289"/>
      <c r="D1289"/>
      <c r="E1289"/>
      <c r="F1289"/>
      <c r="G1289"/>
      <c r="H1289"/>
      <c r="I1289"/>
      <c r="J1289"/>
    </row>
    <row r="1290" spans="1:10" x14ac:dyDescent="0.2">
      <c r="A1290"/>
      <c r="B1290"/>
      <c r="C1290"/>
      <c r="D1290"/>
      <c r="E1290"/>
      <c r="F1290"/>
      <c r="G1290"/>
      <c r="H1290"/>
      <c r="I1290"/>
      <c r="J1290"/>
    </row>
    <row r="1291" spans="1:10" x14ac:dyDescent="0.2">
      <c r="A1291"/>
      <c r="B1291"/>
      <c r="C1291"/>
      <c r="D1291"/>
      <c r="E1291"/>
      <c r="F1291"/>
      <c r="G1291"/>
      <c r="H1291"/>
      <c r="I1291"/>
      <c r="J1291"/>
    </row>
    <row r="1292" spans="1:10" x14ac:dyDescent="0.2">
      <c r="A1292"/>
      <c r="B1292"/>
      <c r="C1292"/>
      <c r="D1292"/>
      <c r="E1292"/>
      <c r="F1292"/>
      <c r="G1292"/>
      <c r="H1292"/>
      <c r="I1292"/>
      <c r="J1292"/>
    </row>
    <row r="1293" spans="1:10" x14ac:dyDescent="0.2">
      <c r="A1293"/>
      <c r="B1293"/>
      <c r="C1293"/>
      <c r="D1293"/>
      <c r="E1293"/>
      <c r="F1293"/>
      <c r="G1293"/>
      <c r="H1293"/>
      <c r="I1293"/>
      <c r="J1293"/>
    </row>
    <row r="1294" spans="1:10" x14ac:dyDescent="0.2">
      <c r="A1294"/>
      <c r="B1294"/>
      <c r="C1294"/>
      <c r="D1294"/>
      <c r="E1294"/>
      <c r="F1294"/>
      <c r="G1294"/>
      <c r="H1294"/>
      <c r="I1294"/>
      <c r="J1294"/>
    </row>
    <row r="1295" spans="1:10" x14ac:dyDescent="0.2">
      <c r="A1295"/>
      <c r="B1295"/>
      <c r="C1295"/>
      <c r="D1295"/>
      <c r="E1295"/>
      <c r="F1295"/>
      <c r="G1295"/>
      <c r="H1295"/>
      <c r="I1295"/>
      <c r="J1295"/>
    </row>
    <row r="1296" spans="1:10" x14ac:dyDescent="0.2">
      <c r="A1296"/>
      <c r="B1296"/>
      <c r="C1296"/>
      <c r="D1296"/>
      <c r="E1296"/>
      <c r="F1296"/>
      <c r="G1296"/>
      <c r="H1296"/>
      <c r="I1296"/>
      <c r="J1296"/>
    </row>
    <row r="1297" spans="1:10" x14ac:dyDescent="0.2">
      <c r="A1297"/>
      <c r="B1297"/>
      <c r="C1297"/>
      <c r="D1297"/>
      <c r="E1297"/>
      <c r="F1297"/>
      <c r="G1297"/>
      <c r="H1297"/>
      <c r="I1297"/>
      <c r="J1297"/>
    </row>
    <row r="1298" spans="1:10" x14ac:dyDescent="0.2">
      <c r="A1298"/>
      <c r="B1298"/>
      <c r="C1298"/>
      <c r="D1298"/>
      <c r="E1298"/>
      <c r="F1298"/>
      <c r="G1298"/>
      <c r="H1298"/>
      <c r="I1298"/>
      <c r="J1298"/>
    </row>
    <row r="1299" spans="1:10" x14ac:dyDescent="0.2">
      <c r="A1299"/>
      <c r="B1299"/>
      <c r="C1299"/>
      <c r="D1299"/>
      <c r="E1299"/>
      <c r="F1299"/>
      <c r="G1299"/>
      <c r="H1299"/>
      <c r="I1299"/>
      <c r="J1299"/>
    </row>
    <row r="1300" spans="1:10" x14ac:dyDescent="0.2">
      <c r="A1300"/>
      <c r="B1300"/>
      <c r="C1300"/>
      <c r="D1300"/>
      <c r="E1300"/>
      <c r="F1300"/>
      <c r="G1300"/>
      <c r="H1300"/>
      <c r="I1300"/>
      <c r="J1300"/>
    </row>
    <row r="1301" spans="1:10" x14ac:dyDescent="0.2">
      <c r="A1301"/>
      <c r="B1301"/>
      <c r="C1301"/>
      <c r="D1301"/>
      <c r="E1301"/>
      <c r="F1301"/>
      <c r="G1301"/>
      <c r="H1301"/>
      <c r="I1301"/>
      <c r="J1301"/>
    </row>
    <row r="1302" spans="1:10" x14ac:dyDescent="0.2">
      <c r="A1302"/>
      <c r="B1302"/>
      <c r="C1302"/>
      <c r="D1302"/>
      <c r="E1302"/>
      <c r="F1302"/>
      <c r="G1302"/>
      <c r="H1302"/>
      <c r="I1302"/>
      <c r="J1302"/>
    </row>
    <row r="1303" spans="1:10" x14ac:dyDescent="0.2">
      <c r="A1303"/>
      <c r="B1303"/>
      <c r="C1303"/>
      <c r="D1303"/>
      <c r="E1303"/>
      <c r="F1303"/>
      <c r="G1303"/>
      <c r="H1303"/>
      <c r="I1303"/>
      <c r="J1303"/>
    </row>
    <row r="1304" spans="1:10" x14ac:dyDescent="0.2">
      <c r="A1304"/>
      <c r="B1304"/>
      <c r="C1304"/>
      <c r="D1304"/>
      <c r="E1304"/>
      <c r="F1304"/>
      <c r="G1304"/>
      <c r="H1304"/>
      <c r="I1304"/>
      <c r="J1304"/>
    </row>
    <row r="1305" spans="1:10" x14ac:dyDescent="0.2">
      <c r="A1305"/>
      <c r="B1305"/>
      <c r="C1305"/>
      <c r="D1305"/>
      <c r="E1305"/>
      <c r="F1305"/>
      <c r="G1305"/>
      <c r="H1305"/>
      <c r="I1305"/>
      <c r="J1305"/>
    </row>
    <row r="1306" spans="1:10" x14ac:dyDescent="0.2">
      <c r="A1306"/>
      <c r="B1306"/>
      <c r="C1306"/>
      <c r="D1306"/>
      <c r="E1306"/>
      <c r="F1306"/>
      <c r="G1306"/>
      <c r="H1306"/>
      <c r="I1306"/>
      <c r="J1306"/>
    </row>
    <row r="1307" spans="1:10" x14ac:dyDescent="0.2">
      <c r="A1307"/>
      <c r="B1307"/>
      <c r="C1307"/>
      <c r="D1307"/>
      <c r="E1307"/>
      <c r="F1307"/>
      <c r="G1307"/>
      <c r="H1307"/>
      <c r="I1307"/>
      <c r="J1307"/>
    </row>
    <row r="1308" spans="1:10" x14ac:dyDescent="0.2">
      <c r="A1308"/>
      <c r="B1308"/>
      <c r="C1308"/>
      <c r="D1308"/>
      <c r="E1308"/>
      <c r="F1308"/>
      <c r="G1308"/>
      <c r="H1308"/>
      <c r="I1308"/>
      <c r="J1308"/>
    </row>
    <row r="1309" spans="1:10" x14ac:dyDescent="0.2">
      <c r="A1309"/>
      <c r="B1309"/>
      <c r="C1309"/>
      <c r="D1309"/>
      <c r="E1309"/>
      <c r="F1309"/>
      <c r="G1309"/>
      <c r="H1309"/>
      <c r="I1309"/>
      <c r="J1309"/>
    </row>
    <row r="1310" spans="1:10" x14ac:dyDescent="0.2">
      <c r="A1310"/>
      <c r="B1310"/>
      <c r="C1310"/>
      <c r="D1310"/>
      <c r="E1310"/>
      <c r="F1310"/>
      <c r="G1310"/>
      <c r="H1310"/>
      <c r="I1310"/>
      <c r="J1310"/>
    </row>
    <row r="1311" spans="1:10" x14ac:dyDescent="0.2">
      <c r="A1311"/>
      <c r="B1311"/>
      <c r="C1311"/>
      <c r="D1311"/>
      <c r="E1311"/>
      <c r="F1311"/>
      <c r="G1311"/>
      <c r="H1311"/>
      <c r="I1311"/>
      <c r="J1311"/>
    </row>
    <row r="1312" spans="1:10" x14ac:dyDescent="0.2">
      <c r="A1312"/>
      <c r="B1312"/>
      <c r="C1312"/>
      <c r="D1312"/>
      <c r="E1312"/>
      <c r="F1312"/>
      <c r="G1312"/>
      <c r="H1312"/>
      <c r="I1312"/>
      <c r="J1312"/>
    </row>
    <row r="1313" spans="1:10" x14ac:dyDescent="0.2">
      <c r="A1313"/>
      <c r="B1313"/>
      <c r="C1313"/>
      <c r="D1313"/>
      <c r="E1313"/>
      <c r="F1313"/>
      <c r="G1313"/>
      <c r="H1313"/>
      <c r="I1313"/>
      <c r="J1313"/>
    </row>
    <row r="1314" spans="1:10" x14ac:dyDescent="0.2">
      <c r="A1314"/>
      <c r="B1314"/>
      <c r="C1314"/>
      <c r="D1314"/>
      <c r="E1314"/>
      <c r="F1314"/>
      <c r="G1314"/>
      <c r="H1314"/>
      <c r="I1314"/>
      <c r="J1314"/>
    </row>
    <row r="1315" spans="1:10" x14ac:dyDescent="0.2">
      <c r="A1315"/>
      <c r="B1315"/>
      <c r="C1315"/>
      <c r="D1315"/>
      <c r="E1315"/>
      <c r="F1315"/>
      <c r="G1315"/>
      <c r="H1315"/>
      <c r="I1315"/>
      <c r="J1315"/>
    </row>
    <row r="1316" spans="1:10" x14ac:dyDescent="0.2">
      <c r="A1316"/>
      <c r="B1316"/>
      <c r="C1316"/>
      <c r="D1316"/>
      <c r="E1316"/>
      <c r="F1316"/>
      <c r="G1316"/>
      <c r="H1316"/>
      <c r="I1316"/>
      <c r="J1316"/>
    </row>
    <row r="1317" spans="1:10" x14ac:dyDescent="0.2">
      <c r="A1317"/>
      <c r="B1317"/>
      <c r="C1317"/>
      <c r="D1317"/>
      <c r="E1317"/>
      <c r="F1317"/>
      <c r="G1317"/>
      <c r="H1317"/>
      <c r="I1317"/>
      <c r="J1317"/>
    </row>
    <row r="1318" spans="1:10" x14ac:dyDescent="0.2">
      <c r="A1318"/>
      <c r="B1318"/>
      <c r="C1318"/>
      <c r="D1318"/>
      <c r="E1318"/>
      <c r="F1318"/>
      <c r="G1318"/>
      <c r="H1318"/>
      <c r="I1318"/>
      <c r="J1318"/>
    </row>
    <row r="1319" spans="1:10" x14ac:dyDescent="0.2">
      <c r="A1319"/>
      <c r="B1319"/>
      <c r="C1319"/>
      <c r="D1319"/>
      <c r="E1319"/>
      <c r="F1319"/>
      <c r="G1319"/>
      <c r="H1319"/>
      <c r="I1319"/>
      <c r="J1319"/>
    </row>
    <row r="1320" spans="1:10" x14ac:dyDescent="0.2">
      <c r="A1320"/>
      <c r="B1320"/>
      <c r="C1320"/>
      <c r="D1320"/>
      <c r="E1320"/>
      <c r="F1320"/>
      <c r="G1320"/>
      <c r="H1320"/>
      <c r="I1320"/>
      <c r="J1320"/>
    </row>
    <row r="1321" spans="1:10" x14ac:dyDescent="0.2">
      <c r="A1321"/>
      <c r="B1321"/>
      <c r="C1321"/>
      <c r="D1321"/>
      <c r="E1321"/>
      <c r="F1321"/>
      <c r="G1321"/>
      <c r="H1321"/>
      <c r="I1321"/>
      <c r="J1321"/>
    </row>
    <row r="1322" spans="1:10" x14ac:dyDescent="0.2">
      <c r="A1322"/>
      <c r="B1322"/>
      <c r="C1322"/>
      <c r="D1322"/>
      <c r="E1322"/>
      <c r="F1322"/>
      <c r="G1322"/>
      <c r="H1322"/>
      <c r="I1322"/>
      <c r="J1322"/>
    </row>
    <row r="1323" spans="1:10" x14ac:dyDescent="0.2">
      <c r="A1323"/>
      <c r="B1323"/>
      <c r="C1323"/>
      <c r="D1323"/>
      <c r="E1323"/>
      <c r="F1323"/>
      <c r="G1323"/>
      <c r="H1323"/>
      <c r="I1323"/>
      <c r="J1323"/>
    </row>
    <row r="1324" spans="1:10" x14ac:dyDescent="0.2">
      <c r="A1324"/>
      <c r="B1324"/>
      <c r="C1324"/>
      <c r="D1324"/>
      <c r="E1324"/>
      <c r="F1324"/>
      <c r="G1324"/>
      <c r="H1324"/>
      <c r="I1324"/>
      <c r="J1324"/>
    </row>
    <row r="1325" spans="1:10" x14ac:dyDescent="0.2">
      <c r="A1325"/>
      <c r="B1325"/>
      <c r="C1325"/>
      <c r="D1325"/>
      <c r="E1325"/>
      <c r="F1325"/>
      <c r="G1325"/>
      <c r="H1325"/>
      <c r="I1325"/>
      <c r="J1325"/>
    </row>
    <row r="1326" spans="1:10" x14ac:dyDescent="0.2">
      <c r="A1326"/>
      <c r="B1326"/>
      <c r="C1326"/>
      <c r="D1326"/>
      <c r="E1326"/>
      <c r="F1326"/>
      <c r="G1326"/>
      <c r="H1326"/>
      <c r="I1326"/>
      <c r="J1326"/>
    </row>
    <row r="1327" spans="1:10" x14ac:dyDescent="0.2">
      <c r="A1327"/>
      <c r="B1327"/>
      <c r="C1327"/>
      <c r="D1327"/>
      <c r="E1327"/>
      <c r="F1327"/>
      <c r="G1327"/>
      <c r="H1327"/>
      <c r="I1327"/>
      <c r="J1327"/>
    </row>
    <row r="1328" spans="1:10" x14ac:dyDescent="0.2">
      <c r="A1328"/>
      <c r="B1328"/>
      <c r="C1328"/>
      <c r="D1328"/>
      <c r="E1328"/>
      <c r="F1328"/>
      <c r="G1328"/>
      <c r="H1328"/>
      <c r="I1328"/>
      <c r="J1328"/>
    </row>
    <row r="1329" spans="1:10" x14ac:dyDescent="0.2">
      <c r="A1329"/>
      <c r="B1329"/>
      <c r="C1329"/>
      <c r="D1329"/>
      <c r="E1329"/>
      <c r="F1329"/>
      <c r="G1329"/>
      <c r="H1329"/>
      <c r="I1329"/>
      <c r="J1329"/>
    </row>
    <row r="1330" spans="1:10" x14ac:dyDescent="0.2">
      <c r="A1330"/>
      <c r="B1330"/>
      <c r="C1330"/>
      <c r="D1330"/>
      <c r="E1330"/>
      <c r="F1330"/>
      <c r="G1330"/>
      <c r="H1330"/>
      <c r="I1330"/>
      <c r="J1330"/>
    </row>
    <row r="1331" spans="1:10" x14ac:dyDescent="0.2">
      <c r="A1331"/>
      <c r="B1331"/>
      <c r="C1331"/>
      <c r="D1331"/>
      <c r="E1331"/>
      <c r="F1331"/>
      <c r="G1331"/>
      <c r="H1331"/>
      <c r="I1331"/>
      <c r="J1331"/>
    </row>
    <row r="1332" spans="1:10" x14ac:dyDescent="0.2">
      <c r="A1332"/>
      <c r="B1332"/>
      <c r="C1332"/>
      <c r="D1332"/>
      <c r="E1332"/>
      <c r="F1332"/>
      <c r="G1332"/>
      <c r="H1332"/>
      <c r="I1332"/>
      <c r="J1332"/>
    </row>
    <row r="1333" spans="1:10" x14ac:dyDescent="0.2">
      <c r="A1333"/>
      <c r="B1333"/>
      <c r="C1333"/>
      <c r="D1333"/>
      <c r="E1333"/>
      <c r="F1333"/>
      <c r="G1333"/>
      <c r="H1333"/>
      <c r="I1333"/>
      <c r="J1333"/>
    </row>
    <row r="1334" spans="1:10" x14ac:dyDescent="0.2">
      <c r="A1334"/>
      <c r="B1334"/>
      <c r="C1334"/>
      <c r="D1334"/>
      <c r="E1334"/>
      <c r="F1334"/>
      <c r="G1334"/>
      <c r="H1334"/>
      <c r="I1334"/>
      <c r="J1334"/>
    </row>
    <row r="1335" spans="1:10" x14ac:dyDescent="0.2">
      <c r="A1335"/>
      <c r="B1335"/>
      <c r="C1335"/>
      <c r="D1335"/>
      <c r="E1335"/>
      <c r="F1335"/>
      <c r="G1335"/>
      <c r="H1335"/>
      <c r="I1335"/>
      <c r="J1335"/>
    </row>
    <row r="1336" spans="1:10" x14ac:dyDescent="0.2">
      <c r="A1336"/>
      <c r="B1336"/>
      <c r="C1336"/>
      <c r="D1336"/>
      <c r="E1336"/>
      <c r="F1336"/>
      <c r="G1336"/>
      <c r="H1336"/>
      <c r="I1336"/>
      <c r="J1336"/>
    </row>
    <row r="1337" spans="1:10" x14ac:dyDescent="0.2">
      <c r="A1337"/>
      <c r="B1337"/>
      <c r="C1337"/>
      <c r="D1337"/>
      <c r="E1337"/>
      <c r="F1337"/>
      <c r="G1337"/>
      <c r="H1337"/>
      <c r="I1337"/>
      <c r="J1337"/>
    </row>
    <row r="1338" spans="1:10" x14ac:dyDescent="0.2">
      <c r="A1338"/>
      <c r="B1338"/>
      <c r="C1338"/>
      <c r="D1338"/>
      <c r="E1338"/>
      <c r="F1338"/>
      <c r="G1338"/>
      <c r="H1338"/>
      <c r="I1338"/>
      <c r="J1338"/>
    </row>
    <row r="1339" spans="1:10" x14ac:dyDescent="0.2">
      <c r="A1339"/>
      <c r="B1339"/>
      <c r="C1339"/>
      <c r="D1339"/>
      <c r="E1339"/>
      <c r="F1339"/>
      <c r="G1339"/>
      <c r="H1339"/>
      <c r="I1339"/>
      <c r="J1339"/>
    </row>
    <row r="1340" spans="1:10" x14ac:dyDescent="0.2">
      <c r="A1340"/>
      <c r="B1340"/>
      <c r="C1340"/>
      <c r="D1340"/>
      <c r="E1340"/>
      <c r="F1340"/>
      <c r="G1340"/>
      <c r="H1340"/>
      <c r="I1340"/>
      <c r="J1340"/>
    </row>
    <row r="1341" spans="1:10" x14ac:dyDescent="0.2">
      <c r="A1341"/>
      <c r="B1341"/>
      <c r="C1341"/>
      <c r="D1341"/>
      <c r="E1341"/>
      <c r="F1341"/>
      <c r="G1341"/>
      <c r="H1341"/>
      <c r="I1341"/>
      <c r="J1341"/>
    </row>
    <row r="1342" spans="1:10" x14ac:dyDescent="0.2">
      <c r="A1342"/>
      <c r="B1342"/>
      <c r="C1342"/>
      <c r="D1342"/>
      <c r="E1342"/>
      <c r="F1342"/>
      <c r="G1342"/>
      <c r="H1342"/>
      <c r="I1342"/>
      <c r="J1342"/>
    </row>
    <row r="1343" spans="1:10" x14ac:dyDescent="0.2">
      <c r="A1343"/>
      <c r="B1343"/>
      <c r="C1343"/>
      <c r="D1343"/>
      <c r="E1343"/>
      <c r="F1343"/>
      <c r="G1343"/>
      <c r="H1343"/>
      <c r="I1343"/>
      <c r="J1343"/>
    </row>
    <row r="1344" spans="1:10" x14ac:dyDescent="0.2">
      <c r="A1344"/>
      <c r="B1344"/>
      <c r="C1344"/>
      <c r="D1344"/>
      <c r="E1344"/>
      <c r="F1344"/>
      <c r="G1344"/>
      <c r="H1344"/>
      <c r="I1344"/>
      <c r="J1344"/>
    </row>
    <row r="1345" spans="1:10" x14ac:dyDescent="0.2">
      <c r="A1345"/>
      <c r="B1345"/>
      <c r="C1345"/>
      <c r="D1345"/>
      <c r="E1345"/>
      <c r="F1345"/>
      <c r="G1345"/>
      <c r="H1345"/>
      <c r="I1345"/>
      <c r="J1345"/>
    </row>
    <row r="1346" spans="1:10" x14ac:dyDescent="0.2">
      <c r="A1346"/>
      <c r="B1346"/>
      <c r="C1346"/>
      <c r="D1346"/>
      <c r="E1346"/>
      <c r="F1346"/>
      <c r="G1346"/>
      <c r="H1346"/>
      <c r="I1346"/>
      <c r="J1346"/>
    </row>
    <row r="1347" spans="1:10" x14ac:dyDescent="0.2">
      <c r="A1347"/>
      <c r="B1347"/>
      <c r="C1347"/>
      <c r="D1347"/>
      <c r="E1347"/>
      <c r="F1347"/>
      <c r="G1347"/>
      <c r="H1347"/>
      <c r="I1347"/>
      <c r="J1347"/>
    </row>
    <row r="1348" spans="1:10" x14ac:dyDescent="0.2">
      <c r="A1348"/>
      <c r="B1348"/>
      <c r="C1348"/>
      <c r="D1348"/>
      <c r="E1348"/>
      <c r="F1348"/>
      <c r="G1348"/>
      <c r="H1348"/>
      <c r="I1348"/>
      <c r="J1348"/>
    </row>
    <row r="1349" spans="1:10" x14ac:dyDescent="0.2">
      <c r="A1349"/>
      <c r="B1349"/>
      <c r="C1349"/>
      <c r="D1349"/>
      <c r="E1349"/>
      <c r="F1349"/>
      <c r="G1349"/>
      <c r="H1349"/>
      <c r="I1349"/>
      <c r="J1349"/>
    </row>
    <row r="1350" spans="1:10" x14ac:dyDescent="0.2">
      <c r="A1350"/>
      <c r="B1350"/>
      <c r="C1350"/>
      <c r="D1350"/>
      <c r="E1350"/>
      <c r="F1350"/>
      <c r="G1350"/>
      <c r="H1350"/>
      <c r="I1350"/>
      <c r="J1350"/>
    </row>
    <row r="1351" spans="1:10" x14ac:dyDescent="0.2">
      <c r="A1351"/>
      <c r="B1351"/>
      <c r="C1351"/>
      <c r="D1351"/>
      <c r="E1351"/>
      <c r="F1351"/>
      <c r="G1351"/>
      <c r="H1351"/>
      <c r="I1351"/>
      <c r="J1351"/>
    </row>
    <row r="1352" spans="1:10" x14ac:dyDescent="0.2">
      <c r="A1352"/>
      <c r="B1352"/>
      <c r="C1352"/>
      <c r="D1352"/>
      <c r="E1352"/>
      <c r="F1352"/>
      <c r="G1352"/>
      <c r="H1352"/>
      <c r="I1352"/>
      <c r="J1352"/>
    </row>
    <row r="1353" spans="1:10" x14ac:dyDescent="0.2">
      <c r="A1353"/>
      <c r="B1353"/>
      <c r="C1353"/>
      <c r="D1353"/>
      <c r="E1353"/>
      <c r="F1353"/>
      <c r="G1353"/>
      <c r="H1353"/>
      <c r="I1353"/>
      <c r="J1353"/>
    </row>
    <row r="1354" spans="1:10" x14ac:dyDescent="0.2">
      <c r="A1354"/>
      <c r="B1354"/>
      <c r="C1354"/>
      <c r="D1354"/>
      <c r="E1354"/>
      <c r="F1354"/>
      <c r="G1354"/>
      <c r="H1354"/>
      <c r="I1354"/>
      <c r="J1354"/>
    </row>
    <row r="1355" spans="1:10" x14ac:dyDescent="0.2">
      <c r="A1355"/>
      <c r="B1355"/>
      <c r="C1355"/>
      <c r="D1355"/>
      <c r="E1355"/>
      <c r="F1355"/>
      <c r="G1355"/>
      <c r="H1355"/>
      <c r="I1355"/>
      <c r="J1355"/>
    </row>
    <row r="1356" spans="1:10" x14ac:dyDescent="0.2">
      <c r="A1356"/>
      <c r="B1356"/>
      <c r="C1356"/>
      <c r="D1356"/>
      <c r="E1356"/>
      <c r="F1356"/>
      <c r="G1356"/>
      <c r="H1356"/>
      <c r="I1356"/>
      <c r="J1356"/>
    </row>
    <row r="1357" spans="1:10" x14ac:dyDescent="0.2">
      <c r="A1357"/>
      <c r="B1357"/>
      <c r="C1357"/>
      <c r="D1357"/>
      <c r="E1357"/>
      <c r="F1357"/>
      <c r="G1357"/>
      <c r="H1357"/>
      <c r="I1357"/>
      <c r="J1357"/>
    </row>
    <row r="1358" spans="1:10" x14ac:dyDescent="0.2">
      <c r="A1358"/>
      <c r="B1358"/>
      <c r="C1358"/>
      <c r="D1358"/>
      <c r="E1358"/>
      <c r="F1358"/>
      <c r="G1358"/>
      <c r="H1358"/>
      <c r="I1358"/>
      <c r="J1358"/>
    </row>
    <row r="1359" spans="1:10" x14ac:dyDescent="0.2">
      <c r="A1359"/>
      <c r="B1359"/>
      <c r="C1359"/>
      <c r="D1359"/>
      <c r="E1359"/>
      <c r="F1359"/>
      <c r="G1359"/>
      <c r="H1359"/>
      <c r="I1359"/>
      <c r="J1359"/>
    </row>
    <row r="1360" spans="1:10" x14ac:dyDescent="0.2">
      <c r="A1360"/>
      <c r="B1360"/>
      <c r="C1360"/>
      <c r="D1360"/>
      <c r="E1360"/>
      <c r="F1360"/>
      <c r="G1360"/>
      <c r="H1360"/>
      <c r="I1360"/>
      <c r="J1360"/>
    </row>
    <row r="1361" spans="1:10" x14ac:dyDescent="0.2">
      <c r="A1361"/>
      <c r="B1361"/>
      <c r="C1361"/>
      <c r="D1361"/>
      <c r="E1361"/>
      <c r="F1361"/>
      <c r="G1361"/>
      <c r="H1361"/>
      <c r="I1361"/>
      <c r="J1361"/>
    </row>
    <row r="1362" spans="1:10" x14ac:dyDescent="0.2">
      <c r="A1362"/>
      <c r="B1362"/>
      <c r="C1362"/>
      <c r="D1362"/>
      <c r="E1362"/>
      <c r="F1362"/>
      <c r="G1362"/>
      <c r="H1362"/>
      <c r="I1362"/>
      <c r="J1362"/>
    </row>
    <row r="1363" spans="1:10" x14ac:dyDescent="0.2">
      <c r="A1363"/>
      <c r="B1363"/>
      <c r="C1363"/>
      <c r="D1363"/>
      <c r="E1363"/>
      <c r="F1363"/>
      <c r="G1363"/>
      <c r="H1363"/>
      <c r="I1363"/>
      <c r="J1363"/>
    </row>
    <row r="1364" spans="1:10" x14ac:dyDescent="0.2">
      <c r="A1364"/>
      <c r="B1364"/>
      <c r="C1364"/>
      <c r="D1364"/>
      <c r="E1364"/>
      <c r="F1364"/>
      <c r="G1364"/>
      <c r="H1364"/>
      <c r="I1364"/>
      <c r="J1364"/>
    </row>
    <row r="1365" spans="1:10" x14ac:dyDescent="0.2">
      <c r="A1365"/>
      <c r="B1365"/>
      <c r="C1365"/>
      <c r="D1365"/>
      <c r="E1365"/>
      <c r="F1365"/>
      <c r="G1365"/>
      <c r="H1365"/>
      <c r="I1365"/>
      <c r="J1365"/>
    </row>
    <row r="1366" spans="1:10" x14ac:dyDescent="0.2">
      <c r="A1366"/>
      <c r="B1366"/>
      <c r="C1366"/>
      <c r="D1366"/>
      <c r="E1366"/>
      <c r="F1366"/>
      <c r="G1366"/>
      <c r="H1366"/>
      <c r="I1366"/>
      <c r="J1366"/>
    </row>
    <row r="1367" spans="1:10" x14ac:dyDescent="0.2">
      <c r="A1367"/>
      <c r="B1367"/>
      <c r="C1367"/>
      <c r="D1367"/>
      <c r="E1367"/>
      <c r="F1367"/>
      <c r="G1367"/>
      <c r="H1367"/>
      <c r="I1367"/>
      <c r="J1367"/>
    </row>
    <row r="1368" spans="1:10" x14ac:dyDescent="0.2">
      <c r="A1368"/>
      <c r="B1368"/>
      <c r="C1368"/>
      <c r="D1368"/>
      <c r="E1368"/>
      <c r="F1368"/>
      <c r="G1368"/>
      <c r="H1368"/>
      <c r="I1368"/>
      <c r="J1368"/>
    </row>
    <row r="1369" spans="1:10" x14ac:dyDescent="0.2">
      <c r="A1369"/>
      <c r="B1369"/>
      <c r="C1369"/>
      <c r="D1369"/>
      <c r="E1369"/>
      <c r="F1369"/>
      <c r="G1369"/>
      <c r="H1369"/>
      <c r="I1369"/>
      <c r="J1369"/>
    </row>
    <row r="1370" spans="1:10" x14ac:dyDescent="0.2">
      <c r="A1370"/>
      <c r="B1370"/>
      <c r="C1370"/>
      <c r="D1370"/>
      <c r="E1370"/>
      <c r="F1370"/>
      <c r="G1370"/>
      <c r="H1370"/>
      <c r="I1370"/>
      <c r="J1370"/>
    </row>
    <row r="1371" spans="1:10" x14ac:dyDescent="0.2">
      <c r="A1371"/>
      <c r="B1371"/>
      <c r="C1371"/>
      <c r="D1371"/>
      <c r="E1371"/>
      <c r="F1371"/>
      <c r="G1371"/>
      <c r="H1371"/>
      <c r="I1371"/>
      <c r="J1371"/>
    </row>
    <row r="1372" spans="1:10" x14ac:dyDescent="0.2">
      <c r="A1372"/>
      <c r="B1372"/>
      <c r="C1372"/>
      <c r="D1372"/>
      <c r="E1372"/>
      <c r="F1372"/>
      <c r="G1372"/>
      <c r="H1372"/>
      <c r="I1372"/>
      <c r="J1372"/>
    </row>
    <row r="1373" spans="1:10" x14ac:dyDescent="0.2">
      <c r="A1373"/>
      <c r="B1373"/>
      <c r="C1373"/>
      <c r="D1373"/>
      <c r="E1373"/>
      <c r="F1373"/>
      <c r="G1373"/>
      <c r="H1373"/>
      <c r="I1373"/>
      <c r="J1373"/>
    </row>
    <row r="1374" spans="1:10" x14ac:dyDescent="0.2">
      <c r="A1374"/>
      <c r="B1374"/>
      <c r="C1374"/>
      <c r="D1374"/>
      <c r="E1374"/>
      <c r="F1374"/>
      <c r="G1374"/>
      <c r="H1374"/>
      <c r="I1374"/>
      <c r="J1374"/>
    </row>
    <row r="1375" spans="1:10" x14ac:dyDescent="0.2">
      <c r="A1375"/>
      <c r="B1375"/>
      <c r="C1375"/>
      <c r="D1375"/>
      <c r="E1375"/>
      <c r="F1375"/>
      <c r="G1375"/>
      <c r="H1375"/>
      <c r="I1375"/>
      <c r="J1375"/>
    </row>
    <row r="1376" spans="1:10" x14ac:dyDescent="0.2">
      <c r="A1376"/>
      <c r="B1376"/>
      <c r="C1376"/>
      <c r="D1376"/>
      <c r="E1376"/>
      <c r="F1376"/>
      <c r="G1376"/>
      <c r="H1376"/>
      <c r="I1376"/>
      <c r="J1376"/>
    </row>
    <row r="1377" spans="1:10" x14ac:dyDescent="0.2">
      <c r="A1377"/>
      <c r="B1377"/>
      <c r="C1377"/>
      <c r="D1377"/>
      <c r="E1377"/>
      <c r="F1377"/>
      <c r="G1377"/>
      <c r="H1377"/>
      <c r="I1377"/>
      <c r="J1377"/>
    </row>
    <row r="1378" spans="1:10" x14ac:dyDescent="0.2">
      <c r="A1378"/>
      <c r="B1378"/>
      <c r="C1378"/>
      <c r="D1378"/>
      <c r="E1378"/>
      <c r="F1378"/>
      <c r="G1378"/>
      <c r="H1378"/>
      <c r="I1378"/>
      <c r="J1378"/>
    </row>
    <row r="1379" spans="1:10" x14ac:dyDescent="0.2">
      <c r="A1379"/>
      <c r="B1379"/>
      <c r="C1379"/>
      <c r="D1379"/>
      <c r="E1379"/>
      <c r="F1379"/>
      <c r="G1379"/>
      <c r="H1379"/>
      <c r="I1379"/>
      <c r="J1379"/>
    </row>
    <row r="1380" spans="1:10" x14ac:dyDescent="0.2">
      <c r="A1380"/>
      <c r="B1380"/>
      <c r="C1380"/>
      <c r="D1380"/>
      <c r="E1380"/>
      <c r="F1380"/>
      <c r="G1380"/>
      <c r="H1380"/>
      <c r="I1380"/>
      <c r="J1380"/>
    </row>
    <row r="1381" spans="1:10" x14ac:dyDescent="0.2">
      <c r="A1381"/>
      <c r="B1381"/>
      <c r="C1381"/>
      <c r="D1381"/>
      <c r="E1381"/>
      <c r="F1381"/>
      <c r="G1381"/>
      <c r="H1381"/>
      <c r="I1381"/>
      <c r="J1381"/>
    </row>
    <row r="1382" spans="1:10" x14ac:dyDescent="0.2">
      <c r="A1382"/>
      <c r="B1382"/>
      <c r="C1382"/>
      <c r="D1382"/>
      <c r="E1382"/>
      <c r="F1382"/>
      <c r="G1382"/>
      <c r="H1382"/>
      <c r="I1382"/>
      <c r="J1382"/>
    </row>
    <row r="1383" spans="1:10" x14ac:dyDescent="0.2">
      <c r="A1383"/>
      <c r="B1383"/>
      <c r="C1383"/>
      <c r="D1383"/>
      <c r="E1383"/>
      <c r="F1383"/>
      <c r="G1383"/>
      <c r="H1383"/>
      <c r="I1383"/>
      <c r="J1383"/>
    </row>
    <row r="1384" spans="1:10" x14ac:dyDescent="0.2">
      <c r="A1384"/>
      <c r="B1384"/>
      <c r="C1384"/>
      <c r="D1384"/>
      <c r="E1384"/>
      <c r="F1384"/>
      <c r="G1384"/>
      <c r="H1384"/>
      <c r="I1384"/>
      <c r="J1384"/>
    </row>
    <row r="1385" spans="1:10" x14ac:dyDescent="0.2">
      <c r="A1385"/>
      <c r="B1385"/>
      <c r="C1385"/>
      <c r="D1385"/>
      <c r="E1385"/>
      <c r="F1385"/>
      <c r="G1385"/>
      <c r="H1385"/>
      <c r="I1385"/>
      <c r="J1385"/>
    </row>
    <row r="1386" spans="1:10" x14ac:dyDescent="0.2">
      <c r="A1386"/>
      <c r="B1386"/>
      <c r="C1386"/>
      <c r="D1386"/>
      <c r="E1386"/>
      <c r="F1386"/>
      <c r="G1386"/>
      <c r="H1386"/>
      <c r="I1386"/>
      <c r="J1386"/>
    </row>
    <row r="1387" spans="1:10" x14ac:dyDescent="0.2">
      <c r="A1387"/>
      <c r="B1387"/>
      <c r="C1387"/>
      <c r="D1387"/>
      <c r="E1387"/>
      <c r="F1387"/>
      <c r="G1387"/>
      <c r="H1387"/>
      <c r="I1387"/>
      <c r="J1387"/>
    </row>
    <row r="1388" spans="1:10" x14ac:dyDescent="0.2">
      <c r="A1388"/>
      <c r="B1388"/>
      <c r="C1388"/>
      <c r="D1388"/>
      <c r="E1388"/>
      <c r="F1388"/>
      <c r="G1388"/>
      <c r="H1388"/>
      <c r="I1388"/>
      <c r="J1388"/>
    </row>
    <row r="1389" spans="1:10" x14ac:dyDescent="0.2">
      <c r="A1389"/>
      <c r="B1389"/>
      <c r="C1389"/>
      <c r="D1389"/>
      <c r="E1389"/>
      <c r="F1389"/>
      <c r="G1389"/>
      <c r="H1389"/>
      <c r="I1389"/>
      <c r="J1389"/>
    </row>
    <row r="1390" spans="1:10" x14ac:dyDescent="0.2">
      <c r="A1390"/>
      <c r="B1390"/>
      <c r="C1390"/>
      <c r="D1390"/>
      <c r="E1390"/>
      <c r="F1390"/>
      <c r="G1390"/>
      <c r="H1390"/>
      <c r="I1390"/>
      <c r="J1390"/>
    </row>
    <row r="1391" spans="1:10" x14ac:dyDescent="0.2">
      <c r="A1391"/>
      <c r="B1391"/>
      <c r="C1391"/>
      <c r="D1391"/>
      <c r="E1391"/>
      <c r="F1391"/>
      <c r="G1391"/>
      <c r="H1391"/>
      <c r="I1391"/>
      <c r="J1391"/>
    </row>
    <row r="1392" spans="1:10" x14ac:dyDescent="0.2">
      <c r="A1392"/>
      <c r="B1392"/>
      <c r="C1392"/>
      <c r="D1392"/>
      <c r="E1392"/>
      <c r="F1392"/>
      <c r="G1392"/>
      <c r="H1392"/>
      <c r="I1392"/>
      <c r="J1392"/>
    </row>
    <row r="1393" spans="1:10" x14ac:dyDescent="0.2">
      <c r="A1393"/>
      <c r="B1393"/>
      <c r="C1393"/>
      <c r="D1393"/>
      <c r="E1393"/>
      <c r="F1393"/>
      <c r="G1393"/>
      <c r="H1393"/>
      <c r="I1393"/>
      <c r="J1393"/>
    </row>
    <row r="1394" spans="1:10" x14ac:dyDescent="0.2">
      <c r="A1394"/>
      <c r="B1394"/>
      <c r="C1394"/>
      <c r="D1394"/>
      <c r="E1394"/>
      <c r="F1394"/>
      <c r="G1394"/>
      <c r="H1394"/>
      <c r="I1394"/>
      <c r="J1394"/>
    </row>
    <row r="1395" spans="1:10" x14ac:dyDescent="0.2">
      <c r="A1395"/>
      <c r="B1395"/>
      <c r="C1395"/>
      <c r="D1395"/>
      <c r="E1395"/>
      <c r="F1395"/>
      <c r="G1395"/>
      <c r="H1395"/>
      <c r="I1395"/>
      <c r="J1395"/>
    </row>
    <row r="1396" spans="1:10" x14ac:dyDescent="0.2">
      <c r="A1396"/>
      <c r="B1396"/>
      <c r="C1396"/>
      <c r="D1396"/>
      <c r="E1396"/>
      <c r="F1396"/>
      <c r="G1396"/>
      <c r="H1396"/>
      <c r="I1396"/>
      <c r="J1396"/>
    </row>
    <row r="1397" spans="1:10" x14ac:dyDescent="0.2">
      <c r="A1397"/>
      <c r="B1397"/>
      <c r="C1397"/>
      <c r="D1397"/>
      <c r="E1397"/>
      <c r="F1397"/>
      <c r="G1397"/>
      <c r="H1397"/>
      <c r="I1397"/>
      <c r="J1397"/>
    </row>
    <row r="1398" spans="1:10" x14ac:dyDescent="0.2">
      <c r="A1398"/>
      <c r="B1398"/>
      <c r="C1398"/>
      <c r="D1398"/>
      <c r="E1398"/>
      <c r="F1398"/>
      <c r="G1398"/>
      <c r="H1398"/>
      <c r="I1398"/>
      <c r="J1398"/>
    </row>
    <row r="1399" spans="1:10" x14ac:dyDescent="0.2">
      <c r="A1399"/>
      <c r="B1399"/>
      <c r="C1399"/>
      <c r="D1399"/>
      <c r="E1399"/>
      <c r="F1399"/>
      <c r="G1399"/>
      <c r="H1399"/>
      <c r="I1399"/>
      <c r="J1399"/>
    </row>
    <row r="1400" spans="1:10" x14ac:dyDescent="0.2">
      <c r="A1400"/>
      <c r="B1400"/>
      <c r="C1400"/>
      <c r="D1400"/>
      <c r="E1400"/>
      <c r="F1400"/>
      <c r="G1400"/>
      <c r="H1400"/>
      <c r="I1400"/>
      <c r="J1400"/>
    </row>
    <row r="1401" spans="1:10" x14ac:dyDescent="0.2">
      <c r="A1401"/>
      <c r="B1401"/>
      <c r="C1401"/>
      <c r="D1401"/>
      <c r="E1401"/>
      <c r="F1401"/>
      <c r="G1401"/>
      <c r="H1401"/>
      <c r="I1401"/>
      <c r="J1401"/>
    </row>
    <row r="1402" spans="1:10" x14ac:dyDescent="0.2">
      <c r="A1402"/>
      <c r="B1402"/>
      <c r="C1402"/>
      <c r="D1402"/>
      <c r="E1402"/>
      <c r="F1402"/>
      <c r="G1402"/>
      <c r="H1402"/>
      <c r="I1402"/>
      <c r="J1402"/>
    </row>
    <row r="1403" spans="1:10" x14ac:dyDescent="0.2">
      <c r="A1403"/>
      <c r="B1403"/>
      <c r="C1403"/>
      <c r="D1403"/>
      <c r="E1403"/>
      <c r="F1403"/>
      <c r="G1403"/>
      <c r="H1403"/>
      <c r="I1403"/>
      <c r="J1403"/>
    </row>
    <row r="1404" spans="1:10" x14ac:dyDescent="0.2">
      <c r="A1404"/>
      <c r="B1404"/>
      <c r="C1404"/>
      <c r="D1404"/>
      <c r="E1404"/>
      <c r="F1404"/>
      <c r="G1404"/>
      <c r="H1404"/>
      <c r="I1404"/>
      <c r="J1404"/>
    </row>
    <row r="1405" spans="1:10" x14ac:dyDescent="0.2">
      <c r="A1405"/>
      <c r="B1405"/>
      <c r="C1405"/>
      <c r="D1405"/>
      <c r="E1405"/>
      <c r="F1405"/>
      <c r="G1405"/>
      <c r="H1405"/>
      <c r="I1405"/>
      <c r="J1405"/>
    </row>
    <row r="1406" spans="1:10" x14ac:dyDescent="0.2">
      <c r="A1406"/>
      <c r="B1406"/>
      <c r="C1406"/>
      <c r="D1406"/>
      <c r="E1406"/>
      <c r="F1406"/>
      <c r="G1406"/>
      <c r="H1406"/>
      <c r="I1406"/>
      <c r="J1406"/>
    </row>
    <row r="1407" spans="1:10" x14ac:dyDescent="0.2">
      <c r="A1407"/>
      <c r="B1407"/>
      <c r="C1407"/>
      <c r="D1407"/>
      <c r="E1407"/>
      <c r="F1407"/>
      <c r="G1407"/>
      <c r="H1407"/>
      <c r="I1407"/>
      <c r="J1407"/>
    </row>
    <row r="1408" spans="1:10" x14ac:dyDescent="0.2">
      <c r="A1408"/>
      <c r="B1408"/>
      <c r="C1408"/>
      <c r="D1408"/>
      <c r="E1408"/>
      <c r="F1408"/>
      <c r="G1408"/>
      <c r="H1408"/>
      <c r="I1408"/>
      <c r="J1408"/>
    </row>
    <row r="1409" spans="1:10" x14ac:dyDescent="0.2">
      <c r="A1409"/>
      <c r="B1409"/>
      <c r="C1409"/>
      <c r="D1409"/>
      <c r="E1409"/>
      <c r="F1409"/>
      <c r="G1409"/>
      <c r="H1409"/>
      <c r="I1409"/>
      <c r="J1409"/>
    </row>
    <row r="1410" spans="1:10" x14ac:dyDescent="0.2">
      <c r="A1410"/>
      <c r="B1410"/>
      <c r="C1410"/>
      <c r="D1410"/>
      <c r="E1410"/>
      <c r="F1410"/>
      <c r="G1410"/>
      <c r="H1410"/>
      <c r="I1410"/>
      <c r="J1410"/>
    </row>
    <row r="1411" spans="1:10" x14ac:dyDescent="0.2">
      <c r="A1411"/>
      <c r="B1411"/>
      <c r="C1411"/>
      <c r="D1411"/>
      <c r="E1411"/>
      <c r="F1411"/>
      <c r="G1411"/>
      <c r="H1411"/>
      <c r="I1411"/>
      <c r="J1411"/>
    </row>
    <row r="1412" spans="1:10" x14ac:dyDescent="0.2">
      <c r="A1412"/>
      <c r="B1412"/>
      <c r="C1412"/>
      <c r="D1412"/>
      <c r="E1412"/>
      <c r="F1412"/>
      <c r="G1412"/>
      <c r="H1412"/>
      <c r="I1412"/>
      <c r="J1412"/>
    </row>
    <row r="1413" spans="1:10" x14ac:dyDescent="0.2">
      <c r="A1413"/>
      <c r="B1413"/>
      <c r="C1413"/>
      <c r="D1413"/>
      <c r="E1413"/>
      <c r="F1413"/>
      <c r="G1413"/>
      <c r="H1413"/>
      <c r="I1413"/>
      <c r="J1413"/>
    </row>
    <row r="1414" spans="1:10" x14ac:dyDescent="0.2">
      <c r="A1414"/>
      <c r="B1414"/>
      <c r="C1414"/>
      <c r="D1414"/>
      <c r="E1414"/>
      <c r="F1414"/>
      <c r="G1414"/>
      <c r="H1414"/>
      <c r="I1414"/>
      <c r="J1414"/>
    </row>
    <row r="1415" spans="1:10" x14ac:dyDescent="0.2">
      <c r="A1415"/>
      <c r="B1415"/>
      <c r="C1415"/>
      <c r="D1415"/>
      <c r="E1415"/>
      <c r="F1415"/>
      <c r="G1415"/>
      <c r="H1415"/>
      <c r="I1415"/>
      <c r="J1415"/>
    </row>
    <row r="1416" spans="1:10" x14ac:dyDescent="0.2">
      <c r="A1416"/>
      <c r="B1416"/>
      <c r="C1416"/>
      <c r="D1416"/>
      <c r="E1416"/>
      <c r="F1416"/>
      <c r="G1416"/>
      <c r="H1416"/>
      <c r="I1416"/>
      <c r="J1416"/>
    </row>
    <row r="1417" spans="1:10" x14ac:dyDescent="0.2">
      <c r="A1417"/>
      <c r="B1417"/>
      <c r="C1417"/>
      <c r="D1417"/>
      <c r="E1417"/>
      <c r="F1417"/>
      <c r="G1417"/>
      <c r="H1417"/>
      <c r="I1417"/>
      <c r="J1417"/>
    </row>
    <row r="1418" spans="1:10" x14ac:dyDescent="0.2">
      <c r="A1418"/>
      <c r="B1418"/>
      <c r="C1418"/>
      <c r="D1418"/>
      <c r="E1418"/>
      <c r="F1418"/>
      <c r="G1418"/>
      <c r="H1418"/>
      <c r="I1418"/>
      <c r="J1418"/>
    </row>
    <row r="1419" spans="1:10" x14ac:dyDescent="0.2">
      <c r="A1419"/>
      <c r="B1419"/>
      <c r="C1419"/>
      <c r="D1419"/>
      <c r="E1419"/>
      <c r="F1419"/>
      <c r="G1419"/>
      <c r="H1419"/>
      <c r="I1419"/>
      <c r="J1419"/>
    </row>
    <row r="1420" spans="1:10" x14ac:dyDescent="0.2">
      <c r="A1420"/>
      <c r="B1420"/>
      <c r="C1420"/>
      <c r="D1420"/>
      <c r="E1420"/>
      <c r="F1420"/>
      <c r="G1420"/>
      <c r="H1420"/>
      <c r="I1420"/>
      <c r="J1420"/>
    </row>
    <row r="1421" spans="1:10" x14ac:dyDescent="0.2">
      <c r="A1421"/>
      <c r="B1421"/>
      <c r="C1421"/>
      <c r="D1421"/>
      <c r="E1421"/>
      <c r="F1421"/>
      <c r="G1421"/>
      <c r="H1421"/>
      <c r="I1421"/>
      <c r="J1421"/>
    </row>
    <row r="1422" spans="1:10" x14ac:dyDescent="0.2">
      <c r="A1422"/>
      <c r="B1422"/>
      <c r="C1422"/>
      <c r="D1422"/>
      <c r="E1422"/>
      <c r="F1422"/>
      <c r="G1422"/>
      <c r="H1422"/>
      <c r="I1422"/>
      <c r="J1422"/>
    </row>
    <row r="1423" spans="1:10" x14ac:dyDescent="0.2">
      <c r="A1423"/>
      <c r="B1423"/>
      <c r="C1423"/>
      <c r="D1423"/>
      <c r="E1423"/>
      <c r="F1423"/>
      <c r="G1423"/>
      <c r="H1423"/>
      <c r="I1423"/>
      <c r="J1423"/>
    </row>
    <row r="1424" spans="1:10" x14ac:dyDescent="0.2">
      <c r="A1424"/>
      <c r="B1424"/>
      <c r="C1424"/>
      <c r="D1424"/>
      <c r="E1424"/>
      <c r="F1424"/>
      <c r="G1424"/>
      <c r="H1424"/>
      <c r="I1424"/>
      <c r="J1424"/>
    </row>
    <row r="1425" spans="1:10" x14ac:dyDescent="0.2">
      <c r="A1425"/>
      <c r="B1425"/>
      <c r="C1425"/>
      <c r="D1425"/>
      <c r="E1425"/>
      <c r="F1425"/>
      <c r="G1425"/>
      <c r="H1425"/>
      <c r="I1425"/>
      <c r="J1425"/>
    </row>
    <row r="1426" spans="1:10" x14ac:dyDescent="0.2">
      <c r="A1426"/>
      <c r="B1426"/>
      <c r="C1426"/>
      <c r="D1426"/>
      <c r="E1426"/>
      <c r="F1426"/>
      <c r="G1426"/>
      <c r="H1426"/>
      <c r="I1426"/>
      <c r="J1426"/>
    </row>
    <row r="1427" spans="1:10" x14ac:dyDescent="0.2">
      <c r="A1427"/>
      <c r="B1427"/>
      <c r="C1427"/>
      <c r="D1427"/>
      <c r="E1427"/>
      <c r="F1427"/>
      <c r="G1427"/>
      <c r="H1427"/>
      <c r="I1427"/>
      <c r="J1427"/>
    </row>
    <row r="1428" spans="1:10" x14ac:dyDescent="0.2">
      <c r="A1428"/>
      <c r="B1428"/>
      <c r="C1428"/>
      <c r="D1428"/>
      <c r="E1428"/>
      <c r="F1428"/>
      <c r="G1428"/>
      <c r="H1428"/>
      <c r="I1428"/>
      <c r="J1428"/>
    </row>
    <row r="1429" spans="1:10" x14ac:dyDescent="0.2">
      <c r="A1429"/>
      <c r="B1429"/>
      <c r="C1429"/>
      <c r="D1429"/>
      <c r="E1429"/>
      <c r="F1429"/>
      <c r="G1429"/>
      <c r="H1429"/>
      <c r="I1429"/>
      <c r="J1429"/>
    </row>
    <row r="1430" spans="1:10" x14ac:dyDescent="0.2">
      <c r="A1430"/>
      <c r="B1430"/>
      <c r="C1430"/>
      <c r="D1430"/>
      <c r="E1430"/>
      <c r="F1430"/>
      <c r="G1430"/>
      <c r="H1430"/>
      <c r="I1430"/>
      <c r="J1430"/>
    </row>
    <row r="1431" spans="1:10" x14ac:dyDescent="0.2">
      <c r="A1431"/>
      <c r="B1431"/>
      <c r="C1431"/>
      <c r="D1431"/>
      <c r="E1431"/>
      <c r="F1431"/>
      <c r="G1431"/>
      <c r="H1431"/>
      <c r="I1431"/>
      <c r="J1431"/>
    </row>
    <row r="1432" spans="1:10" x14ac:dyDescent="0.2">
      <c r="A1432"/>
      <c r="B1432"/>
      <c r="C1432"/>
      <c r="D1432"/>
      <c r="E1432"/>
      <c r="F1432"/>
      <c r="G1432"/>
      <c r="H1432"/>
      <c r="I1432"/>
      <c r="J1432"/>
    </row>
    <row r="1433" spans="1:10" x14ac:dyDescent="0.2">
      <c r="A1433"/>
      <c r="B1433"/>
      <c r="C1433"/>
      <c r="D1433"/>
      <c r="E1433"/>
      <c r="F1433"/>
      <c r="G1433"/>
      <c r="H1433"/>
      <c r="I1433"/>
      <c r="J1433"/>
    </row>
    <row r="1434" spans="1:10" x14ac:dyDescent="0.2">
      <c r="A1434"/>
      <c r="B1434"/>
      <c r="C1434"/>
      <c r="D1434"/>
      <c r="E1434"/>
      <c r="F1434"/>
      <c r="G1434"/>
      <c r="H1434"/>
      <c r="I1434"/>
      <c r="J1434"/>
    </row>
    <row r="1435" spans="1:10" x14ac:dyDescent="0.2">
      <c r="A1435"/>
      <c r="B1435"/>
      <c r="C1435"/>
      <c r="D1435"/>
      <c r="E1435"/>
      <c r="F1435"/>
      <c r="G1435"/>
      <c r="H1435"/>
      <c r="I1435"/>
      <c r="J1435"/>
    </row>
    <row r="1436" spans="1:10" x14ac:dyDescent="0.2">
      <c r="A1436"/>
      <c r="B1436"/>
      <c r="C1436"/>
      <c r="D1436"/>
      <c r="E1436"/>
      <c r="F1436"/>
      <c r="G1436"/>
      <c r="H1436"/>
      <c r="I1436"/>
      <c r="J1436"/>
    </row>
    <row r="1437" spans="1:10" x14ac:dyDescent="0.2">
      <c r="A1437"/>
      <c r="B1437"/>
      <c r="C1437"/>
      <c r="D1437"/>
      <c r="E1437"/>
      <c r="F1437"/>
      <c r="G1437"/>
      <c r="H1437"/>
      <c r="I1437"/>
      <c r="J1437"/>
    </row>
    <row r="1438" spans="1:10" x14ac:dyDescent="0.2">
      <c r="A1438"/>
      <c r="B1438"/>
      <c r="C1438"/>
      <c r="D1438"/>
      <c r="E1438"/>
      <c r="F1438"/>
      <c r="G1438"/>
      <c r="H1438"/>
      <c r="I1438"/>
      <c r="J1438"/>
    </row>
    <row r="1439" spans="1:10" x14ac:dyDescent="0.2">
      <c r="A1439"/>
      <c r="B1439"/>
      <c r="C1439"/>
      <c r="D1439"/>
      <c r="E1439"/>
      <c r="F1439"/>
      <c r="G1439"/>
      <c r="H1439"/>
      <c r="I1439"/>
      <c r="J1439"/>
    </row>
    <row r="1440" spans="1:10" x14ac:dyDescent="0.2">
      <c r="A1440"/>
      <c r="B1440"/>
      <c r="C1440"/>
      <c r="D1440"/>
      <c r="E1440"/>
      <c r="F1440"/>
      <c r="G1440"/>
      <c r="H1440"/>
      <c r="I1440"/>
      <c r="J1440"/>
    </row>
    <row r="1441" spans="1:10" x14ac:dyDescent="0.2">
      <c r="A1441"/>
      <c r="B1441"/>
      <c r="C1441"/>
      <c r="D1441"/>
      <c r="E1441"/>
      <c r="F1441"/>
      <c r="G1441"/>
      <c r="H1441"/>
      <c r="I1441"/>
      <c r="J1441"/>
    </row>
    <row r="1442" spans="1:10" x14ac:dyDescent="0.2">
      <c r="A1442"/>
      <c r="B1442"/>
      <c r="C1442"/>
      <c r="D1442"/>
      <c r="E1442"/>
      <c r="F1442"/>
      <c r="G1442"/>
      <c r="H1442"/>
      <c r="I1442"/>
      <c r="J1442"/>
    </row>
    <row r="1443" spans="1:10" x14ac:dyDescent="0.2">
      <c r="A1443"/>
      <c r="B1443"/>
      <c r="C1443"/>
      <c r="D1443"/>
      <c r="E1443"/>
      <c r="F1443"/>
      <c r="G1443"/>
      <c r="H1443"/>
      <c r="I1443"/>
      <c r="J1443"/>
    </row>
    <row r="1444" spans="1:10" x14ac:dyDescent="0.2">
      <c r="A1444"/>
      <c r="B1444"/>
      <c r="C1444"/>
      <c r="D1444"/>
      <c r="E1444"/>
      <c r="F1444"/>
      <c r="G1444"/>
      <c r="H1444"/>
      <c r="I1444"/>
      <c r="J1444"/>
    </row>
    <row r="1445" spans="1:10" x14ac:dyDescent="0.2">
      <c r="A1445"/>
      <c r="B1445"/>
      <c r="C1445"/>
      <c r="D1445"/>
      <c r="E1445"/>
      <c r="F1445"/>
      <c r="G1445"/>
      <c r="H1445"/>
      <c r="I1445"/>
      <c r="J1445"/>
    </row>
    <row r="1446" spans="1:10" x14ac:dyDescent="0.2">
      <c r="A1446"/>
      <c r="B1446"/>
      <c r="C1446"/>
      <c r="D1446"/>
      <c r="E1446"/>
      <c r="F1446"/>
      <c r="G1446"/>
      <c r="H1446"/>
      <c r="I1446"/>
      <c r="J1446"/>
    </row>
    <row r="1447" spans="1:10" x14ac:dyDescent="0.2">
      <c r="A1447"/>
      <c r="B1447"/>
      <c r="C1447"/>
      <c r="D1447"/>
      <c r="E1447"/>
      <c r="F1447"/>
      <c r="G1447"/>
      <c r="H1447"/>
      <c r="I1447"/>
      <c r="J1447"/>
    </row>
    <row r="1448" spans="1:10" x14ac:dyDescent="0.2">
      <c r="A1448"/>
      <c r="B1448"/>
      <c r="C1448"/>
      <c r="D1448"/>
      <c r="E1448"/>
      <c r="F1448"/>
      <c r="G1448"/>
      <c r="H1448"/>
      <c r="I1448"/>
      <c r="J1448"/>
    </row>
    <row r="1449" spans="1:10" x14ac:dyDescent="0.2">
      <c r="A1449"/>
      <c r="B1449"/>
      <c r="C1449"/>
      <c r="D1449"/>
      <c r="E1449"/>
      <c r="F1449"/>
      <c r="G1449"/>
      <c r="H1449"/>
      <c r="I1449"/>
      <c r="J1449"/>
    </row>
    <row r="1450" spans="1:10" x14ac:dyDescent="0.2">
      <c r="A1450"/>
      <c r="B1450"/>
      <c r="C1450"/>
      <c r="D1450"/>
      <c r="E1450"/>
      <c r="F1450"/>
      <c r="G1450"/>
      <c r="H1450"/>
      <c r="I1450"/>
      <c r="J1450"/>
    </row>
    <row r="1451" spans="1:10" x14ac:dyDescent="0.2">
      <c r="A1451"/>
      <c r="B1451"/>
      <c r="C1451"/>
      <c r="D1451"/>
      <c r="E1451"/>
      <c r="F1451"/>
      <c r="G1451"/>
      <c r="H1451"/>
      <c r="I1451"/>
      <c r="J1451"/>
    </row>
    <row r="1452" spans="1:10" x14ac:dyDescent="0.2">
      <c r="A1452"/>
      <c r="B1452"/>
      <c r="C1452"/>
      <c r="D1452"/>
      <c r="E1452"/>
      <c r="F1452"/>
      <c r="G1452"/>
      <c r="H1452"/>
      <c r="I1452"/>
      <c r="J1452"/>
    </row>
    <row r="1453" spans="1:10" x14ac:dyDescent="0.2">
      <c r="A1453"/>
      <c r="B1453"/>
      <c r="C1453"/>
      <c r="D1453"/>
      <c r="E1453"/>
      <c r="F1453"/>
      <c r="G1453"/>
      <c r="H1453"/>
      <c r="I1453"/>
      <c r="J1453"/>
    </row>
    <row r="1454" spans="1:10" x14ac:dyDescent="0.2">
      <c r="A1454"/>
      <c r="B1454"/>
      <c r="C1454"/>
      <c r="D1454"/>
      <c r="E1454"/>
      <c r="F1454"/>
      <c r="G1454"/>
      <c r="H1454"/>
      <c r="I1454"/>
      <c r="J1454"/>
    </row>
    <row r="1455" spans="1:10" x14ac:dyDescent="0.2">
      <c r="A1455"/>
      <c r="B1455"/>
      <c r="C1455"/>
      <c r="D1455"/>
      <c r="E1455"/>
      <c r="F1455"/>
      <c r="G1455"/>
      <c r="H1455"/>
      <c r="I1455"/>
      <c r="J1455"/>
    </row>
    <row r="1456" spans="1:10" x14ac:dyDescent="0.2">
      <c r="A1456"/>
      <c r="B1456"/>
      <c r="C1456"/>
      <c r="D1456"/>
      <c r="E1456"/>
      <c r="F1456"/>
      <c r="G1456"/>
      <c r="H1456"/>
      <c r="I1456"/>
      <c r="J1456"/>
    </row>
    <row r="1457" spans="1:10" x14ac:dyDescent="0.2">
      <c r="A1457"/>
      <c r="B1457"/>
      <c r="C1457"/>
      <c r="D1457"/>
      <c r="E1457"/>
      <c r="F1457"/>
      <c r="G1457"/>
      <c r="H1457"/>
      <c r="I1457"/>
      <c r="J1457"/>
    </row>
    <row r="1458" spans="1:10" x14ac:dyDescent="0.2">
      <c r="A1458"/>
      <c r="B1458"/>
      <c r="C1458"/>
      <c r="D1458"/>
      <c r="E1458"/>
      <c r="F1458"/>
      <c r="G1458"/>
      <c r="H1458"/>
      <c r="I1458"/>
      <c r="J1458"/>
    </row>
    <row r="1459" spans="1:10" x14ac:dyDescent="0.2">
      <c r="A1459"/>
      <c r="B1459"/>
      <c r="C1459"/>
      <c r="D1459"/>
      <c r="E1459"/>
      <c r="F1459"/>
      <c r="G1459"/>
      <c r="H1459"/>
      <c r="I1459"/>
      <c r="J1459"/>
    </row>
    <row r="1460" spans="1:10" x14ac:dyDescent="0.2">
      <c r="A1460"/>
      <c r="B1460"/>
      <c r="C1460"/>
      <c r="D1460"/>
      <c r="E1460"/>
      <c r="F1460"/>
      <c r="G1460"/>
      <c r="H1460"/>
      <c r="I1460"/>
      <c r="J1460"/>
    </row>
    <row r="1461" spans="1:10" x14ac:dyDescent="0.2">
      <c r="A1461"/>
      <c r="B1461"/>
      <c r="C1461"/>
      <c r="D1461"/>
      <c r="E1461"/>
      <c r="F1461"/>
      <c r="G1461"/>
      <c r="H1461"/>
      <c r="I1461"/>
      <c r="J1461"/>
    </row>
    <row r="1462" spans="1:10" x14ac:dyDescent="0.2">
      <c r="A1462"/>
      <c r="B1462"/>
      <c r="C1462"/>
      <c r="D1462"/>
      <c r="E1462"/>
      <c r="F1462"/>
      <c r="G1462"/>
      <c r="H1462"/>
      <c r="I1462"/>
      <c r="J1462"/>
    </row>
    <row r="1463" spans="1:10" x14ac:dyDescent="0.2">
      <c r="A1463"/>
      <c r="B1463"/>
      <c r="C1463"/>
      <c r="D1463"/>
      <c r="E1463"/>
      <c r="F1463"/>
      <c r="G1463"/>
      <c r="H1463"/>
      <c r="I1463"/>
      <c r="J1463"/>
    </row>
    <row r="1464" spans="1:10" x14ac:dyDescent="0.2">
      <c r="A1464"/>
      <c r="B1464"/>
      <c r="C1464"/>
      <c r="D1464"/>
      <c r="E1464"/>
      <c r="F1464"/>
      <c r="G1464"/>
      <c r="H1464"/>
      <c r="I1464"/>
      <c r="J1464"/>
    </row>
    <row r="1465" spans="1:10" x14ac:dyDescent="0.2">
      <c r="A1465"/>
      <c r="B1465"/>
      <c r="C1465"/>
      <c r="D1465"/>
      <c r="E1465"/>
      <c r="F1465"/>
      <c r="G1465"/>
      <c r="H1465"/>
      <c r="I1465"/>
      <c r="J1465"/>
    </row>
    <row r="1466" spans="1:10" x14ac:dyDescent="0.2">
      <c r="A1466"/>
      <c r="B1466"/>
      <c r="C1466"/>
      <c r="D1466"/>
      <c r="E1466"/>
      <c r="F1466"/>
      <c r="G1466"/>
      <c r="H1466"/>
      <c r="I1466"/>
      <c r="J1466"/>
    </row>
    <row r="1467" spans="1:10" x14ac:dyDescent="0.2">
      <c r="A1467"/>
      <c r="B1467"/>
      <c r="C1467"/>
      <c r="D1467"/>
      <c r="E1467"/>
      <c r="F1467"/>
      <c r="G1467"/>
      <c r="H1467"/>
      <c r="I1467"/>
      <c r="J1467"/>
    </row>
    <row r="1468" spans="1:10" x14ac:dyDescent="0.2">
      <c r="A1468"/>
      <c r="B1468"/>
      <c r="C1468"/>
      <c r="D1468"/>
      <c r="E1468"/>
      <c r="F1468"/>
      <c r="G1468"/>
      <c r="H1468"/>
      <c r="I1468"/>
      <c r="J1468"/>
    </row>
    <row r="1469" spans="1:10" x14ac:dyDescent="0.2">
      <c r="A1469"/>
      <c r="B1469"/>
      <c r="C1469"/>
      <c r="D1469"/>
      <c r="E1469"/>
      <c r="F1469"/>
      <c r="G1469"/>
      <c r="H1469"/>
      <c r="I1469"/>
      <c r="J1469"/>
    </row>
    <row r="1470" spans="1:10" x14ac:dyDescent="0.2">
      <c r="A1470"/>
      <c r="B1470"/>
      <c r="C1470"/>
      <c r="D1470"/>
      <c r="E1470"/>
      <c r="F1470"/>
      <c r="G1470"/>
      <c r="H1470"/>
      <c r="I1470"/>
      <c r="J1470"/>
    </row>
    <row r="1471" spans="1:10" x14ac:dyDescent="0.2">
      <c r="A1471"/>
      <c r="B1471"/>
      <c r="C1471"/>
      <c r="D1471"/>
      <c r="E1471"/>
      <c r="F1471"/>
      <c r="G1471"/>
      <c r="H1471"/>
      <c r="I1471"/>
      <c r="J1471"/>
    </row>
    <row r="1472" spans="1:10" x14ac:dyDescent="0.2">
      <c r="A1472"/>
      <c r="B1472"/>
      <c r="C1472"/>
      <c r="D1472"/>
      <c r="E1472"/>
      <c r="F1472"/>
      <c r="G1472"/>
      <c r="H1472"/>
      <c r="I1472"/>
      <c r="J1472"/>
    </row>
    <row r="1473" spans="1:10" x14ac:dyDescent="0.2">
      <c r="A1473"/>
      <c r="B1473"/>
      <c r="C1473"/>
      <c r="D1473"/>
      <c r="E1473"/>
      <c r="F1473"/>
      <c r="G1473"/>
      <c r="H1473"/>
      <c r="I1473"/>
      <c r="J1473"/>
    </row>
    <row r="1474" spans="1:10" x14ac:dyDescent="0.2">
      <c r="A1474"/>
      <c r="B1474"/>
      <c r="C1474"/>
      <c r="D1474"/>
      <c r="E1474"/>
      <c r="F1474"/>
      <c r="G1474"/>
      <c r="H1474"/>
      <c r="I1474"/>
      <c r="J1474"/>
    </row>
    <row r="1475" spans="1:10" x14ac:dyDescent="0.2">
      <c r="A1475"/>
      <c r="B1475"/>
      <c r="C1475"/>
      <c r="D1475"/>
      <c r="E1475"/>
      <c r="F1475"/>
      <c r="G1475"/>
      <c r="H1475"/>
      <c r="I1475"/>
      <c r="J1475"/>
    </row>
    <row r="1476" spans="1:10" x14ac:dyDescent="0.2">
      <c r="A1476"/>
      <c r="B1476"/>
      <c r="C1476"/>
      <c r="D1476"/>
      <c r="E1476"/>
      <c r="F1476"/>
      <c r="G1476"/>
      <c r="H1476"/>
      <c r="I1476"/>
      <c r="J1476"/>
    </row>
    <row r="1477" spans="1:10" x14ac:dyDescent="0.2">
      <c r="A1477"/>
      <c r="B1477"/>
      <c r="C1477"/>
      <c r="D1477"/>
      <c r="E1477"/>
      <c r="F1477"/>
      <c r="G1477"/>
      <c r="H1477"/>
      <c r="I1477"/>
      <c r="J1477"/>
    </row>
    <row r="1478" spans="1:10" x14ac:dyDescent="0.2">
      <c r="A1478"/>
      <c r="B1478"/>
      <c r="C1478"/>
      <c r="D1478"/>
      <c r="E1478"/>
      <c r="F1478"/>
      <c r="G1478"/>
      <c r="H1478"/>
      <c r="I1478"/>
      <c r="J1478"/>
    </row>
    <row r="1479" spans="1:10" x14ac:dyDescent="0.2">
      <c r="A1479"/>
      <c r="B1479"/>
      <c r="C1479"/>
      <c r="D1479"/>
      <c r="E1479"/>
      <c r="F1479"/>
      <c r="G1479"/>
      <c r="H1479"/>
      <c r="I1479"/>
      <c r="J1479"/>
    </row>
    <row r="1480" spans="1:10" x14ac:dyDescent="0.2">
      <c r="A1480"/>
      <c r="B1480"/>
      <c r="C1480"/>
      <c r="D1480"/>
      <c r="E1480"/>
      <c r="F1480"/>
      <c r="G1480"/>
      <c r="H1480"/>
      <c r="I1480"/>
      <c r="J1480"/>
    </row>
    <row r="1481" spans="1:10" x14ac:dyDescent="0.2">
      <c r="A1481"/>
      <c r="B1481"/>
      <c r="C1481"/>
      <c r="D1481"/>
      <c r="E1481"/>
      <c r="F1481"/>
      <c r="G1481"/>
      <c r="H1481"/>
      <c r="I1481"/>
      <c r="J1481"/>
    </row>
    <row r="1482" spans="1:10" x14ac:dyDescent="0.2">
      <c r="A1482"/>
      <c r="B1482"/>
      <c r="C1482"/>
      <c r="D1482"/>
      <c r="E1482"/>
      <c r="F1482"/>
      <c r="G1482"/>
      <c r="H1482"/>
      <c r="I1482"/>
      <c r="J1482"/>
    </row>
    <row r="1483" spans="1:10" x14ac:dyDescent="0.2">
      <c r="A1483"/>
      <c r="B1483"/>
      <c r="C1483"/>
      <c r="D1483"/>
      <c r="E1483"/>
      <c r="F1483"/>
      <c r="G1483"/>
      <c r="H1483"/>
      <c r="I1483"/>
      <c r="J1483"/>
    </row>
    <row r="1484" spans="1:10" x14ac:dyDescent="0.2">
      <c r="A1484"/>
      <c r="B1484"/>
      <c r="C1484"/>
      <c r="D1484"/>
      <c r="E1484"/>
      <c r="F1484"/>
      <c r="G1484"/>
      <c r="H1484"/>
      <c r="I1484"/>
      <c r="J1484"/>
    </row>
    <row r="1485" spans="1:10" x14ac:dyDescent="0.2">
      <c r="A1485"/>
      <c r="B1485"/>
      <c r="C1485"/>
      <c r="D1485"/>
      <c r="E1485"/>
      <c r="F1485"/>
      <c r="G1485"/>
      <c r="H1485"/>
      <c r="I1485"/>
      <c r="J1485"/>
    </row>
    <row r="1486" spans="1:10" x14ac:dyDescent="0.2">
      <c r="A1486"/>
      <c r="B1486"/>
      <c r="C1486"/>
      <c r="D1486"/>
      <c r="E1486"/>
      <c r="F1486"/>
      <c r="G1486"/>
      <c r="H1486"/>
      <c r="I1486"/>
      <c r="J1486"/>
    </row>
    <row r="1487" spans="1:10" x14ac:dyDescent="0.2">
      <c r="A1487"/>
      <c r="B1487"/>
      <c r="C1487"/>
      <c r="D1487"/>
      <c r="E1487"/>
      <c r="F1487"/>
      <c r="G1487"/>
      <c r="H1487"/>
      <c r="I1487"/>
      <c r="J1487"/>
    </row>
    <row r="1488" spans="1:10" x14ac:dyDescent="0.2">
      <c r="A1488"/>
      <c r="B1488"/>
      <c r="C1488"/>
      <c r="D1488"/>
      <c r="E1488"/>
      <c r="F1488"/>
      <c r="G1488"/>
      <c r="H1488"/>
      <c r="I1488"/>
      <c r="J1488"/>
    </row>
    <row r="1489" spans="1:10" x14ac:dyDescent="0.2">
      <c r="A1489"/>
      <c r="B1489"/>
      <c r="C1489"/>
      <c r="D1489"/>
      <c r="E1489"/>
      <c r="F1489"/>
      <c r="G1489"/>
      <c r="H1489"/>
      <c r="I1489"/>
      <c r="J1489"/>
    </row>
    <row r="1490" spans="1:10" x14ac:dyDescent="0.2">
      <c r="A1490"/>
      <c r="B1490"/>
      <c r="C1490"/>
      <c r="D1490"/>
      <c r="E1490"/>
      <c r="F1490"/>
      <c r="G1490"/>
      <c r="H1490"/>
      <c r="I1490"/>
      <c r="J1490"/>
    </row>
    <row r="1491" spans="1:10" x14ac:dyDescent="0.2">
      <c r="A1491"/>
      <c r="B1491"/>
      <c r="C1491"/>
      <c r="D1491"/>
      <c r="E1491"/>
      <c r="F1491"/>
      <c r="G1491"/>
      <c r="H1491"/>
      <c r="I1491"/>
      <c r="J1491"/>
    </row>
    <row r="1492" spans="1:10" x14ac:dyDescent="0.2">
      <c r="A1492"/>
      <c r="B1492"/>
      <c r="C1492"/>
      <c r="D1492"/>
      <c r="E1492"/>
      <c r="F1492"/>
      <c r="G1492"/>
      <c r="H1492"/>
      <c r="I1492"/>
      <c r="J1492"/>
    </row>
    <row r="1493" spans="1:10" x14ac:dyDescent="0.2">
      <c r="A1493"/>
      <c r="B1493"/>
      <c r="C1493"/>
      <c r="D1493"/>
      <c r="E1493"/>
      <c r="F1493"/>
      <c r="G1493"/>
      <c r="H1493"/>
      <c r="I1493"/>
      <c r="J1493"/>
    </row>
    <row r="1494" spans="1:10" x14ac:dyDescent="0.2">
      <c r="A1494"/>
      <c r="B1494"/>
      <c r="C1494"/>
      <c r="D1494"/>
      <c r="E1494"/>
      <c r="F1494"/>
      <c r="G1494"/>
      <c r="H1494"/>
      <c r="I1494"/>
      <c r="J1494"/>
    </row>
    <row r="1495" spans="1:10" x14ac:dyDescent="0.2">
      <c r="A1495"/>
      <c r="B1495"/>
      <c r="C1495"/>
      <c r="D1495"/>
      <c r="E1495"/>
      <c r="F1495"/>
      <c r="G1495"/>
      <c r="H1495"/>
      <c r="I1495"/>
      <c r="J1495"/>
    </row>
    <row r="1496" spans="1:10" x14ac:dyDescent="0.2">
      <c r="A1496"/>
      <c r="B1496"/>
      <c r="C1496"/>
      <c r="D1496"/>
      <c r="E1496"/>
      <c r="F1496"/>
      <c r="G1496"/>
      <c r="H1496"/>
      <c r="I1496"/>
      <c r="J1496"/>
    </row>
    <row r="1497" spans="1:10" x14ac:dyDescent="0.2">
      <c r="A1497"/>
      <c r="B1497"/>
      <c r="C1497"/>
      <c r="D1497"/>
      <c r="E1497"/>
      <c r="F1497"/>
      <c r="G1497"/>
      <c r="H1497"/>
      <c r="I1497"/>
      <c r="J1497"/>
    </row>
    <row r="1498" spans="1:10" x14ac:dyDescent="0.2">
      <c r="A1498"/>
      <c r="B1498"/>
      <c r="C1498"/>
      <c r="D1498"/>
      <c r="E1498"/>
      <c r="F1498"/>
      <c r="G1498"/>
      <c r="H1498"/>
      <c r="I1498"/>
      <c r="J1498"/>
    </row>
    <row r="1499" spans="1:10" x14ac:dyDescent="0.2">
      <c r="A1499"/>
      <c r="B1499"/>
      <c r="C1499"/>
      <c r="D1499"/>
      <c r="E1499"/>
      <c r="F1499"/>
      <c r="G1499"/>
      <c r="H1499"/>
      <c r="I1499"/>
      <c r="J1499"/>
    </row>
    <row r="1500" spans="1:10" x14ac:dyDescent="0.2">
      <c r="A1500"/>
      <c r="B1500"/>
      <c r="C1500"/>
      <c r="D1500"/>
      <c r="E1500"/>
      <c r="F1500"/>
      <c r="G1500"/>
      <c r="H1500"/>
      <c r="I1500"/>
      <c r="J1500"/>
    </row>
    <row r="1501" spans="1:10" x14ac:dyDescent="0.2">
      <c r="A1501"/>
      <c r="B1501"/>
      <c r="C1501"/>
      <c r="D1501"/>
      <c r="E1501"/>
      <c r="F1501"/>
      <c r="G1501"/>
      <c r="H1501"/>
      <c r="I1501"/>
      <c r="J1501"/>
    </row>
    <row r="1502" spans="1:10" x14ac:dyDescent="0.2">
      <c r="A1502"/>
      <c r="B1502"/>
      <c r="C1502"/>
      <c r="D1502"/>
      <c r="E1502"/>
      <c r="F1502"/>
      <c r="G1502"/>
      <c r="H1502"/>
      <c r="I1502"/>
      <c r="J1502"/>
    </row>
    <row r="1503" spans="1:10" x14ac:dyDescent="0.2">
      <c r="A1503"/>
      <c r="B1503"/>
      <c r="C1503"/>
      <c r="D1503"/>
      <c r="E1503"/>
      <c r="F1503"/>
      <c r="G1503"/>
      <c r="H1503"/>
      <c r="I1503"/>
      <c r="J1503"/>
    </row>
    <row r="1504" spans="1:10" x14ac:dyDescent="0.2">
      <c r="A1504"/>
      <c r="B1504"/>
      <c r="C1504"/>
      <c r="D1504"/>
      <c r="E1504"/>
      <c r="F1504"/>
      <c r="G1504"/>
      <c r="H1504"/>
      <c r="I1504"/>
      <c r="J1504"/>
    </row>
    <row r="1505" spans="1:10" x14ac:dyDescent="0.2">
      <c r="A1505"/>
      <c r="B1505"/>
      <c r="C1505"/>
      <c r="D1505"/>
      <c r="E1505"/>
      <c r="F1505"/>
      <c r="G1505"/>
      <c r="H1505"/>
      <c r="I1505"/>
      <c r="J1505"/>
    </row>
    <row r="1506" spans="1:10" x14ac:dyDescent="0.2">
      <c r="A1506"/>
      <c r="B1506"/>
      <c r="C1506"/>
      <c r="D1506"/>
      <c r="E1506"/>
      <c r="F1506"/>
      <c r="G1506"/>
      <c r="H1506"/>
      <c r="I1506"/>
      <c r="J1506"/>
    </row>
    <row r="1507" spans="1:10" x14ac:dyDescent="0.2">
      <c r="A1507"/>
      <c r="B1507"/>
      <c r="C1507"/>
      <c r="D1507"/>
      <c r="E1507"/>
      <c r="F1507"/>
      <c r="G1507"/>
      <c r="H1507"/>
      <c r="I1507"/>
      <c r="J1507"/>
    </row>
    <row r="1508" spans="1:10" x14ac:dyDescent="0.2">
      <c r="A1508"/>
      <c r="B1508"/>
      <c r="C1508"/>
      <c r="D1508"/>
      <c r="E1508"/>
      <c r="F1508"/>
      <c r="G1508"/>
      <c r="H1508"/>
      <c r="I1508"/>
      <c r="J1508"/>
    </row>
    <row r="1509" spans="1:10" x14ac:dyDescent="0.2">
      <c r="A1509"/>
      <c r="B1509"/>
      <c r="C1509"/>
      <c r="D1509"/>
      <c r="E1509"/>
      <c r="F1509"/>
      <c r="G1509"/>
      <c r="H1509"/>
      <c r="I1509"/>
      <c r="J1509"/>
    </row>
    <row r="1510" spans="1:10" x14ac:dyDescent="0.2">
      <c r="A1510"/>
      <c r="B1510"/>
      <c r="C1510"/>
      <c r="D1510"/>
      <c r="E1510"/>
      <c r="F1510"/>
      <c r="G1510"/>
      <c r="H1510"/>
      <c r="I1510"/>
      <c r="J1510"/>
    </row>
    <row r="1511" spans="1:10" x14ac:dyDescent="0.2">
      <c r="A1511"/>
      <c r="B1511"/>
      <c r="C1511"/>
      <c r="D1511"/>
      <c r="E1511"/>
      <c r="F1511"/>
      <c r="G1511"/>
      <c r="H1511"/>
      <c r="I1511"/>
      <c r="J1511"/>
    </row>
    <row r="1512" spans="1:10" x14ac:dyDescent="0.2">
      <c r="A1512"/>
      <c r="B1512"/>
      <c r="C1512"/>
      <c r="D1512"/>
      <c r="E1512"/>
      <c r="F1512"/>
      <c r="G1512"/>
      <c r="H1512"/>
      <c r="I1512"/>
      <c r="J1512"/>
    </row>
    <row r="1513" spans="1:10" x14ac:dyDescent="0.2">
      <c r="A1513"/>
      <c r="B1513"/>
      <c r="C1513"/>
      <c r="D1513"/>
      <c r="E1513"/>
      <c r="F1513"/>
      <c r="G1513"/>
      <c r="H1513"/>
      <c r="I1513"/>
      <c r="J1513"/>
    </row>
    <row r="1514" spans="1:10" x14ac:dyDescent="0.2">
      <c r="A1514"/>
      <c r="B1514"/>
      <c r="C1514"/>
      <c r="D1514"/>
      <c r="E1514"/>
      <c r="F1514"/>
      <c r="G1514"/>
      <c r="H1514"/>
      <c r="I1514"/>
      <c r="J1514"/>
    </row>
    <row r="1515" spans="1:10" x14ac:dyDescent="0.2">
      <c r="A1515"/>
      <c r="B1515"/>
      <c r="C1515"/>
      <c r="D1515"/>
      <c r="E1515"/>
      <c r="F1515"/>
      <c r="G1515"/>
      <c r="H1515"/>
      <c r="I1515"/>
      <c r="J1515"/>
    </row>
    <row r="1516" spans="1:10" x14ac:dyDescent="0.2">
      <c r="A1516"/>
      <c r="B1516"/>
      <c r="C1516"/>
      <c r="D1516"/>
      <c r="E1516"/>
      <c r="F1516"/>
      <c r="G1516"/>
      <c r="H1516"/>
      <c r="I1516"/>
      <c r="J1516"/>
    </row>
    <row r="1517" spans="1:10" x14ac:dyDescent="0.2">
      <c r="A1517"/>
      <c r="B1517"/>
      <c r="C1517"/>
      <c r="D1517"/>
      <c r="E1517"/>
      <c r="F1517"/>
      <c r="G1517"/>
      <c r="H1517"/>
      <c r="I1517"/>
      <c r="J1517"/>
    </row>
    <row r="1518" spans="1:10" x14ac:dyDescent="0.2">
      <c r="A1518"/>
      <c r="B1518"/>
      <c r="C1518"/>
      <c r="D1518"/>
      <c r="E1518"/>
      <c r="F1518"/>
      <c r="G1518"/>
      <c r="H1518"/>
      <c r="I1518"/>
      <c r="J1518"/>
    </row>
    <row r="1519" spans="1:10" x14ac:dyDescent="0.2">
      <c r="A1519"/>
      <c r="B1519"/>
      <c r="C1519"/>
      <c r="D1519"/>
      <c r="E1519"/>
      <c r="F1519"/>
      <c r="G1519"/>
      <c r="H1519"/>
      <c r="I1519"/>
      <c r="J1519"/>
    </row>
    <row r="1520" spans="1:10" x14ac:dyDescent="0.2">
      <c r="A1520"/>
      <c r="B1520"/>
      <c r="C1520"/>
      <c r="D1520"/>
      <c r="E1520"/>
      <c r="F1520"/>
      <c r="G1520"/>
      <c r="H1520"/>
      <c r="I1520"/>
      <c r="J1520"/>
    </row>
    <row r="1521" spans="1:10" x14ac:dyDescent="0.2">
      <c r="A1521"/>
      <c r="B1521"/>
      <c r="C1521"/>
      <c r="D1521"/>
      <c r="E1521"/>
      <c r="F1521"/>
      <c r="G1521"/>
      <c r="H1521"/>
      <c r="I1521"/>
      <c r="J1521"/>
    </row>
    <row r="1522" spans="1:10" x14ac:dyDescent="0.2">
      <c r="A1522"/>
      <c r="B1522"/>
      <c r="C1522"/>
      <c r="D1522"/>
      <c r="E1522"/>
      <c r="F1522"/>
      <c r="G1522"/>
      <c r="H1522"/>
      <c r="I1522"/>
      <c r="J1522"/>
    </row>
    <row r="1523" spans="1:10" x14ac:dyDescent="0.2">
      <c r="A1523"/>
      <c r="B1523"/>
      <c r="C1523"/>
      <c r="D1523"/>
      <c r="E1523"/>
      <c r="F1523"/>
      <c r="G1523"/>
      <c r="H1523"/>
      <c r="I1523"/>
      <c r="J1523"/>
    </row>
    <row r="1524" spans="1:10" x14ac:dyDescent="0.2">
      <c r="A1524"/>
      <c r="B1524"/>
      <c r="C1524"/>
      <c r="D1524"/>
      <c r="E1524"/>
      <c r="F1524"/>
      <c r="G1524"/>
      <c r="H1524"/>
      <c r="I1524"/>
      <c r="J1524"/>
    </row>
    <row r="1525" spans="1:10" x14ac:dyDescent="0.2">
      <c r="A1525"/>
      <c r="B1525"/>
      <c r="C1525"/>
      <c r="D1525"/>
      <c r="E1525"/>
      <c r="F1525"/>
      <c r="G1525"/>
      <c r="H1525"/>
      <c r="I1525"/>
      <c r="J1525"/>
    </row>
    <row r="1526" spans="1:10" x14ac:dyDescent="0.2">
      <c r="A1526"/>
      <c r="B1526"/>
      <c r="C1526"/>
      <c r="D1526"/>
      <c r="E1526"/>
      <c r="F1526"/>
      <c r="G1526"/>
      <c r="H1526"/>
      <c r="I1526"/>
      <c r="J1526"/>
    </row>
    <row r="1527" spans="1:10" x14ac:dyDescent="0.2">
      <c r="A1527"/>
      <c r="B1527"/>
      <c r="C1527"/>
      <c r="D1527"/>
      <c r="E1527"/>
      <c r="F1527"/>
      <c r="G1527"/>
      <c r="H1527"/>
      <c r="I1527"/>
      <c r="J1527"/>
    </row>
    <row r="1528" spans="1:10" x14ac:dyDescent="0.2">
      <c r="A1528"/>
      <c r="B1528"/>
      <c r="C1528"/>
      <c r="D1528"/>
      <c r="E1528"/>
      <c r="F1528"/>
      <c r="G1528"/>
      <c r="H1528"/>
      <c r="I1528"/>
      <c r="J1528"/>
    </row>
    <row r="1529" spans="1:10" x14ac:dyDescent="0.2">
      <c r="A1529"/>
      <c r="B1529"/>
      <c r="C1529"/>
      <c r="D1529"/>
      <c r="E1529"/>
      <c r="F1529"/>
      <c r="G1529"/>
      <c r="H1529"/>
      <c r="I1529"/>
      <c r="J1529"/>
    </row>
    <row r="1530" spans="1:10" x14ac:dyDescent="0.2">
      <c r="A1530"/>
      <c r="B1530"/>
      <c r="C1530"/>
      <c r="D1530"/>
      <c r="E1530"/>
      <c r="F1530"/>
      <c r="G1530"/>
      <c r="H1530"/>
      <c r="I1530"/>
      <c r="J1530"/>
    </row>
    <row r="1531" spans="1:10" x14ac:dyDescent="0.2">
      <c r="A1531"/>
      <c r="B1531"/>
      <c r="C1531"/>
      <c r="D1531"/>
      <c r="E1531"/>
      <c r="F1531"/>
      <c r="G1531"/>
      <c r="H1531"/>
      <c r="I1531"/>
      <c r="J1531"/>
    </row>
    <row r="1532" spans="1:10" x14ac:dyDescent="0.2">
      <c r="A1532"/>
      <c r="B1532"/>
      <c r="C1532"/>
      <c r="D1532"/>
      <c r="E1532"/>
      <c r="F1532"/>
      <c r="G1532"/>
      <c r="H1532"/>
      <c r="I1532"/>
      <c r="J1532"/>
    </row>
    <row r="1533" spans="1:10" x14ac:dyDescent="0.2">
      <c r="A1533"/>
      <c r="B1533"/>
      <c r="C1533"/>
      <c r="D1533"/>
      <c r="E1533"/>
      <c r="F1533"/>
      <c r="G1533"/>
      <c r="H1533"/>
      <c r="I1533"/>
      <c r="J1533"/>
    </row>
    <row r="1534" spans="1:10" x14ac:dyDescent="0.2">
      <c r="A1534"/>
      <c r="B1534"/>
      <c r="C1534"/>
      <c r="D1534"/>
      <c r="E1534"/>
      <c r="F1534"/>
      <c r="G1534"/>
      <c r="H1534"/>
      <c r="I1534"/>
      <c r="J1534"/>
    </row>
    <row r="1535" spans="1:10" x14ac:dyDescent="0.2">
      <c r="A1535"/>
      <c r="B1535"/>
      <c r="C1535"/>
      <c r="D1535"/>
      <c r="E1535"/>
      <c r="F1535"/>
      <c r="G1535"/>
      <c r="H1535"/>
      <c r="I1535"/>
      <c r="J1535"/>
    </row>
    <row r="1536" spans="1:10" x14ac:dyDescent="0.2">
      <c r="A1536"/>
      <c r="B1536"/>
      <c r="C1536"/>
      <c r="D1536"/>
      <c r="E1536"/>
      <c r="F1536"/>
      <c r="G1536"/>
      <c r="H1536"/>
      <c r="I1536"/>
      <c r="J1536"/>
    </row>
    <row r="1537" spans="1:10" x14ac:dyDescent="0.2">
      <c r="A1537"/>
      <c r="B1537"/>
      <c r="C1537"/>
      <c r="D1537"/>
      <c r="E1537"/>
      <c r="F1537"/>
      <c r="G1537"/>
      <c r="H1537"/>
      <c r="I1537"/>
      <c r="J1537"/>
    </row>
    <row r="1538" spans="1:10" x14ac:dyDescent="0.2">
      <c r="A1538"/>
      <c r="B1538"/>
      <c r="C1538"/>
      <c r="D1538"/>
      <c r="E1538"/>
      <c r="F1538"/>
      <c r="G1538"/>
      <c r="H1538"/>
      <c r="I1538"/>
      <c r="J1538"/>
    </row>
    <row r="1539" spans="1:10" x14ac:dyDescent="0.2">
      <c r="A1539"/>
      <c r="B1539"/>
      <c r="C1539"/>
      <c r="D1539"/>
      <c r="E1539"/>
      <c r="F1539"/>
      <c r="G1539"/>
      <c r="H1539"/>
      <c r="I1539"/>
      <c r="J1539"/>
    </row>
    <row r="1540" spans="1:10" x14ac:dyDescent="0.2">
      <c r="A1540"/>
      <c r="B1540"/>
      <c r="C1540"/>
      <c r="D1540"/>
      <c r="E1540"/>
      <c r="F1540"/>
      <c r="G1540"/>
      <c r="H1540"/>
      <c r="I1540"/>
      <c r="J1540"/>
    </row>
    <row r="1541" spans="1:10" x14ac:dyDescent="0.2">
      <c r="A1541"/>
      <c r="B1541"/>
      <c r="C1541"/>
      <c r="D1541"/>
      <c r="E1541"/>
      <c r="F1541"/>
      <c r="G1541"/>
      <c r="H1541"/>
      <c r="I1541"/>
      <c r="J1541"/>
    </row>
    <row r="1542" spans="1:10" x14ac:dyDescent="0.2">
      <c r="A1542"/>
      <c r="B1542"/>
      <c r="C1542"/>
      <c r="D1542"/>
      <c r="E1542"/>
      <c r="F1542"/>
      <c r="G1542"/>
      <c r="H1542"/>
      <c r="I1542"/>
      <c r="J1542"/>
    </row>
    <row r="1543" spans="1:10" x14ac:dyDescent="0.2">
      <c r="A1543"/>
      <c r="B1543"/>
      <c r="C1543"/>
      <c r="D1543"/>
      <c r="E1543"/>
      <c r="F1543"/>
      <c r="G1543"/>
      <c r="H1543"/>
      <c r="I1543"/>
      <c r="J1543"/>
    </row>
    <row r="1544" spans="1:10" x14ac:dyDescent="0.2">
      <c r="A1544"/>
      <c r="B1544"/>
      <c r="C1544"/>
      <c r="D1544"/>
      <c r="E1544"/>
      <c r="F1544"/>
      <c r="G1544"/>
      <c r="H1544"/>
      <c r="I1544"/>
      <c r="J1544"/>
    </row>
    <row r="1545" spans="1:10" x14ac:dyDescent="0.2">
      <c r="A1545"/>
      <c r="B1545"/>
      <c r="C1545"/>
      <c r="D1545"/>
      <c r="E1545"/>
      <c r="F1545"/>
      <c r="G1545"/>
      <c r="H1545"/>
      <c r="I1545"/>
      <c r="J1545"/>
    </row>
    <row r="1546" spans="1:10" x14ac:dyDescent="0.2">
      <c r="A1546"/>
      <c r="B1546"/>
      <c r="C1546"/>
      <c r="D1546"/>
      <c r="E1546"/>
      <c r="F1546"/>
      <c r="G1546"/>
      <c r="H1546"/>
      <c r="I1546"/>
      <c r="J1546"/>
    </row>
    <row r="1547" spans="1:10" x14ac:dyDescent="0.2">
      <c r="A1547"/>
      <c r="B1547"/>
      <c r="C1547"/>
      <c r="D1547"/>
      <c r="E1547"/>
      <c r="F1547"/>
      <c r="G1547"/>
      <c r="H1547"/>
      <c r="I1547"/>
      <c r="J1547"/>
    </row>
    <row r="1548" spans="1:10" x14ac:dyDescent="0.2">
      <c r="A1548"/>
      <c r="B1548"/>
      <c r="C1548"/>
      <c r="D1548"/>
      <c r="E1548"/>
      <c r="F1548"/>
      <c r="G1548"/>
      <c r="H1548"/>
      <c r="I1548"/>
      <c r="J1548"/>
    </row>
    <row r="1549" spans="1:10" x14ac:dyDescent="0.2">
      <c r="A1549"/>
      <c r="B1549"/>
      <c r="C1549"/>
      <c r="D1549"/>
      <c r="E1549"/>
      <c r="F1549"/>
      <c r="G1549"/>
      <c r="H1549"/>
      <c r="I1549"/>
      <c r="J1549"/>
    </row>
    <row r="1550" spans="1:10" x14ac:dyDescent="0.2">
      <c r="A1550"/>
      <c r="B1550"/>
      <c r="C1550"/>
      <c r="D1550"/>
      <c r="E1550"/>
      <c r="F1550"/>
      <c r="G1550"/>
      <c r="H1550"/>
      <c r="I1550"/>
      <c r="J1550"/>
    </row>
    <row r="1551" spans="1:10" x14ac:dyDescent="0.2">
      <c r="A1551"/>
      <c r="B1551"/>
      <c r="C1551"/>
      <c r="D1551"/>
      <c r="E1551"/>
      <c r="F1551"/>
      <c r="G1551"/>
      <c r="H1551"/>
      <c r="I1551"/>
      <c r="J1551"/>
    </row>
    <row r="1552" spans="1:10" x14ac:dyDescent="0.2">
      <c r="A1552"/>
      <c r="B1552"/>
      <c r="C1552"/>
      <c r="D1552"/>
      <c r="E1552"/>
      <c r="F1552"/>
      <c r="G1552"/>
      <c r="H1552"/>
      <c r="I1552"/>
      <c r="J1552"/>
    </row>
    <row r="1553" spans="1:10" x14ac:dyDescent="0.2">
      <c r="A1553"/>
      <c r="B1553"/>
      <c r="C1553"/>
      <c r="D1553"/>
      <c r="E1553"/>
      <c r="F1553"/>
      <c r="G1553"/>
      <c r="H1553"/>
      <c r="I1553"/>
      <c r="J1553"/>
    </row>
    <row r="1554" spans="1:10" x14ac:dyDescent="0.2">
      <c r="A1554"/>
      <c r="B1554"/>
      <c r="C1554"/>
      <c r="D1554"/>
      <c r="E1554"/>
      <c r="F1554"/>
      <c r="G1554"/>
      <c r="H1554"/>
      <c r="I1554"/>
      <c r="J1554"/>
    </row>
    <row r="1555" spans="1:10" x14ac:dyDescent="0.2">
      <c r="A1555"/>
      <c r="B1555"/>
      <c r="C1555"/>
      <c r="D1555"/>
      <c r="E1555"/>
      <c r="F1555"/>
      <c r="G1555"/>
      <c r="H1555"/>
      <c r="I1555"/>
      <c r="J1555"/>
    </row>
    <row r="1556" spans="1:10" x14ac:dyDescent="0.2">
      <c r="A1556"/>
      <c r="B1556"/>
      <c r="C1556"/>
      <c r="D1556"/>
      <c r="E1556"/>
      <c r="F1556"/>
      <c r="G1556"/>
      <c r="H1556"/>
      <c r="I1556"/>
      <c r="J1556"/>
    </row>
    <row r="1557" spans="1:10" x14ac:dyDescent="0.2">
      <c r="A1557"/>
      <c r="B1557"/>
      <c r="C1557"/>
      <c r="D1557"/>
      <c r="E1557"/>
      <c r="F1557"/>
      <c r="G1557"/>
      <c r="H1557"/>
      <c r="I1557"/>
      <c r="J1557"/>
    </row>
    <row r="1558" spans="1:10" x14ac:dyDescent="0.2">
      <c r="A1558"/>
      <c r="B1558"/>
      <c r="C1558"/>
      <c r="D1558"/>
      <c r="E1558"/>
      <c r="F1558"/>
      <c r="G1558"/>
      <c r="H1558"/>
      <c r="I1558"/>
      <c r="J1558"/>
    </row>
    <row r="1559" spans="1:10" x14ac:dyDescent="0.2">
      <c r="A1559"/>
      <c r="B1559"/>
      <c r="C1559"/>
      <c r="D1559"/>
      <c r="E1559"/>
      <c r="F1559"/>
      <c r="G1559"/>
      <c r="H1559"/>
      <c r="I1559"/>
      <c r="J1559"/>
    </row>
    <row r="1560" spans="1:10" x14ac:dyDescent="0.2">
      <c r="A1560"/>
      <c r="B1560"/>
      <c r="C1560"/>
      <c r="D1560"/>
      <c r="E1560"/>
      <c r="F1560"/>
      <c r="G1560"/>
      <c r="H1560"/>
      <c r="I1560"/>
      <c r="J1560"/>
    </row>
    <row r="1561" spans="1:10" x14ac:dyDescent="0.2">
      <c r="A1561"/>
      <c r="B1561"/>
      <c r="C1561"/>
      <c r="D1561"/>
      <c r="E1561"/>
      <c r="F1561"/>
      <c r="G1561"/>
      <c r="H1561"/>
      <c r="I1561"/>
      <c r="J1561"/>
    </row>
    <row r="1562" spans="1:10" x14ac:dyDescent="0.2">
      <c r="A1562"/>
      <c r="B1562"/>
      <c r="C1562"/>
      <c r="D1562"/>
      <c r="E1562"/>
      <c r="F1562"/>
      <c r="G1562"/>
      <c r="H1562"/>
      <c r="I1562"/>
      <c r="J1562"/>
    </row>
    <row r="1563" spans="1:10" x14ac:dyDescent="0.2">
      <c r="A1563"/>
      <c r="B1563"/>
      <c r="C1563"/>
      <c r="D1563"/>
      <c r="E1563"/>
      <c r="F1563"/>
      <c r="G1563"/>
      <c r="H1563"/>
      <c r="I1563"/>
      <c r="J1563"/>
    </row>
    <row r="1564" spans="1:10" x14ac:dyDescent="0.2">
      <c r="A1564"/>
      <c r="B1564"/>
      <c r="C1564"/>
      <c r="D1564"/>
      <c r="E1564"/>
      <c r="F1564"/>
      <c r="G1564"/>
      <c r="H1564"/>
      <c r="I1564"/>
      <c r="J1564"/>
    </row>
    <row r="1565" spans="1:10" x14ac:dyDescent="0.2">
      <c r="A1565"/>
      <c r="B1565"/>
      <c r="C1565"/>
      <c r="D1565"/>
      <c r="E1565"/>
      <c r="F1565"/>
      <c r="G1565"/>
      <c r="H1565"/>
      <c r="I1565"/>
      <c r="J1565"/>
    </row>
    <row r="1566" spans="1:10" x14ac:dyDescent="0.2">
      <c r="A1566"/>
      <c r="B1566"/>
      <c r="C1566"/>
      <c r="D1566"/>
      <c r="E1566"/>
      <c r="F1566"/>
      <c r="G1566"/>
      <c r="H1566"/>
      <c r="I1566"/>
      <c r="J1566"/>
    </row>
    <row r="1567" spans="1:10" x14ac:dyDescent="0.2">
      <c r="A1567"/>
      <c r="B1567"/>
      <c r="C1567"/>
      <c r="D1567"/>
      <c r="E1567"/>
      <c r="F1567"/>
      <c r="G1567"/>
      <c r="H1567"/>
      <c r="I1567"/>
      <c r="J1567"/>
    </row>
    <row r="1568" spans="1:10" x14ac:dyDescent="0.2">
      <c r="A1568"/>
      <c r="B1568"/>
      <c r="C1568"/>
      <c r="D1568"/>
      <c r="E1568"/>
      <c r="F1568"/>
      <c r="G1568"/>
      <c r="H1568"/>
      <c r="I1568"/>
      <c r="J1568"/>
    </row>
    <row r="1569" spans="1:10" x14ac:dyDescent="0.2">
      <c r="A1569"/>
      <c r="B1569"/>
      <c r="C1569"/>
      <c r="D1569"/>
      <c r="E1569"/>
      <c r="F1569"/>
      <c r="G1569"/>
      <c r="H1569"/>
      <c r="I1569"/>
      <c r="J1569"/>
    </row>
    <row r="1570" spans="1:10" x14ac:dyDescent="0.2">
      <c r="A1570"/>
      <c r="B1570"/>
      <c r="C1570"/>
      <c r="D1570"/>
      <c r="E1570"/>
      <c r="F1570"/>
      <c r="G1570"/>
      <c r="H1570"/>
      <c r="I1570"/>
      <c r="J1570"/>
    </row>
    <row r="1571" spans="1:10" x14ac:dyDescent="0.2">
      <c r="A1571"/>
      <c r="B1571"/>
      <c r="C1571"/>
      <c r="D1571"/>
      <c r="E1571"/>
      <c r="F1571"/>
      <c r="G1571"/>
      <c r="H1571"/>
      <c r="I1571"/>
      <c r="J1571"/>
    </row>
    <row r="1572" spans="1:10" x14ac:dyDescent="0.2">
      <c r="A1572"/>
      <c r="B1572"/>
      <c r="C1572"/>
      <c r="D1572"/>
      <c r="E1572"/>
      <c r="F1572"/>
      <c r="G1572"/>
      <c r="H1572"/>
      <c r="I1572"/>
      <c r="J1572"/>
    </row>
    <row r="1573" spans="1:10" x14ac:dyDescent="0.2">
      <c r="A1573"/>
      <c r="B1573"/>
      <c r="C1573"/>
      <c r="D1573"/>
      <c r="E1573"/>
      <c r="F1573"/>
      <c r="G1573"/>
      <c r="H1573"/>
      <c r="I1573"/>
      <c r="J1573"/>
    </row>
    <row r="1574" spans="1:10" x14ac:dyDescent="0.2">
      <c r="A1574"/>
      <c r="B1574"/>
      <c r="C1574"/>
      <c r="D1574"/>
      <c r="E1574"/>
      <c r="F1574"/>
      <c r="G1574"/>
      <c r="H1574"/>
      <c r="I1574"/>
      <c r="J1574"/>
    </row>
    <row r="1575" spans="1:10" x14ac:dyDescent="0.2">
      <c r="A1575"/>
      <c r="B1575"/>
      <c r="C1575"/>
      <c r="D1575"/>
      <c r="E1575"/>
      <c r="F1575"/>
      <c r="G1575"/>
      <c r="H1575"/>
      <c r="I1575"/>
      <c r="J1575"/>
    </row>
    <row r="1576" spans="1:10" x14ac:dyDescent="0.2">
      <c r="A1576"/>
      <c r="B1576"/>
      <c r="C1576"/>
      <c r="D1576"/>
      <c r="E1576"/>
      <c r="F1576"/>
      <c r="G1576"/>
      <c r="H1576"/>
      <c r="I1576"/>
      <c r="J1576"/>
    </row>
    <row r="1577" spans="1:10" x14ac:dyDescent="0.2">
      <c r="A1577"/>
      <c r="B1577"/>
      <c r="C1577"/>
      <c r="D1577"/>
      <c r="E1577"/>
      <c r="F1577"/>
      <c r="G1577"/>
      <c r="H1577"/>
      <c r="I1577"/>
      <c r="J1577"/>
    </row>
    <row r="1578" spans="1:10" x14ac:dyDescent="0.2">
      <c r="A1578"/>
      <c r="B1578"/>
      <c r="C1578"/>
      <c r="D1578"/>
      <c r="E1578"/>
      <c r="F1578"/>
      <c r="G1578"/>
      <c r="H1578"/>
      <c r="I1578"/>
      <c r="J1578"/>
    </row>
    <row r="1579" spans="1:10" x14ac:dyDescent="0.2">
      <c r="A1579"/>
      <c r="B1579"/>
      <c r="C1579"/>
      <c r="D1579"/>
      <c r="E1579"/>
      <c r="F1579"/>
      <c r="G1579"/>
      <c r="H1579"/>
      <c r="I1579"/>
      <c r="J1579"/>
    </row>
    <row r="1580" spans="1:10" x14ac:dyDescent="0.2">
      <c r="A1580"/>
      <c r="B1580"/>
      <c r="C1580"/>
      <c r="D1580"/>
      <c r="E1580"/>
      <c r="F1580"/>
      <c r="G1580"/>
      <c r="H1580"/>
      <c r="I1580"/>
      <c r="J1580"/>
    </row>
    <row r="1581" spans="1:10" x14ac:dyDescent="0.2">
      <c r="A1581"/>
      <c r="B1581"/>
      <c r="C1581"/>
      <c r="D1581"/>
      <c r="E1581"/>
      <c r="F1581"/>
      <c r="G1581"/>
      <c r="H1581"/>
      <c r="I1581"/>
      <c r="J1581"/>
    </row>
    <row r="1582" spans="1:10" x14ac:dyDescent="0.2">
      <c r="A1582"/>
      <c r="B1582"/>
      <c r="C1582"/>
      <c r="D1582"/>
      <c r="E1582"/>
      <c r="F1582"/>
      <c r="G1582"/>
      <c r="H1582"/>
      <c r="I1582"/>
      <c r="J1582"/>
    </row>
    <row r="1583" spans="1:10" x14ac:dyDescent="0.2">
      <c r="A1583"/>
      <c r="B1583"/>
      <c r="C1583"/>
      <c r="D1583"/>
      <c r="E1583"/>
      <c r="F1583"/>
      <c r="G1583"/>
      <c r="H1583"/>
      <c r="I1583"/>
      <c r="J1583"/>
    </row>
    <row r="1584" spans="1:10" x14ac:dyDescent="0.2">
      <c r="A1584"/>
      <c r="B1584"/>
      <c r="C1584"/>
      <c r="D1584"/>
      <c r="E1584"/>
      <c r="F1584"/>
      <c r="G1584"/>
      <c r="H1584"/>
      <c r="I1584"/>
      <c r="J1584"/>
    </row>
    <row r="1585" spans="1:10" x14ac:dyDescent="0.2">
      <c r="A1585"/>
      <c r="B1585"/>
      <c r="C1585"/>
      <c r="D1585"/>
      <c r="E1585"/>
      <c r="F1585"/>
      <c r="G1585"/>
      <c r="H1585"/>
      <c r="I1585"/>
      <c r="J1585"/>
    </row>
    <row r="1586" spans="1:10" x14ac:dyDescent="0.2">
      <c r="A1586"/>
      <c r="B1586"/>
      <c r="C1586"/>
      <c r="D1586"/>
      <c r="E1586"/>
      <c r="F1586"/>
      <c r="G1586"/>
      <c r="H1586"/>
      <c r="I1586"/>
      <c r="J1586"/>
    </row>
    <row r="1587" spans="1:10" x14ac:dyDescent="0.2">
      <c r="A1587"/>
      <c r="B1587"/>
      <c r="C1587"/>
      <c r="D1587"/>
      <c r="E1587"/>
      <c r="F1587"/>
      <c r="G1587"/>
      <c r="H1587"/>
      <c r="I1587"/>
      <c r="J1587"/>
    </row>
    <row r="1588" spans="1:10" x14ac:dyDescent="0.2">
      <c r="A1588"/>
      <c r="B1588"/>
      <c r="C1588"/>
      <c r="D1588"/>
      <c r="E1588"/>
      <c r="F1588"/>
      <c r="G1588"/>
      <c r="H1588"/>
      <c r="I1588"/>
      <c r="J1588"/>
    </row>
    <row r="1589" spans="1:10" x14ac:dyDescent="0.2">
      <c r="A1589"/>
      <c r="B1589"/>
      <c r="C1589"/>
      <c r="D1589"/>
      <c r="E1589"/>
      <c r="F1589"/>
      <c r="G1589"/>
      <c r="H1589"/>
      <c r="I1589"/>
      <c r="J1589"/>
    </row>
    <row r="1590" spans="1:10" x14ac:dyDescent="0.2">
      <c r="A1590"/>
      <c r="B1590"/>
      <c r="C1590"/>
      <c r="D1590"/>
      <c r="E1590"/>
      <c r="F1590"/>
      <c r="G1590"/>
      <c r="H1590"/>
      <c r="I1590"/>
      <c r="J1590"/>
    </row>
    <row r="1591" spans="1:10" x14ac:dyDescent="0.2">
      <c r="A1591"/>
      <c r="B1591"/>
      <c r="C1591"/>
      <c r="D1591"/>
      <c r="E1591"/>
      <c r="F1591"/>
      <c r="G1591"/>
      <c r="H1591"/>
      <c r="I1591"/>
      <c r="J1591"/>
    </row>
    <row r="1592" spans="1:10" x14ac:dyDescent="0.2">
      <c r="A1592"/>
      <c r="B1592"/>
      <c r="C1592"/>
      <c r="D1592"/>
      <c r="E1592"/>
      <c r="F1592"/>
      <c r="G1592"/>
      <c r="H1592"/>
      <c r="I1592"/>
      <c r="J1592"/>
    </row>
    <row r="1593" spans="1:10" x14ac:dyDescent="0.2">
      <c r="A1593"/>
      <c r="B1593"/>
      <c r="C1593"/>
      <c r="D1593"/>
      <c r="E1593"/>
      <c r="F1593"/>
      <c r="G1593"/>
      <c r="H1593"/>
      <c r="I1593"/>
      <c r="J1593"/>
    </row>
    <row r="1594" spans="1:10" x14ac:dyDescent="0.2">
      <c r="A1594"/>
      <c r="B1594"/>
      <c r="C1594"/>
      <c r="D1594"/>
      <c r="E1594"/>
      <c r="F1594"/>
      <c r="G1594"/>
      <c r="H1594"/>
      <c r="I1594"/>
      <c r="J1594"/>
    </row>
    <row r="1595" spans="1:10" x14ac:dyDescent="0.2">
      <c r="A1595"/>
      <c r="B1595"/>
      <c r="C1595"/>
      <c r="D1595"/>
      <c r="E1595"/>
      <c r="F1595"/>
      <c r="G1595"/>
      <c r="H1595"/>
      <c r="I1595"/>
      <c r="J1595"/>
    </row>
    <row r="1596" spans="1:10" x14ac:dyDescent="0.2">
      <c r="A1596"/>
      <c r="B1596"/>
      <c r="C1596"/>
      <c r="D1596"/>
      <c r="E1596"/>
      <c r="F1596"/>
      <c r="G1596"/>
      <c r="H1596"/>
      <c r="I1596"/>
      <c r="J1596"/>
    </row>
    <row r="1597" spans="1:10" x14ac:dyDescent="0.2">
      <c r="A1597"/>
      <c r="B1597"/>
      <c r="C1597"/>
      <c r="D1597"/>
      <c r="E1597"/>
      <c r="F1597"/>
      <c r="G1597"/>
      <c r="H1597"/>
      <c r="I1597"/>
      <c r="J1597"/>
    </row>
    <row r="1598" spans="1:10" x14ac:dyDescent="0.2">
      <c r="A1598"/>
      <c r="B1598"/>
      <c r="C1598"/>
      <c r="D1598"/>
      <c r="E1598"/>
      <c r="F1598"/>
      <c r="G1598"/>
      <c r="H1598"/>
      <c r="I1598"/>
      <c r="J1598"/>
    </row>
    <row r="1599" spans="1:10" x14ac:dyDescent="0.2">
      <c r="A1599"/>
      <c r="B1599"/>
      <c r="C1599"/>
      <c r="D1599"/>
      <c r="E1599"/>
      <c r="F1599"/>
      <c r="G1599"/>
      <c r="H1599"/>
      <c r="I1599"/>
      <c r="J1599"/>
    </row>
    <row r="1600" spans="1:10" x14ac:dyDescent="0.2">
      <c r="A1600"/>
      <c r="B1600"/>
      <c r="C1600"/>
      <c r="D1600"/>
      <c r="E1600"/>
      <c r="F1600"/>
      <c r="G1600"/>
      <c r="H1600"/>
      <c r="I1600"/>
      <c r="J1600"/>
    </row>
    <row r="1601" spans="1:10" x14ac:dyDescent="0.2">
      <c r="A1601"/>
      <c r="B1601"/>
      <c r="C1601"/>
      <c r="D1601"/>
      <c r="E1601"/>
      <c r="F1601"/>
      <c r="G1601"/>
      <c r="H1601"/>
      <c r="I1601"/>
      <c r="J1601"/>
    </row>
    <row r="1602" spans="1:10" x14ac:dyDescent="0.2">
      <c r="A1602"/>
      <c r="B1602"/>
      <c r="C1602"/>
      <c r="D1602"/>
      <c r="E1602"/>
      <c r="F1602"/>
      <c r="G1602"/>
      <c r="H1602"/>
      <c r="I1602"/>
      <c r="J1602"/>
    </row>
    <row r="1603" spans="1:10" x14ac:dyDescent="0.2">
      <c r="A1603"/>
      <c r="B1603"/>
      <c r="C1603"/>
      <c r="D1603"/>
      <c r="E1603"/>
      <c r="F1603"/>
      <c r="G1603"/>
      <c r="H1603"/>
      <c r="I1603"/>
      <c r="J1603"/>
    </row>
    <row r="1604" spans="1:10" x14ac:dyDescent="0.2">
      <c r="A1604"/>
      <c r="B1604"/>
      <c r="C1604"/>
      <c r="D1604"/>
      <c r="E1604"/>
      <c r="F1604"/>
      <c r="G1604"/>
      <c r="H1604"/>
      <c r="I1604"/>
      <c r="J1604"/>
    </row>
    <row r="1605" spans="1:10" x14ac:dyDescent="0.2">
      <c r="A1605"/>
      <c r="B1605"/>
      <c r="C1605"/>
      <c r="D1605"/>
      <c r="E1605"/>
      <c r="F1605"/>
      <c r="G1605"/>
      <c r="H1605"/>
      <c r="I1605"/>
      <c r="J1605"/>
    </row>
    <row r="1606" spans="1:10" x14ac:dyDescent="0.2">
      <c r="A1606"/>
      <c r="B1606"/>
      <c r="C1606"/>
      <c r="D1606"/>
      <c r="E1606"/>
      <c r="F1606"/>
      <c r="G1606"/>
      <c r="H1606"/>
      <c r="I1606"/>
      <c r="J1606"/>
    </row>
    <row r="1607" spans="1:10" x14ac:dyDescent="0.2">
      <c r="A1607"/>
      <c r="B1607"/>
      <c r="C1607"/>
      <c r="D1607"/>
      <c r="E1607"/>
      <c r="F1607"/>
      <c r="G1607"/>
      <c r="H1607"/>
      <c r="I1607"/>
      <c r="J1607"/>
    </row>
    <row r="1608" spans="1:10" x14ac:dyDescent="0.2">
      <c r="A1608"/>
      <c r="B1608"/>
      <c r="C1608"/>
      <c r="D1608"/>
      <c r="E1608"/>
      <c r="F1608"/>
      <c r="G1608"/>
      <c r="H1608"/>
      <c r="I1608"/>
      <c r="J1608"/>
    </row>
    <row r="1609" spans="1:10" x14ac:dyDescent="0.2">
      <c r="A1609"/>
      <c r="B1609"/>
      <c r="C1609"/>
      <c r="D1609"/>
      <c r="E1609"/>
      <c r="F1609"/>
      <c r="G1609"/>
      <c r="H1609"/>
      <c r="I1609"/>
      <c r="J1609"/>
    </row>
    <row r="1610" spans="1:10" x14ac:dyDescent="0.2">
      <c r="A1610"/>
      <c r="B1610"/>
      <c r="C1610"/>
      <c r="D1610"/>
      <c r="E1610"/>
      <c r="F1610"/>
      <c r="G1610"/>
      <c r="H1610"/>
      <c r="I1610"/>
      <c r="J1610"/>
    </row>
    <row r="1611" spans="1:10" x14ac:dyDescent="0.2">
      <c r="A1611"/>
      <c r="B1611"/>
      <c r="C1611"/>
      <c r="D1611"/>
      <c r="E1611"/>
      <c r="F1611"/>
      <c r="G1611"/>
      <c r="H1611"/>
      <c r="I1611"/>
      <c r="J1611"/>
    </row>
    <row r="1612" spans="1:10" x14ac:dyDescent="0.2">
      <c r="A1612"/>
      <c r="B1612"/>
      <c r="C1612"/>
      <c r="D1612"/>
      <c r="E1612"/>
      <c r="F1612"/>
      <c r="G1612"/>
      <c r="H1612"/>
      <c r="I1612"/>
      <c r="J1612"/>
    </row>
    <row r="1613" spans="1:10" x14ac:dyDescent="0.2">
      <c r="A1613"/>
      <c r="B1613"/>
      <c r="C1613"/>
      <c r="D1613"/>
      <c r="E1613"/>
      <c r="F1613"/>
      <c r="G1613"/>
      <c r="H1613"/>
      <c r="I1613"/>
      <c r="J1613"/>
    </row>
    <row r="1614" spans="1:10" x14ac:dyDescent="0.2">
      <c r="A1614"/>
      <c r="B1614"/>
      <c r="C1614"/>
      <c r="D1614"/>
      <c r="E1614"/>
      <c r="F1614"/>
      <c r="G1614"/>
      <c r="H1614"/>
      <c r="I1614"/>
      <c r="J1614"/>
    </row>
    <row r="1615" spans="1:10" x14ac:dyDescent="0.2">
      <c r="A1615"/>
      <c r="B1615"/>
      <c r="C1615"/>
      <c r="D1615"/>
      <c r="E1615"/>
      <c r="F1615"/>
      <c r="G1615"/>
      <c r="H1615"/>
      <c r="I1615"/>
      <c r="J1615"/>
    </row>
    <row r="1616" spans="1:10" x14ac:dyDescent="0.2">
      <c r="A1616"/>
      <c r="B1616"/>
      <c r="C1616"/>
      <c r="D1616"/>
      <c r="E1616"/>
      <c r="F1616"/>
      <c r="G1616"/>
      <c r="H1616"/>
      <c r="I1616"/>
      <c r="J1616"/>
    </row>
    <row r="1617" spans="1:10" x14ac:dyDescent="0.2">
      <c r="A1617"/>
      <c r="B1617"/>
      <c r="C1617"/>
      <c r="D1617"/>
      <c r="E1617"/>
      <c r="F1617"/>
      <c r="G1617"/>
      <c r="H1617"/>
      <c r="I1617"/>
      <c r="J1617"/>
    </row>
    <row r="1618" spans="1:10" x14ac:dyDescent="0.2">
      <c r="A1618"/>
      <c r="B1618"/>
      <c r="C1618"/>
      <c r="D1618"/>
      <c r="E1618"/>
      <c r="F1618"/>
      <c r="G1618"/>
      <c r="H1618"/>
      <c r="I1618"/>
      <c r="J1618"/>
    </row>
    <row r="1619" spans="1:10" x14ac:dyDescent="0.2">
      <c r="A1619"/>
      <c r="B1619"/>
      <c r="C1619"/>
      <c r="D1619"/>
      <c r="E1619"/>
      <c r="F1619"/>
      <c r="G1619"/>
      <c r="H1619"/>
      <c r="I1619"/>
      <c r="J1619"/>
    </row>
    <row r="1620" spans="1:10" x14ac:dyDescent="0.2">
      <c r="A1620"/>
      <c r="B1620"/>
      <c r="C1620"/>
      <c r="D1620"/>
      <c r="E1620"/>
      <c r="F1620"/>
      <c r="G1620"/>
      <c r="H1620"/>
      <c r="I1620"/>
      <c r="J1620"/>
    </row>
    <row r="1621" spans="1:10" x14ac:dyDescent="0.2">
      <c r="A1621"/>
      <c r="B1621"/>
      <c r="C1621"/>
      <c r="D1621"/>
      <c r="E1621"/>
      <c r="F1621"/>
      <c r="G1621"/>
      <c r="H1621"/>
      <c r="I1621"/>
      <c r="J1621"/>
    </row>
    <row r="1622" spans="1:10" x14ac:dyDescent="0.2">
      <c r="A1622"/>
      <c r="B1622"/>
      <c r="C1622"/>
      <c r="D1622"/>
      <c r="E1622"/>
      <c r="F1622"/>
      <c r="G1622"/>
      <c r="H1622"/>
      <c r="I1622"/>
      <c r="J1622"/>
    </row>
    <row r="1623" spans="1:10" x14ac:dyDescent="0.2">
      <c r="A1623"/>
      <c r="B1623"/>
      <c r="C1623"/>
      <c r="D1623"/>
      <c r="E1623"/>
      <c r="F1623"/>
      <c r="G1623"/>
      <c r="H1623"/>
      <c r="I1623"/>
      <c r="J1623"/>
    </row>
    <row r="1624" spans="1:10" x14ac:dyDescent="0.2">
      <c r="A1624"/>
      <c r="B1624"/>
      <c r="C1624"/>
      <c r="D1624"/>
      <c r="E1624"/>
      <c r="F1624"/>
      <c r="G1624"/>
      <c r="H1624"/>
      <c r="I1624"/>
      <c r="J1624"/>
    </row>
    <row r="1625" spans="1:10" x14ac:dyDescent="0.2">
      <c r="A1625"/>
      <c r="B1625"/>
      <c r="C1625"/>
      <c r="D1625"/>
      <c r="E1625"/>
      <c r="F1625"/>
      <c r="G1625"/>
      <c r="H1625"/>
      <c r="I1625"/>
      <c r="J1625"/>
    </row>
    <row r="1626" spans="1:10" x14ac:dyDescent="0.2">
      <c r="A1626"/>
      <c r="B1626"/>
      <c r="C1626"/>
      <c r="D1626"/>
      <c r="E1626"/>
      <c r="F1626"/>
      <c r="G1626"/>
      <c r="H1626"/>
      <c r="I1626"/>
      <c r="J1626"/>
    </row>
    <row r="1627" spans="1:10" x14ac:dyDescent="0.2">
      <c r="A1627"/>
      <c r="B1627"/>
      <c r="C1627"/>
      <c r="D1627"/>
      <c r="E1627"/>
      <c r="F1627"/>
      <c r="G1627"/>
      <c r="H1627"/>
      <c r="I1627"/>
      <c r="J1627"/>
    </row>
    <row r="1628" spans="1:10" x14ac:dyDescent="0.2">
      <c r="A1628"/>
      <c r="B1628"/>
      <c r="C1628"/>
      <c r="D1628"/>
      <c r="E1628"/>
      <c r="F1628"/>
      <c r="G1628"/>
      <c r="H1628"/>
      <c r="I1628"/>
      <c r="J1628"/>
    </row>
    <row r="1629" spans="1:10" x14ac:dyDescent="0.2">
      <c r="A1629"/>
      <c r="B1629"/>
      <c r="C1629"/>
      <c r="D1629"/>
      <c r="E1629"/>
      <c r="F1629"/>
      <c r="G1629"/>
      <c r="H1629"/>
      <c r="I1629"/>
      <c r="J1629"/>
    </row>
    <row r="1630" spans="1:10" x14ac:dyDescent="0.2">
      <c r="A1630"/>
      <c r="B1630"/>
      <c r="C1630"/>
      <c r="D1630"/>
      <c r="E1630"/>
      <c r="F1630"/>
      <c r="G1630"/>
      <c r="H1630"/>
      <c r="I1630"/>
      <c r="J1630"/>
    </row>
    <row r="1631" spans="1:10" x14ac:dyDescent="0.2">
      <c r="A1631"/>
      <c r="B1631"/>
      <c r="C1631"/>
      <c r="D1631"/>
      <c r="E1631"/>
      <c r="F1631"/>
      <c r="G1631"/>
      <c r="H1631"/>
      <c r="I1631"/>
      <c r="J1631"/>
    </row>
    <row r="1632" spans="1:10" x14ac:dyDescent="0.2">
      <c r="A1632"/>
      <c r="B1632"/>
      <c r="C1632"/>
      <c r="D1632"/>
      <c r="E1632"/>
      <c r="F1632"/>
      <c r="G1632"/>
      <c r="H1632"/>
      <c r="I1632"/>
      <c r="J1632"/>
    </row>
    <row r="1633" spans="1:10" x14ac:dyDescent="0.2">
      <c r="A1633"/>
      <c r="B1633"/>
      <c r="C1633"/>
      <c r="D1633"/>
      <c r="E1633"/>
      <c r="F1633"/>
      <c r="G1633"/>
      <c r="H1633"/>
      <c r="I1633"/>
      <c r="J1633"/>
    </row>
    <row r="1634" spans="1:10" x14ac:dyDescent="0.2">
      <c r="A1634"/>
      <c r="B1634"/>
      <c r="C1634"/>
      <c r="D1634"/>
      <c r="E1634"/>
      <c r="F1634"/>
      <c r="G1634"/>
      <c r="H1634"/>
      <c r="I1634"/>
      <c r="J1634"/>
    </row>
    <row r="1635" spans="1:10" x14ac:dyDescent="0.2">
      <c r="A1635"/>
      <c r="B1635"/>
      <c r="C1635"/>
      <c r="D1635"/>
      <c r="E1635"/>
      <c r="F1635"/>
      <c r="G1635"/>
      <c r="H1635"/>
      <c r="I1635"/>
      <c r="J1635"/>
    </row>
    <row r="1636" spans="1:10" x14ac:dyDescent="0.2">
      <c r="A1636"/>
      <c r="B1636"/>
      <c r="C1636"/>
      <c r="D1636"/>
      <c r="E1636"/>
      <c r="F1636"/>
      <c r="G1636"/>
      <c r="H1636"/>
      <c r="I1636"/>
      <c r="J1636"/>
    </row>
    <row r="1637" spans="1:10" x14ac:dyDescent="0.2">
      <c r="A1637"/>
      <c r="B1637"/>
      <c r="C1637"/>
      <c r="D1637"/>
      <c r="E1637"/>
      <c r="F1637"/>
      <c r="G1637"/>
      <c r="H1637"/>
      <c r="I1637"/>
      <c r="J1637"/>
    </row>
    <row r="1638" spans="1:10" x14ac:dyDescent="0.2">
      <c r="A1638"/>
      <c r="B1638"/>
      <c r="C1638"/>
      <c r="D1638"/>
      <c r="E1638"/>
      <c r="F1638"/>
      <c r="G1638"/>
      <c r="H1638"/>
      <c r="I1638"/>
      <c r="J1638"/>
    </row>
    <row r="1639" spans="1:10" x14ac:dyDescent="0.2">
      <c r="A1639"/>
      <c r="B1639"/>
      <c r="C1639"/>
      <c r="D1639"/>
      <c r="E1639"/>
      <c r="F1639"/>
      <c r="G1639"/>
      <c r="H1639"/>
      <c r="I1639"/>
      <c r="J1639"/>
    </row>
    <row r="1640" spans="1:10" x14ac:dyDescent="0.2">
      <c r="A1640"/>
      <c r="B1640"/>
      <c r="C1640"/>
      <c r="D1640"/>
      <c r="E1640"/>
      <c r="F1640"/>
      <c r="G1640"/>
      <c r="H1640"/>
      <c r="I1640"/>
      <c r="J1640"/>
    </row>
    <row r="1641" spans="1:10" x14ac:dyDescent="0.2">
      <c r="A1641"/>
      <c r="B1641"/>
      <c r="C1641"/>
      <c r="D1641"/>
      <c r="E1641"/>
      <c r="F1641"/>
      <c r="G1641"/>
      <c r="H1641"/>
      <c r="I1641"/>
      <c r="J1641"/>
    </row>
    <row r="1642" spans="1:10" x14ac:dyDescent="0.2">
      <c r="A1642"/>
      <c r="B1642"/>
      <c r="C1642"/>
      <c r="D1642"/>
      <c r="E1642"/>
      <c r="F1642"/>
      <c r="G1642"/>
      <c r="H1642"/>
      <c r="I1642"/>
      <c r="J1642"/>
    </row>
    <row r="1643" spans="1:10" x14ac:dyDescent="0.2">
      <c r="A1643"/>
      <c r="B1643"/>
      <c r="C1643"/>
      <c r="D1643"/>
      <c r="E1643"/>
      <c r="F1643"/>
      <c r="G1643"/>
      <c r="H1643"/>
      <c r="I1643"/>
      <c r="J1643"/>
    </row>
    <row r="1644" spans="1:10" x14ac:dyDescent="0.2">
      <c r="A1644"/>
      <c r="B1644"/>
      <c r="C1644"/>
      <c r="D1644"/>
      <c r="E1644"/>
      <c r="F1644"/>
      <c r="G1644"/>
      <c r="H1644"/>
      <c r="I1644"/>
      <c r="J1644"/>
    </row>
    <row r="1645" spans="1:10" x14ac:dyDescent="0.2">
      <c r="A1645"/>
      <c r="B1645"/>
      <c r="C1645"/>
      <c r="D1645"/>
      <c r="E1645"/>
      <c r="F1645"/>
      <c r="G1645"/>
      <c r="H1645"/>
      <c r="I1645"/>
      <c r="J1645"/>
    </row>
    <row r="1646" spans="1:10" x14ac:dyDescent="0.2">
      <c r="A1646"/>
      <c r="B1646"/>
      <c r="C1646"/>
      <c r="D1646"/>
      <c r="E1646"/>
      <c r="F1646"/>
      <c r="G1646"/>
      <c r="H1646"/>
      <c r="I1646"/>
      <c r="J1646"/>
    </row>
    <row r="1647" spans="1:10" x14ac:dyDescent="0.2">
      <c r="A1647"/>
      <c r="B1647"/>
      <c r="C1647"/>
      <c r="D1647"/>
      <c r="E1647"/>
      <c r="F1647"/>
      <c r="G1647"/>
      <c r="H1647"/>
      <c r="I1647"/>
      <c r="J1647"/>
    </row>
    <row r="1648" spans="1:10" x14ac:dyDescent="0.2">
      <c r="A1648"/>
      <c r="B1648"/>
      <c r="C1648"/>
      <c r="D1648"/>
      <c r="E1648"/>
      <c r="F1648"/>
      <c r="G1648"/>
      <c r="H1648"/>
      <c r="I1648"/>
      <c r="J1648"/>
    </row>
    <row r="1649" spans="1:10" x14ac:dyDescent="0.2">
      <c r="A1649"/>
      <c r="B1649"/>
      <c r="C1649"/>
      <c r="D1649"/>
      <c r="E1649"/>
      <c r="F1649"/>
      <c r="G1649"/>
      <c r="H1649"/>
      <c r="I1649"/>
      <c r="J1649"/>
    </row>
    <row r="1650" spans="1:10" x14ac:dyDescent="0.2">
      <c r="A1650"/>
      <c r="B1650"/>
      <c r="C1650"/>
      <c r="D1650"/>
      <c r="E1650"/>
      <c r="F1650"/>
      <c r="G1650"/>
      <c r="H1650"/>
      <c r="I1650"/>
      <c r="J1650"/>
    </row>
    <row r="1651" spans="1:10" x14ac:dyDescent="0.2">
      <c r="A1651"/>
      <c r="B1651"/>
      <c r="C1651"/>
      <c r="D1651"/>
      <c r="E1651"/>
      <c r="F1651"/>
      <c r="G1651"/>
      <c r="H1651"/>
      <c r="I1651"/>
      <c r="J1651"/>
    </row>
    <row r="1652" spans="1:10" x14ac:dyDescent="0.2">
      <c r="A1652"/>
      <c r="B1652"/>
      <c r="C1652"/>
      <c r="D1652"/>
      <c r="E1652"/>
      <c r="F1652"/>
      <c r="G1652"/>
      <c r="H1652"/>
      <c r="I1652"/>
      <c r="J1652"/>
    </row>
    <row r="1653" spans="1:10" x14ac:dyDescent="0.2">
      <c r="A1653"/>
      <c r="B1653"/>
      <c r="C1653"/>
      <c r="D1653"/>
      <c r="E1653"/>
      <c r="F1653"/>
      <c r="G1653"/>
      <c r="H1653"/>
      <c r="I1653"/>
      <c r="J1653"/>
    </row>
    <row r="1654" spans="1:10" x14ac:dyDescent="0.2">
      <c r="A1654"/>
      <c r="B1654"/>
      <c r="C1654"/>
      <c r="D1654"/>
      <c r="E1654"/>
      <c r="F1654"/>
      <c r="G1654"/>
      <c r="H1654"/>
      <c r="I1654"/>
      <c r="J1654"/>
    </row>
    <row r="1655" spans="1:10" x14ac:dyDescent="0.2">
      <c r="A1655"/>
      <c r="B1655"/>
      <c r="C1655"/>
      <c r="D1655"/>
      <c r="E1655"/>
      <c r="F1655"/>
      <c r="G1655"/>
      <c r="H1655"/>
      <c r="I1655"/>
      <c r="J1655"/>
    </row>
    <row r="1656" spans="1:10" x14ac:dyDescent="0.2">
      <c r="A1656"/>
      <c r="B1656"/>
      <c r="C1656"/>
      <c r="D1656"/>
      <c r="E1656"/>
      <c r="F1656"/>
      <c r="G1656"/>
      <c r="H1656"/>
      <c r="I1656"/>
      <c r="J1656"/>
    </row>
    <row r="1657" spans="1:10" x14ac:dyDescent="0.2">
      <c r="A1657"/>
      <c r="B1657"/>
      <c r="C1657"/>
      <c r="D1657"/>
      <c r="E1657"/>
      <c r="F1657"/>
      <c r="G1657"/>
      <c r="H1657"/>
      <c r="I1657"/>
      <c r="J1657"/>
    </row>
    <row r="1658" spans="1:10" x14ac:dyDescent="0.2">
      <c r="A1658"/>
      <c r="B1658"/>
      <c r="C1658"/>
      <c r="D1658"/>
      <c r="E1658"/>
      <c r="F1658"/>
      <c r="G1658"/>
      <c r="H1658"/>
      <c r="I1658"/>
      <c r="J1658"/>
    </row>
    <row r="1659" spans="1:10" x14ac:dyDescent="0.2">
      <c r="A1659"/>
      <c r="B1659"/>
      <c r="C1659"/>
      <c r="D1659"/>
      <c r="E1659"/>
      <c r="F1659"/>
      <c r="G1659"/>
      <c r="H1659"/>
      <c r="I1659"/>
      <c r="J1659"/>
    </row>
    <row r="1660" spans="1:10" x14ac:dyDescent="0.2">
      <c r="A1660"/>
      <c r="B1660"/>
      <c r="C1660"/>
      <c r="D1660"/>
      <c r="E1660"/>
      <c r="F1660"/>
      <c r="G1660"/>
      <c r="H1660"/>
      <c r="I1660"/>
      <c r="J1660"/>
    </row>
    <row r="1661" spans="1:10" x14ac:dyDescent="0.2">
      <c r="A1661"/>
      <c r="B1661"/>
      <c r="C1661"/>
      <c r="D1661"/>
      <c r="E1661"/>
      <c r="F1661"/>
      <c r="G1661"/>
      <c r="H1661"/>
      <c r="I1661"/>
      <c r="J1661"/>
    </row>
    <row r="1662" spans="1:10" x14ac:dyDescent="0.2">
      <c r="A1662"/>
      <c r="B1662"/>
      <c r="C1662"/>
      <c r="D1662"/>
      <c r="E1662"/>
      <c r="F1662"/>
      <c r="G1662"/>
      <c r="H1662"/>
      <c r="I1662"/>
      <c r="J1662"/>
    </row>
    <row r="1663" spans="1:10" x14ac:dyDescent="0.2">
      <c r="A1663"/>
      <c r="B1663"/>
      <c r="C1663"/>
      <c r="D1663"/>
      <c r="E1663"/>
      <c r="F1663"/>
      <c r="G1663"/>
      <c r="H1663"/>
      <c r="I1663"/>
      <c r="J1663"/>
    </row>
    <row r="1664" spans="1:10" x14ac:dyDescent="0.2">
      <c r="A1664"/>
      <c r="B1664"/>
      <c r="C1664"/>
      <c r="D1664"/>
      <c r="E1664"/>
      <c r="F1664"/>
      <c r="G1664"/>
      <c r="H1664"/>
      <c r="I1664"/>
      <c r="J1664"/>
    </row>
    <row r="1665" spans="1:10" x14ac:dyDescent="0.2">
      <c r="A1665"/>
      <c r="B1665"/>
      <c r="C1665"/>
      <c r="D1665"/>
      <c r="E1665"/>
      <c r="F1665"/>
      <c r="G1665"/>
      <c r="H1665"/>
      <c r="I1665"/>
      <c r="J1665"/>
    </row>
    <row r="1666" spans="1:10" x14ac:dyDescent="0.2">
      <c r="A1666"/>
      <c r="B1666"/>
      <c r="C1666"/>
      <c r="D1666"/>
      <c r="E1666"/>
      <c r="F1666"/>
      <c r="G1666"/>
      <c r="H1666"/>
      <c r="I1666"/>
      <c r="J1666"/>
    </row>
    <row r="1667" spans="1:10" x14ac:dyDescent="0.2">
      <c r="A1667"/>
      <c r="B1667"/>
      <c r="C1667"/>
      <c r="D1667"/>
      <c r="E1667"/>
      <c r="F1667"/>
      <c r="G1667"/>
      <c r="H1667"/>
      <c r="I1667"/>
      <c r="J1667"/>
    </row>
    <row r="1668" spans="1:10" x14ac:dyDescent="0.2">
      <c r="A1668"/>
      <c r="B1668"/>
      <c r="C1668"/>
      <c r="D1668"/>
      <c r="E1668"/>
      <c r="F1668"/>
      <c r="G1668"/>
      <c r="H1668"/>
      <c r="I1668"/>
      <c r="J1668"/>
    </row>
    <row r="1669" spans="1:10" x14ac:dyDescent="0.2">
      <c r="A1669"/>
      <c r="B1669"/>
      <c r="C1669"/>
      <c r="D1669"/>
      <c r="E1669"/>
      <c r="F1669"/>
      <c r="G1669"/>
      <c r="H1669"/>
      <c r="I1669"/>
      <c r="J1669"/>
    </row>
    <row r="1670" spans="1:10" x14ac:dyDescent="0.2">
      <c r="A1670"/>
      <c r="B1670"/>
      <c r="C1670"/>
      <c r="D1670"/>
      <c r="E1670"/>
      <c r="F1670"/>
      <c r="G1670"/>
      <c r="H1670"/>
      <c r="I1670"/>
      <c r="J1670"/>
    </row>
    <row r="1671" spans="1:10" x14ac:dyDescent="0.2">
      <c r="A1671"/>
      <c r="B1671"/>
      <c r="C1671"/>
      <c r="D1671"/>
      <c r="E1671"/>
      <c r="F1671"/>
      <c r="G1671"/>
      <c r="H1671"/>
      <c r="I1671"/>
      <c r="J1671"/>
    </row>
    <row r="1672" spans="1:10" x14ac:dyDescent="0.2">
      <c r="A1672"/>
      <c r="B1672"/>
      <c r="C1672"/>
      <c r="D1672"/>
      <c r="E1672"/>
      <c r="F1672"/>
      <c r="G1672"/>
      <c r="H1672"/>
      <c r="I1672"/>
      <c r="J1672"/>
    </row>
    <row r="1673" spans="1:10" x14ac:dyDescent="0.2">
      <c r="A1673"/>
      <c r="B1673"/>
      <c r="C1673"/>
      <c r="D1673"/>
      <c r="E1673"/>
      <c r="F1673"/>
      <c r="G1673"/>
      <c r="H1673"/>
      <c r="I1673"/>
      <c r="J1673"/>
    </row>
    <row r="1674" spans="1:10" x14ac:dyDescent="0.2">
      <c r="A1674"/>
      <c r="B1674"/>
      <c r="C1674"/>
      <c r="D1674"/>
      <c r="E1674"/>
      <c r="F1674"/>
      <c r="G1674"/>
      <c r="H1674"/>
      <c r="I1674"/>
      <c r="J1674"/>
    </row>
    <row r="1675" spans="1:10" x14ac:dyDescent="0.2">
      <c r="A1675"/>
      <c r="B1675"/>
      <c r="C1675"/>
      <c r="D1675"/>
      <c r="E1675"/>
      <c r="F1675"/>
      <c r="G1675"/>
      <c r="H1675"/>
      <c r="I1675"/>
      <c r="J1675"/>
    </row>
    <row r="1676" spans="1:10" x14ac:dyDescent="0.2">
      <c r="A1676"/>
      <c r="B1676"/>
      <c r="C1676"/>
      <c r="D1676"/>
      <c r="E1676"/>
      <c r="F1676"/>
      <c r="G1676"/>
      <c r="H1676"/>
      <c r="I1676"/>
      <c r="J1676"/>
    </row>
    <row r="1677" spans="1:10" x14ac:dyDescent="0.2">
      <c r="A1677"/>
      <c r="B1677"/>
      <c r="C1677"/>
      <c r="D1677"/>
      <c r="E1677"/>
      <c r="F1677"/>
      <c r="G1677"/>
      <c r="H1677"/>
      <c r="I1677"/>
      <c r="J1677"/>
    </row>
    <row r="1678" spans="1:10" x14ac:dyDescent="0.2">
      <c r="A1678"/>
      <c r="B1678"/>
      <c r="C1678"/>
      <c r="D1678"/>
      <c r="E1678"/>
      <c r="F1678"/>
      <c r="G1678"/>
      <c r="H1678"/>
      <c r="I1678"/>
      <c r="J1678"/>
    </row>
    <row r="1679" spans="1:10" x14ac:dyDescent="0.2">
      <c r="A1679"/>
      <c r="B1679"/>
      <c r="C1679"/>
      <c r="D1679"/>
      <c r="E1679"/>
      <c r="F1679"/>
      <c r="G1679"/>
      <c r="H1679"/>
      <c r="I1679"/>
      <c r="J1679"/>
    </row>
    <row r="1680" spans="1:10" x14ac:dyDescent="0.2">
      <c r="A1680"/>
      <c r="B1680"/>
      <c r="C1680"/>
      <c r="D1680"/>
      <c r="E1680"/>
      <c r="F1680"/>
      <c r="G1680"/>
      <c r="H1680"/>
      <c r="I1680"/>
      <c r="J1680"/>
    </row>
    <row r="1681" spans="1:10" x14ac:dyDescent="0.2">
      <c r="A1681"/>
      <c r="B1681"/>
      <c r="C1681"/>
      <c r="D1681"/>
      <c r="E1681"/>
      <c r="F1681"/>
      <c r="G1681"/>
      <c r="H1681"/>
      <c r="I1681"/>
      <c r="J1681"/>
    </row>
    <row r="1682" spans="1:10" x14ac:dyDescent="0.2">
      <c r="A1682"/>
      <c r="B1682"/>
      <c r="C1682"/>
      <c r="D1682"/>
      <c r="E1682"/>
      <c r="F1682"/>
      <c r="G1682"/>
      <c r="H1682"/>
      <c r="I1682"/>
      <c r="J1682"/>
    </row>
    <row r="1683" spans="1:10" x14ac:dyDescent="0.2">
      <c r="A1683"/>
      <c r="B1683"/>
      <c r="C1683"/>
      <c r="D1683"/>
      <c r="E1683"/>
      <c r="F1683"/>
      <c r="G1683"/>
      <c r="H1683"/>
      <c r="I1683"/>
      <c r="J1683"/>
    </row>
    <row r="1684" spans="1:10" x14ac:dyDescent="0.2">
      <c r="A1684"/>
      <c r="B1684"/>
      <c r="C1684"/>
      <c r="D1684"/>
      <c r="E1684"/>
      <c r="F1684"/>
      <c r="G1684"/>
      <c r="H1684"/>
      <c r="I1684"/>
      <c r="J1684"/>
    </row>
    <row r="1685" spans="1:10" x14ac:dyDescent="0.2">
      <c r="A1685"/>
      <c r="B1685"/>
      <c r="C1685"/>
      <c r="D1685"/>
      <c r="E1685"/>
      <c r="F1685"/>
      <c r="G1685"/>
      <c r="H1685"/>
      <c r="I1685"/>
      <c r="J1685"/>
    </row>
    <row r="1686" spans="1:10" x14ac:dyDescent="0.2">
      <c r="A1686"/>
      <c r="B1686"/>
      <c r="C1686"/>
      <c r="D1686"/>
      <c r="E1686"/>
      <c r="F1686"/>
      <c r="G1686"/>
      <c r="H1686"/>
      <c r="I1686"/>
      <c r="J1686"/>
    </row>
    <row r="1687" spans="1:10" x14ac:dyDescent="0.2">
      <c r="A1687"/>
      <c r="B1687"/>
      <c r="C1687"/>
      <c r="D1687"/>
      <c r="E1687"/>
      <c r="F1687"/>
      <c r="G1687"/>
      <c r="H1687"/>
      <c r="I1687"/>
      <c r="J1687"/>
    </row>
    <row r="1688" spans="1:10" x14ac:dyDescent="0.2">
      <c r="A1688"/>
      <c r="B1688"/>
      <c r="C1688"/>
      <c r="D1688"/>
      <c r="E1688"/>
      <c r="F1688"/>
      <c r="G1688"/>
      <c r="H1688"/>
      <c r="I1688"/>
      <c r="J1688"/>
    </row>
    <row r="1689" spans="1:10" x14ac:dyDescent="0.2">
      <c r="A1689"/>
      <c r="B1689"/>
      <c r="C1689"/>
      <c r="D1689"/>
      <c r="E1689"/>
      <c r="F1689"/>
      <c r="G1689"/>
      <c r="H1689"/>
      <c r="I1689"/>
      <c r="J1689"/>
    </row>
    <row r="1690" spans="1:10" x14ac:dyDescent="0.2">
      <c r="A1690"/>
      <c r="B1690"/>
      <c r="C1690"/>
      <c r="D1690"/>
      <c r="E1690"/>
      <c r="F1690"/>
      <c r="G1690"/>
      <c r="H1690"/>
      <c r="I1690"/>
      <c r="J1690"/>
    </row>
    <row r="1691" spans="1:10" x14ac:dyDescent="0.2">
      <c r="A1691"/>
      <c r="B1691"/>
      <c r="C1691"/>
      <c r="D1691"/>
      <c r="E1691"/>
      <c r="F1691"/>
      <c r="G1691"/>
      <c r="H1691"/>
      <c r="I1691"/>
      <c r="J1691"/>
    </row>
    <row r="1692" spans="1:10" x14ac:dyDescent="0.2">
      <c r="A1692"/>
      <c r="B1692"/>
      <c r="C1692"/>
      <c r="D1692"/>
      <c r="E1692"/>
      <c r="F1692"/>
      <c r="G1692"/>
      <c r="H1692"/>
      <c r="I1692"/>
      <c r="J1692"/>
    </row>
    <row r="1693" spans="1:10" x14ac:dyDescent="0.2">
      <c r="A1693"/>
      <c r="B1693"/>
      <c r="C1693"/>
      <c r="D1693"/>
      <c r="E1693"/>
      <c r="F1693"/>
      <c r="G1693"/>
      <c r="H1693"/>
      <c r="I1693"/>
      <c r="J1693"/>
    </row>
    <row r="1694" spans="1:10" x14ac:dyDescent="0.2">
      <c r="A1694"/>
      <c r="B1694"/>
      <c r="C1694"/>
      <c r="D1694"/>
      <c r="E1694"/>
      <c r="F1694"/>
      <c r="G1694"/>
      <c r="H1694"/>
      <c r="I1694"/>
      <c r="J1694"/>
    </row>
    <row r="1695" spans="1:10" x14ac:dyDescent="0.2">
      <c r="A1695"/>
      <c r="B1695"/>
      <c r="C1695"/>
      <c r="D1695"/>
      <c r="E1695"/>
      <c r="F1695"/>
      <c r="G1695"/>
      <c r="H1695"/>
      <c r="I1695"/>
      <c r="J1695"/>
    </row>
    <row r="1696" spans="1:10" x14ac:dyDescent="0.2">
      <c r="A1696"/>
      <c r="B1696"/>
      <c r="C1696"/>
      <c r="D1696"/>
      <c r="E1696"/>
      <c r="F1696"/>
      <c r="G1696"/>
      <c r="H1696"/>
      <c r="I1696"/>
      <c r="J1696"/>
    </row>
    <row r="1697" spans="1:10" x14ac:dyDescent="0.2">
      <c r="A1697"/>
      <c r="B1697"/>
      <c r="C1697"/>
      <c r="D1697"/>
      <c r="E1697"/>
      <c r="F1697"/>
      <c r="G1697"/>
      <c r="H1697"/>
      <c r="I1697"/>
      <c r="J1697"/>
    </row>
    <row r="1698" spans="1:10" x14ac:dyDescent="0.2">
      <c r="A1698"/>
      <c r="B1698"/>
      <c r="C1698"/>
      <c r="D1698"/>
      <c r="E1698"/>
      <c r="F1698"/>
      <c r="G1698"/>
      <c r="H1698"/>
      <c r="I1698"/>
      <c r="J1698"/>
    </row>
    <row r="1699" spans="1:10" x14ac:dyDescent="0.2">
      <c r="A1699"/>
      <c r="B1699"/>
      <c r="C1699"/>
      <c r="D1699"/>
      <c r="E1699"/>
      <c r="F1699"/>
      <c r="G1699"/>
      <c r="H1699"/>
      <c r="I1699"/>
      <c r="J1699"/>
    </row>
    <row r="1700" spans="1:10" x14ac:dyDescent="0.2">
      <c r="A1700"/>
      <c r="B1700"/>
      <c r="C1700"/>
      <c r="D1700"/>
      <c r="E1700"/>
      <c r="F1700"/>
      <c r="G1700"/>
      <c r="H1700"/>
      <c r="I1700"/>
      <c r="J1700"/>
    </row>
    <row r="1701" spans="1:10" x14ac:dyDescent="0.2">
      <c r="A1701"/>
      <c r="B1701"/>
      <c r="C1701"/>
      <c r="D1701"/>
      <c r="E1701"/>
      <c r="F1701"/>
      <c r="G1701"/>
      <c r="H1701"/>
      <c r="I1701"/>
      <c r="J1701"/>
    </row>
    <row r="1702" spans="1:10" x14ac:dyDescent="0.2">
      <c r="A1702"/>
      <c r="B1702"/>
      <c r="C1702"/>
      <c r="D1702"/>
      <c r="E1702"/>
      <c r="F1702"/>
      <c r="G1702"/>
      <c r="H1702"/>
      <c r="I1702"/>
      <c r="J1702"/>
    </row>
    <row r="1703" spans="1:10" x14ac:dyDescent="0.2">
      <c r="A1703"/>
      <c r="B1703"/>
      <c r="C1703"/>
      <c r="D1703"/>
      <c r="E1703"/>
      <c r="F1703"/>
      <c r="G1703"/>
      <c r="H1703"/>
      <c r="I1703"/>
      <c r="J1703"/>
    </row>
    <row r="1704" spans="1:10" x14ac:dyDescent="0.2">
      <c r="A1704"/>
      <c r="B1704"/>
      <c r="C1704"/>
      <c r="D1704"/>
      <c r="E1704"/>
      <c r="F1704"/>
      <c r="G1704"/>
      <c r="H1704"/>
      <c r="I1704"/>
      <c r="J1704"/>
    </row>
    <row r="1705" spans="1:10" x14ac:dyDescent="0.2">
      <c r="A1705"/>
      <c r="B1705"/>
      <c r="C1705"/>
      <c r="D1705"/>
      <c r="E1705"/>
      <c r="F1705"/>
      <c r="G1705"/>
      <c r="H1705"/>
      <c r="I1705"/>
      <c r="J1705"/>
    </row>
    <row r="1706" spans="1:10" x14ac:dyDescent="0.2">
      <c r="A1706"/>
      <c r="B1706"/>
      <c r="C1706"/>
      <c r="D1706"/>
      <c r="E1706"/>
      <c r="F1706"/>
      <c r="G1706"/>
      <c r="H1706"/>
      <c r="I1706"/>
      <c r="J1706"/>
    </row>
    <row r="1707" spans="1:10" x14ac:dyDescent="0.2">
      <c r="A1707"/>
      <c r="B1707"/>
      <c r="C1707"/>
      <c r="D1707"/>
      <c r="E1707"/>
      <c r="F1707"/>
      <c r="G1707"/>
      <c r="H1707"/>
      <c r="I1707"/>
      <c r="J1707"/>
    </row>
    <row r="1708" spans="1:10" x14ac:dyDescent="0.2">
      <c r="A1708"/>
      <c r="B1708"/>
      <c r="C1708"/>
      <c r="D1708"/>
      <c r="E1708"/>
      <c r="F1708"/>
      <c r="G1708"/>
      <c r="H1708"/>
      <c r="I1708"/>
      <c r="J1708"/>
    </row>
    <row r="1709" spans="1:10" x14ac:dyDescent="0.2">
      <c r="A1709"/>
      <c r="B1709"/>
      <c r="C1709"/>
      <c r="D1709"/>
      <c r="E1709"/>
      <c r="F1709"/>
      <c r="G1709"/>
      <c r="H1709"/>
      <c r="I1709"/>
      <c r="J1709"/>
    </row>
    <row r="1710" spans="1:10" x14ac:dyDescent="0.2">
      <c r="A1710"/>
      <c r="B1710"/>
      <c r="C1710"/>
      <c r="D1710"/>
      <c r="E1710"/>
      <c r="F1710"/>
      <c r="G1710"/>
      <c r="H1710"/>
      <c r="I1710"/>
      <c r="J1710"/>
    </row>
    <row r="1711" spans="1:10" x14ac:dyDescent="0.2">
      <c r="A1711"/>
      <c r="B1711"/>
      <c r="C1711"/>
      <c r="D1711"/>
      <c r="E1711"/>
      <c r="F1711"/>
      <c r="G1711"/>
      <c r="H1711"/>
      <c r="I1711"/>
      <c r="J1711"/>
    </row>
    <row r="1712" spans="1:10" x14ac:dyDescent="0.2">
      <c r="A1712"/>
      <c r="B1712"/>
      <c r="C1712"/>
      <c r="D1712"/>
      <c r="E1712"/>
      <c r="F1712"/>
      <c r="G1712"/>
      <c r="H1712"/>
      <c r="I1712"/>
      <c r="J1712"/>
    </row>
    <row r="1713" spans="1:10" x14ac:dyDescent="0.2">
      <c r="A1713"/>
      <c r="B1713"/>
      <c r="C1713"/>
      <c r="D1713"/>
      <c r="E1713"/>
      <c r="F1713"/>
      <c r="G1713"/>
      <c r="H1713"/>
      <c r="I1713"/>
      <c r="J1713"/>
    </row>
    <row r="1714" spans="1:10" x14ac:dyDescent="0.2">
      <c r="A1714"/>
      <c r="B1714"/>
      <c r="C1714"/>
      <c r="D1714"/>
      <c r="E1714"/>
      <c r="F1714"/>
      <c r="G1714"/>
      <c r="H1714"/>
      <c r="I1714"/>
      <c r="J1714"/>
    </row>
    <row r="1715" spans="1:10" x14ac:dyDescent="0.2">
      <c r="A1715"/>
      <c r="B1715"/>
      <c r="C1715"/>
      <c r="D1715"/>
      <c r="E1715"/>
      <c r="F1715"/>
      <c r="G1715"/>
      <c r="H1715"/>
      <c r="I1715"/>
      <c r="J1715"/>
    </row>
    <row r="1716" spans="1:10" x14ac:dyDescent="0.2">
      <c r="A1716"/>
      <c r="B1716"/>
      <c r="C1716"/>
      <c r="D1716"/>
      <c r="E1716"/>
      <c r="F1716"/>
      <c r="G1716"/>
      <c r="H1716"/>
      <c r="I1716"/>
      <c r="J1716"/>
    </row>
    <row r="1717" spans="1:10" x14ac:dyDescent="0.2">
      <c r="A1717"/>
      <c r="B1717"/>
      <c r="C1717"/>
      <c r="D1717"/>
      <c r="E1717"/>
      <c r="F1717"/>
      <c r="G1717"/>
      <c r="H1717"/>
      <c r="I1717"/>
      <c r="J1717"/>
    </row>
    <row r="1718" spans="1:10" x14ac:dyDescent="0.2">
      <c r="A1718"/>
      <c r="B1718"/>
      <c r="C1718"/>
      <c r="D1718"/>
      <c r="E1718"/>
      <c r="F1718"/>
      <c r="G1718"/>
      <c r="H1718"/>
      <c r="I1718"/>
      <c r="J1718"/>
    </row>
    <row r="1719" spans="1:10" x14ac:dyDescent="0.2">
      <c r="A1719"/>
      <c r="B1719"/>
      <c r="C1719"/>
      <c r="D1719"/>
      <c r="E1719"/>
      <c r="F1719"/>
      <c r="G1719"/>
      <c r="H1719"/>
      <c r="I1719"/>
      <c r="J1719"/>
    </row>
    <row r="1720" spans="1:10" x14ac:dyDescent="0.2">
      <c r="A1720"/>
      <c r="B1720"/>
      <c r="C1720"/>
      <c r="D1720"/>
      <c r="E1720"/>
      <c r="F1720"/>
      <c r="G1720"/>
      <c r="H1720"/>
      <c r="I1720"/>
      <c r="J1720"/>
    </row>
    <row r="1721" spans="1:10" x14ac:dyDescent="0.2">
      <c r="A1721"/>
      <c r="B1721"/>
      <c r="C1721"/>
      <c r="D1721"/>
      <c r="E1721"/>
      <c r="F1721"/>
      <c r="G1721"/>
      <c r="H1721"/>
      <c r="I1721"/>
      <c r="J1721"/>
    </row>
    <row r="1722" spans="1:10" x14ac:dyDescent="0.2">
      <c r="A1722"/>
      <c r="B1722"/>
      <c r="C1722"/>
      <c r="D1722"/>
      <c r="E1722"/>
      <c r="F1722"/>
      <c r="G1722"/>
      <c r="H1722"/>
      <c r="I1722"/>
      <c r="J1722"/>
    </row>
    <row r="1723" spans="1:10" x14ac:dyDescent="0.2">
      <c r="A1723"/>
      <c r="B1723"/>
      <c r="C1723"/>
      <c r="D1723"/>
      <c r="E1723"/>
      <c r="F1723"/>
      <c r="G1723"/>
      <c r="H1723"/>
      <c r="I1723"/>
      <c r="J1723"/>
    </row>
    <row r="1724" spans="1:10" x14ac:dyDescent="0.2">
      <c r="A1724"/>
      <c r="B1724"/>
      <c r="C1724"/>
      <c r="D1724"/>
      <c r="E1724"/>
      <c r="F1724"/>
      <c r="G1724"/>
      <c r="H1724"/>
      <c r="I1724"/>
      <c r="J1724"/>
    </row>
    <row r="1725" spans="1:10" x14ac:dyDescent="0.2">
      <c r="A1725"/>
      <c r="B1725"/>
      <c r="C1725"/>
      <c r="D1725"/>
      <c r="E1725"/>
      <c r="F1725"/>
      <c r="G1725"/>
      <c r="H1725"/>
      <c r="I1725"/>
      <c r="J1725"/>
    </row>
    <row r="1726" spans="1:10" x14ac:dyDescent="0.2">
      <c r="A1726"/>
      <c r="B1726"/>
      <c r="C1726"/>
      <c r="D1726"/>
      <c r="E1726"/>
      <c r="F1726"/>
      <c r="G1726"/>
      <c r="H1726"/>
      <c r="I1726"/>
      <c r="J1726"/>
    </row>
    <row r="1727" spans="1:10" x14ac:dyDescent="0.2">
      <c r="A1727"/>
      <c r="B1727"/>
      <c r="C1727"/>
      <c r="D1727"/>
      <c r="E1727"/>
      <c r="F1727"/>
      <c r="G1727"/>
      <c r="H1727"/>
      <c r="I1727"/>
      <c r="J1727"/>
    </row>
    <row r="1728" spans="1:10" x14ac:dyDescent="0.2">
      <c r="A1728"/>
      <c r="B1728"/>
      <c r="C1728"/>
      <c r="D1728"/>
      <c r="E1728"/>
      <c r="F1728"/>
      <c r="G1728"/>
      <c r="H1728"/>
      <c r="I1728"/>
      <c r="J1728"/>
    </row>
    <row r="1729" spans="1:10" x14ac:dyDescent="0.2">
      <c r="A1729"/>
      <c r="B1729"/>
      <c r="C1729"/>
      <c r="D1729"/>
      <c r="E1729"/>
      <c r="F1729"/>
      <c r="G1729"/>
      <c r="H1729"/>
      <c r="I1729"/>
      <c r="J1729"/>
    </row>
    <row r="1730" spans="1:10" x14ac:dyDescent="0.2">
      <c r="A1730"/>
      <c r="B1730"/>
      <c r="C1730"/>
      <c r="D1730"/>
      <c r="E1730"/>
      <c r="F1730"/>
      <c r="G1730"/>
      <c r="H1730"/>
      <c r="I1730"/>
      <c r="J1730"/>
    </row>
    <row r="1731" spans="1:10" x14ac:dyDescent="0.2">
      <c r="A1731"/>
      <c r="B1731"/>
      <c r="C1731"/>
      <c r="D1731"/>
      <c r="E1731"/>
      <c r="F1731"/>
      <c r="G1731"/>
      <c r="H1731"/>
      <c r="I1731"/>
      <c r="J1731"/>
    </row>
    <row r="1732" spans="1:10" x14ac:dyDescent="0.2">
      <c r="A1732"/>
      <c r="B1732"/>
      <c r="C1732"/>
      <c r="D1732"/>
      <c r="E1732"/>
      <c r="F1732"/>
      <c r="G1732"/>
      <c r="H1732"/>
      <c r="I1732"/>
      <c r="J1732"/>
    </row>
    <row r="1733" spans="1:10" x14ac:dyDescent="0.2">
      <c r="A1733"/>
      <c r="B1733"/>
      <c r="C1733"/>
      <c r="D1733"/>
      <c r="E1733"/>
      <c r="F1733"/>
      <c r="G1733"/>
      <c r="H1733"/>
      <c r="I1733"/>
      <c r="J1733"/>
    </row>
    <row r="1734" spans="1:10" x14ac:dyDescent="0.2">
      <c r="A1734"/>
      <c r="B1734"/>
      <c r="C1734"/>
      <c r="D1734"/>
      <c r="E1734"/>
      <c r="F1734"/>
      <c r="G1734"/>
      <c r="H1734"/>
      <c r="I1734"/>
      <c r="J1734"/>
    </row>
    <row r="1735" spans="1:10" x14ac:dyDescent="0.2">
      <c r="A1735"/>
      <c r="B1735"/>
      <c r="C1735"/>
      <c r="D1735"/>
      <c r="E1735"/>
      <c r="F1735"/>
      <c r="G1735"/>
      <c r="H1735"/>
      <c r="I1735"/>
      <c r="J1735"/>
    </row>
    <row r="1736" spans="1:10" x14ac:dyDescent="0.2">
      <c r="A1736"/>
      <c r="B1736"/>
      <c r="C1736"/>
      <c r="D1736"/>
      <c r="E1736"/>
      <c r="F1736"/>
      <c r="G1736"/>
      <c r="H1736"/>
      <c r="I1736"/>
      <c r="J1736"/>
    </row>
    <row r="1737" spans="1:10" x14ac:dyDescent="0.2">
      <c r="A1737"/>
      <c r="B1737"/>
      <c r="C1737"/>
      <c r="D1737"/>
      <c r="E1737"/>
      <c r="F1737"/>
      <c r="G1737"/>
      <c r="H1737"/>
      <c r="I1737"/>
      <c r="J1737"/>
    </row>
    <row r="1738" spans="1:10" x14ac:dyDescent="0.2">
      <c r="A1738"/>
      <c r="B1738"/>
      <c r="C1738"/>
      <c r="D1738"/>
      <c r="E1738"/>
      <c r="F1738"/>
      <c r="G1738"/>
      <c r="H1738"/>
      <c r="I1738"/>
      <c r="J1738"/>
    </row>
    <row r="1739" spans="1:10" x14ac:dyDescent="0.2">
      <c r="A1739"/>
      <c r="B1739"/>
      <c r="C1739"/>
      <c r="D1739"/>
      <c r="E1739"/>
      <c r="F1739"/>
      <c r="G1739"/>
      <c r="H1739"/>
      <c r="I1739"/>
      <c r="J1739"/>
    </row>
    <row r="1740" spans="1:10" x14ac:dyDescent="0.2">
      <c r="A1740"/>
      <c r="B1740"/>
      <c r="C1740"/>
      <c r="D1740"/>
      <c r="E1740"/>
      <c r="F1740"/>
      <c r="G1740"/>
      <c r="H1740"/>
      <c r="I1740"/>
      <c r="J1740"/>
    </row>
    <row r="1741" spans="1:10" x14ac:dyDescent="0.2">
      <c r="A1741"/>
      <c r="B1741"/>
      <c r="C1741"/>
      <c r="D1741"/>
      <c r="E1741"/>
      <c r="F1741"/>
      <c r="G1741"/>
      <c r="H1741"/>
      <c r="I1741"/>
      <c r="J1741"/>
    </row>
    <row r="1742" spans="1:10" x14ac:dyDescent="0.2">
      <c r="A1742"/>
      <c r="B1742"/>
      <c r="C1742"/>
      <c r="D1742"/>
      <c r="E1742"/>
      <c r="F1742"/>
      <c r="G1742"/>
      <c r="H1742"/>
      <c r="I1742"/>
      <c r="J1742"/>
    </row>
    <row r="1743" spans="1:10" x14ac:dyDescent="0.2">
      <c r="A1743"/>
      <c r="B1743"/>
      <c r="C1743"/>
      <c r="D1743"/>
      <c r="E1743"/>
      <c r="F1743"/>
      <c r="G1743"/>
      <c r="H1743"/>
      <c r="I1743"/>
      <c r="J1743"/>
    </row>
    <row r="1744" spans="1:10" x14ac:dyDescent="0.2">
      <c r="A1744"/>
      <c r="B1744"/>
      <c r="C1744"/>
      <c r="D1744"/>
      <c r="E1744"/>
      <c r="F1744"/>
      <c r="G1744"/>
      <c r="H1744"/>
      <c r="I1744"/>
      <c r="J1744"/>
    </row>
    <row r="1745" spans="1:10" x14ac:dyDescent="0.2">
      <c r="A1745"/>
      <c r="B1745"/>
      <c r="C1745"/>
      <c r="D1745"/>
      <c r="E1745"/>
      <c r="F1745"/>
      <c r="G1745"/>
      <c r="H1745"/>
      <c r="I1745"/>
      <c r="J1745"/>
    </row>
    <row r="1746" spans="1:10" x14ac:dyDescent="0.2">
      <c r="A1746"/>
      <c r="B1746"/>
      <c r="C1746"/>
      <c r="D1746"/>
      <c r="E1746"/>
      <c r="F1746"/>
      <c r="G1746"/>
      <c r="H1746"/>
      <c r="I1746"/>
      <c r="J1746"/>
    </row>
    <row r="1747" spans="1:10" x14ac:dyDescent="0.2">
      <c r="A1747"/>
      <c r="B1747"/>
      <c r="C1747"/>
      <c r="D1747"/>
      <c r="E1747"/>
      <c r="F1747"/>
      <c r="G1747"/>
      <c r="H1747"/>
      <c r="I1747"/>
      <c r="J1747"/>
    </row>
    <row r="1748" spans="1:10" x14ac:dyDescent="0.2">
      <c r="A1748"/>
      <c r="B1748"/>
      <c r="C1748"/>
      <c r="D1748"/>
      <c r="E1748"/>
      <c r="F1748"/>
      <c r="G1748"/>
      <c r="H1748"/>
      <c r="I1748"/>
      <c r="J1748"/>
    </row>
    <row r="1749" spans="1:10" x14ac:dyDescent="0.2">
      <c r="A1749"/>
      <c r="B1749"/>
      <c r="C1749"/>
      <c r="D1749"/>
      <c r="E1749"/>
      <c r="F1749"/>
      <c r="G1749"/>
      <c r="H1749"/>
      <c r="I1749"/>
      <c r="J1749"/>
    </row>
    <row r="1750" spans="1:10" x14ac:dyDescent="0.2">
      <c r="A1750"/>
      <c r="B1750"/>
      <c r="C1750"/>
      <c r="D1750"/>
      <c r="E1750"/>
      <c r="F1750"/>
      <c r="G1750"/>
      <c r="H1750"/>
      <c r="I1750"/>
      <c r="J1750"/>
    </row>
    <row r="1751" spans="1:10" x14ac:dyDescent="0.2">
      <c r="A1751"/>
      <c r="B1751"/>
      <c r="C1751"/>
      <c r="D1751"/>
      <c r="E1751"/>
      <c r="F1751"/>
      <c r="G1751"/>
      <c r="H1751"/>
      <c r="I1751"/>
      <c r="J1751"/>
    </row>
    <row r="1752" spans="1:10" x14ac:dyDescent="0.2">
      <c r="A1752"/>
      <c r="B1752"/>
      <c r="C1752"/>
      <c r="D1752"/>
      <c r="E1752"/>
      <c r="F1752"/>
      <c r="G1752"/>
      <c r="H1752"/>
      <c r="I1752"/>
      <c r="J1752"/>
    </row>
    <row r="1753" spans="1:10" x14ac:dyDescent="0.2">
      <c r="A1753"/>
      <c r="B1753"/>
      <c r="C1753"/>
      <c r="D1753"/>
      <c r="E1753"/>
      <c r="F1753"/>
      <c r="G1753"/>
      <c r="H1753"/>
      <c r="I1753"/>
      <c r="J1753"/>
    </row>
    <row r="1754" spans="1:10" x14ac:dyDescent="0.2">
      <c r="A1754"/>
      <c r="B1754"/>
      <c r="C1754"/>
      <c r="D1754"/>
      <c r="E1754"/>
      <c r="F1754"/>
      <c r="G1754"/>
      <c r="H1754"/>
      <c r="I1754"/>
      <c r="J1754"/>
    </row>
    <row r="1755" spans="1:10" x14ac:dyDescent="0.2">
      <c r="A1755"/>
      <c r="B1755"/>
      <c r="C1755"/>
      <c r="D1755"/>
      <c r="E1755"/>
      <c r="F1755"/>
      <c r="G1755"/>
      <c r="H1755"/>
      <c r="I1755"/>
      <c r="J1755"/>
    </row>
    <row r="1756" spans="1:10" x14ac:dyDescent="0.2">
      <c r="A1756"/>
      <c r="B1756"/>
      <c r="C1756"/>
      <c r="D1756"/>
      <c r="E1756"/>
      <c r="F1756"/>
      <c r="G1756"/>
      <c r="H1756"/>
      <c r="I1756"/>
      <c r="J1756"/>
    </row>
    <row r="1757" spans="1:10" x14ac:dyDescent="0.2">
      <c r="A1757"/>
      <c r="B1757"/>
      <c r="C1757"/>
      <c r="D1757"/>
      <c r="E1757"/>
      <c r="F1757"/>
      <c r="G1757"/>
      <c r="H1757"/>
      <c r="I1757"/>
      <c r="J1757"/>
    </row>
    <row r="1758" spans="1:10" x14ac:dyDescent="0.2">
      <c r="A1758"/>
      <c r="B1758"/>
      <c r="C1758"/>
      <c r="D1758"/>
      <c r="E1758"/>
      <c r="F1758"/>
      <c r="G1758"/>
      <c r="H1758"/>
      <c r="I1758"/>
      <c r="J1758"/>
    </row>
    <row r="1759" spans="1:10" x14ac:dyDescent="0.2">
      <c r="A1759"/>
      <c r="B1759"/>
      <c r="C1759"/>
      <c r="D1759"/>
      <c r="E1759"/>
      <c r="F1759"/>
      <c r="G1759"/>
      <c r="H1759"/>
      <c r="I1759"/>
      <c r="J1759"/>
    </row>
    <row r="1760" spans="1:10" x14ac:dyDescent="0.2">
      <c r="A1760"/>
      <c r="B1760"/>
      <c r="C1760"/>
      <c r="D1760"/>
      <c r="E1760"/>
      <c r="F1760"/>
      <c r="G1760"/>
      <c r="H1760"/>
      <c r="I1760"/>
      <c r="J1760"/>
    </row>
    <row r="1761" spans="1:10" x14ac:dyDescent="0.2">
      <c r="A1761"/>
      <c r="B1761"/>
      <c r="C1761"/>
      <c r="D1761"/>
      <c r="E1761"/>
      <c r="F1761"/>
      <c r="G1761"/>
      <c r="H1761"/>
      <c r="I1761"/>
      <c r="J1761"/>
    </row>
    <row r="1762" spans="1:10" x14ac:dyDescent="0.2">
      <c r="A1762"/>
      <c r="B1762"/>
      <c r="C1762"/>
      <c r="D1762"/>
      <c r="E1762"/>
      <c r="F1762"/>
      <c r="G1762"/>
      <c r="H1762"/>
      <c r="I1762"/>
      <c r="J1762"/>
    </row>
    <row r="1763" spans="1:10" x14ac:dyDescent="0.2">
      <c r="A1763"/>
      <c r="B1763"/>
      <c r="C1763"/>
      <c r="D1763"/>
      <c r="E1763"/>
      <c r="F1763"/>
      <c r="G1763"/>
      <c r="H1763"/>
      <c r="I1763"/>
      <c r="J1763"/>
    </row>
    <row r="1764" spans="1:10" x14ac:dyDescent="0.2">
      <c r="A1764"/>
      <c r="B1764"/>
      <c r="C1764"/>
      <c r="D1764"/>
      <c r="E1764"/>
      <c r="F1764"/>
      <c r="G1764"/>
      <c r="H1764"/>
      <c r="I1764"/>
      <c r="J1764"/>
    </row>
    <row r="1765" spans="1:10" x14ac:dyDescent="0.2">
      <c r="A1765"/>
      <c r="B1765"/>
      <c r="C1765"/>
      <c r="D1765"/>
      <c r="E1765"/>
      <c r="F1765"/>
      <c r="G1765"/>
      <c r="H1765"/>
      <c r="I1765"/>
      <c r="J1765"/>
    </row>
    <row r="1766" spans="1:10" x14ac:dyDescent="0.2">
      <c r="A1766"/>
      <c r="B1766"/>
      <c r="C1766"/>
      <c r="D1766"/>
      <c r="E1766"/>
      <c r="F1766"/>
      <c r="G1766"/>
      <c r="H1766"/>
      <c r="I1766"/>
      <c r="J1766"/>
    </row>
    <row r="1767" spans="1:10" x14ac:dyDescent="0.2">
      <c r="A1767"/>
      <c r="B1767"/>
      <c r="C1767"/>
      <c r="D1767"/>
      <c r="E1767"/>
      <c r="F1767"/>
      <c r="G1767"/>
      <c r="H1767"/>
      <c r="I1767"/>
      <c r="J1767"/>
    </row>
    <row r="1768" spans="1:10" x14ac:dyDescent="0.2">
      <c r="A1768"/>
      <c r="B1768"/>
      <c r="C1768"/>
      <c r="D1768"/>
      <c r="E1768"/>
      <c r="F1768"/>
      <c r="G1768"/>
      <c r="H1768"/>
      <c r="I1768"/>
      <c r="J1768"/>
    </row>
    <row r="1769" spans="1:10" x14ac:dyDescent="0.2">
      <c r="A1769"/>
      <c r="B1769"/>
      <c r="C1769"/>
      <c r="D1769"/>
      <c r="E1769"/>
      <c r="F1769"/>
      <c r="G1769"/>
      <c r="H1769"/>
      <c r="I1769"/>
      <c r="J1769"/>
    </row>
    <row r="1770" spans="1:10" x14ac:dyDescent="0.2">
      <c r="A1770"/>
      <c r="B1770"/>
      <c r="C1770"/>
      <c r="D1770"/>
      <c r="E1770"/>
      <c r="F1770"/>
      <c r="G1770"/>
      <c r="H1770"/>
      <c r="I1770"/>
      <c r="J1770"/>
    </row>
    <row r="1771" spans="1:10" x14ac:dyDescent="0.2">
      <c r="A1771"/>
      <c r="B1771"/>
      <c r="C1771"/>
      <c r="D1771"/>
      <c r="E1771"/>
      <c r="F1771"/>
      <c r="G1771"/>
      <c r="H1771"/>
      <c r="I1771"/>
      <c r="J1771"/>
    </row>
    <row r="1772" spans="1:10" x14ac:dyDescent="0.2">
      <c r="A1772"/>
      <c r="B1772"/>
      <c r="C1772"/>
      <c r="D1772"/>
      <c r="E1772"/>
      <c r="F1772"/>
      <c r="G1772"/>
      <c r="H1772"/>
      <c r="I1772"/>
      <c r="J1772"/>
    </row>
    <row r="1773" spans="1:10" x14ac:dyDescent="0.2">
      <c r="A1773"/>
      <c r="B1773"/>
      <c r="C1773"/>
      <c r="D1773"/>
      <c r="E1773"/>
      <c r="F1773"/>
      <c r="G1773"/>
      <c r="H1773"/>
      <c r="I1773"/>
      <c r="J1773"/>
    </row>
    <row r="1774" spans="1:10" x14ac:dyDescent="0.2">
      <c r="A1774"/>
      <c r="B1774"/>
      <c r="C1774"/>
      <c r="D1774"/>
      <c r="E1774"/>
      <c r="F1774"/>
      <c r="G1774"/>
      <c r="H1774"/>
      <c r="I1774"/>
      <c r="J1774"/>
    </row>
    <row r="1775" spans="1:10" x14ac:dyDescent="0.2">
      <c r="A1775"/>
      <c r="B1775"/>
      <c r="C1775"/>
      <c r="D1775"/>
      <c r="E1775"/>
      <c r="F1775"/>
      <c r="G1775"/>
      <c r="H1775"/>
      <c r="I1775"/>
      <c r="J1775"/>
    </row>
    <row r="1776" spans="1:10" x14ac:dyDescent="0.2">
      <c r="A1776"/>
      <c r="B1776"/>
      <c r="C1776"/>
      <c r="D1776"/>
      <c r="E1776"/>
      <c r="F1776"/>
      <c r="G1776"/>
      <c r="H1776"/>
      <c r="I1776"/>
      <c r="J1776"/>
    </row>
    <row r="1777" spans="1:10" x14ac:dyDescent="0.2">
      <c r="A1777"/>
      <c r="B1777"/>
      <c r="C1777"/>
      <c r="D1777"/>
      <c r="E1777"/>
      <c r="F1777"/>
      <c r="G1777"/>
      <c r="H1777"/>
      <c r="I1777"/>
      <c r="J1777"/>
    </row>
    <row r="1778" spans="1:10" x14ac:dyDescent="0.2">
      <c r="A1778"/>
      <c r="B1778"/>
      <c r="C1778"/>
      <c r="D1778"/>
      <c r="E1778"/>
      <c r="F1778"/>
      <c r="G1778"/>
      <c r="H1778"/>
      <c r="I1778"/>
      <c r="J1778"/>
    </row>
    <row r="1779" spans="1:10" x14ac:dyDescent="0.2">
      <c r="A1779"/>
      <c r="B1779"/>
      <c r="C1779"/>
      <c r="D1779"/>
      <c r="E1779"/>
      <c r="F1779"/>
      <c r="G1779"/>
      <c r="H1779"/>
      <c r="I1779"/>
      <c r="J1779"/>
    </row>
    <row r="1780" spans="1:10" x14ac:dyDescent="0.2">
      <c r="A1780"/>
      <c r="B1780"/>
      <c r="C1780"/>
      <c r="D1780"/>
      <c r="E1780"/>
      <c r="F1780"/>
      <c r="G1780"/>
      <c r="H1780"/>
      <c r="I1780"/>
      <c r="J1780"/>
    </row>
    <row r="1781" spans="1:10" x14ac:dyDescent="0.2">
      <c r="A1781"/>
      <c r="B1781"/>
      <c r="C1781"/>
      <c r="D1781"/>
      <c r="E1781"/>
      <c r="F1781"/>
      <c r="G1781"/>
      <c r="H1781"/>
      <c r="I1781"/>
      <c r="J1781"/>
    </row>
    <row r="1782" spans="1:10" x14ac:dyDescent="0.2">
      <c r="A1782"/>
      <c r="B1782"/>
      <c r="C1782"/>
      <c r="D1782"/>
      <c r="E1782"/>
      <c r="F1782"/>
      <c r="G1782"/>
      <c r="H1782"/>
      <c r="I1782"/>
      <c r="J1782"/>
    </row>
    <row r="1783" spans="1:10" x14ac:dyDescent="0.2">
      <c r="A1783"/>
      <c r="B1783"/>
      <c r="C1783"/>
      <c r="D1783"/>
      <c r="E1783"/>
      <c r="F1783"/>
      <c r="G1783"/>
      <c r="H1783"/>
      <c r="I1783"/>
      <c r="J1783"/>
    </row>
    <row r="1784" spans="1:10" x14ac:dyDescent="0.2">
      <c r="A1784"/>
      <c r="B1784"/>
      <c r="C1784"/>
      <c r="D1784"/>
      <c r="E1784"/>
      <c r="F1784"/>
      <c r="G1784"/>
      <c r="H1784"/>
      <c r="I1784"/>
      <c r="J1784"/>
    </row>
    <row r="1785" spans="1:10" x14ac:dyDescent="0.2">
      <c r="A1785"/>
      <c r="B1785"/>
      <c r="C1785"/>
      <c r="D1785"/>
      <c r="E1785"/>
      <c r="F1785"/>
      <c r="G1785"/>
      <c r="H1785"/>
      <c r="I1785"/>
      <c r="J1785"/>
    </row>
    <row r="1786" spans="1:10" x14ac:dyDescent="0.2">
      <c r="A1786"/>
      <c r="B1786"/>
      <c r="C1786"/>
      <c r="D1786"/>
      <c r="E1786"/>
      <c r="F1786"/>
      <c r="G1786"/>
      <c r="H1786"/>
      <c r="I1786"/>
      <c r="J1786"/>
    </row>
    <row r="1787" spans="1:10" x14ac:dyDescent="0.2">
      <c r="A1787"/>
      <c r="B1787"/>
      <c r="C1787"/>
      <c r="D1787"/>
      <c r="E1787"/>
      <c r="F1787"/>
      <c r="G1787"/>
      <c r="H1787"/>
      <c r="I1787"/>
      <c r="J1787"/>
    </row>
    <row r="1788" spans="1:10" x14ac:dyDescent="0.2">
      <c r="A1788"/>
      <c r="B1788"/>
      <c r="C1788"/>
      <c r="D1788"/>
      <c r="E1788"/>
      <c r="F1788"/>
      <c r="G1788"/>
      <c r="H1788"/>
      <c r="I1788"/>
      <c r="J1788"/>
    </row>
    <row r="1789" spans="1:10" x14ac:dyDescent="0.2">
      <c r="A1789"/>
      <c r="B1789"/>
      <c r="C1789"/>
      <c r="D1789"/>
      <c r="E1789"/>
      <c r="F1789"/>
      <c r="G1789"/>
      <c r="H1789"/>
      <c r="I1789"/>
      <c r="J1789"/>
    </row>
    <row r="1790" spans="1:10" x14ac:dyDescent="0.2">
      <c r="A1790"/>
      <c r="B1790"/>
      <c r="C1790"/>
      <c r="D1790"/>
      <c r="E1790"/>
      <c r="F1790"/>
      <c r="G1790"/>
      <c r="H1790"/>
      <c r="I1790"/>
      <c r="J1790"/>
    </row>
    <row r="1791" spans="1:10" x14ac:dyDescent="0.2">
      <c r="A1791"/>
      <c r="B1791"/>
      <c r="C1791"/>
      <c r="D1791"/>
      <c r="E1791"/>
      <c r="F1791"/>
      <c r="G1791"/>
      <c r="H1791"/>
      <c r="I1791"/>
      <c r="J1791"/>
    </row>
    <row r="1792" spans="1:10" x14ac:dyDescent="0.2">
      <c r="A1792"/>
      <c r="B1792"/>
      <c r="C1792"/>
      <c r="D1792"/>
      <c r="E1792"/>
      <c r="F1792"/>
      <c r="G1792"/>
      <c r="H1792"/>
      <c r="I1792"/>
      <c r="J1792"/>
    </row>
    <row r="1793" spans="1:10" x14ac:dyDescent="0.2">
      <c r="A1793"/>
      <c r="B1793"/>
      <c r="C1793"/>
      <c r="D1793"/>
      <c r="E1793"/>
      <c r="F1793"/>
      <c r="G1793"/>
      <c r="H1793"/>
      <c r="I1793"/>
      <c r="J1793"/>
    </row>
    <row r="1794" spans="1:10" x14ac:dyDescent="0.2">
      <c r="A1794"/>
      <c r="B1794"/>
      <c r="C1794"/>
      <c r="D1794"/>
      <c r="E1794"/>
      <c r="F1794"/>
      <c r="G1794"/>
      <c r="H1794"/>
      <c r="I1794"/>
      <c r="J1794"/>
    </row>
    <row r="1795" spans="1:10" x14ac:dyDescent="0.2">
      <c r="A1795"/>
      <c r="B1795"/>
      <c r="C1795"/>
      <c r="D1795"/>
      <c r="E1795"/>
      <c r="F1795"/>
      <c r="G1795"/>
      <c r="H1795"/>
      <c r="I1795"/>
      <c r="J1795"/>
    </row>
    <row r="1796" spans="1:10" x14ac:dyDescent="0.2">
      <c r="A1796"/>
      <c r="B1796"/>
      <c r="C1796"/>
      <c r="D1796"/>
      <c r="E1796"/>
      <c r="F1796"/>
      <c r="G1796"/>
      <c r="H1796"/>
      <c r="I1796"/>
      <c r="J1796"/>
    </row>
    <row r="1797" spans="1:10" x14ac:dyDescent="0.2">
      <c r="A1797"/>
      <c r="B1797"/>
      <c r="C1797"/>
      <c r="D1797"/>
      <c r="E1797"/>
      <c r="F1797"/>
      <c r="G1797"/>
      <c r="H1797"/>
      <c r="I1797"/>
      <c r="J1797"/>
    </row>
    <row r="1798" spans="1:10" x14ac:dyDescent="0.2">
      <c r="A1798"/>
      <c r="B1798"/>
      <c r="C1798"/>
      <c r="D1798"/>
      <c r="E1798"/>
      <c r="F1798"/>
      <c r="G1798"/>
      <c r="H1798"/>
      <c r="I1798"/>
      <c r="J1798"/>
    </row>
    <row r="1799" spans="1:10" x14ac:dyDescent="0.2">
      <c r="A1799"/>
      <c r="B1799"/>
      <c r="C1799"/>
      <c r="D1799"/>
      <c r="E1799"/>
      <c r="F1799"/>
      <c r="G1799"/>
      <c r="H1799"/>
      <c r="I1799"/>
      <c r="J1799"/>
    </row>
    <row r="1800" spans="1:10" x14ac:dyDescent="0.2">
      <c r="A1800"/>
      <c r="B1800"/>
      <c r="C1800"/>
      <c r="D1800"/>
      <c r="E1800"/>
      <c r="F1800"/>
      <c r="G1800"/>
      <c r="H1800"/>
      <c r="I1800"/>
      <c r="J1800"/>
    </row>
    <row r="1801" spans="1:10" x14ac:dyDescent="0.2">
      <c r="A1801"/>
      <c r="B1801"/>
      <c r="C1801"/>
      <c r="D1801"/>
      <c r="E1801"/>
      <c r="F1801"/>
      <c r="G1801"/>
      <c r="H1801"/>
      <c r="I1801"/>
      <c r="J1801"/>
    </row>
    <row r="1802" spans="1:10" x14ac:dyDescent="0.2">
      <c r="A1802"/>
      <c r="B1802"/>
      <c r="C1802"/>
      <c r="D1802"/>
      <c r="E1802"/>
      <c r="F1802"/>
      <c r="G1802"/>
      <c r="H1802"/>
      <c r="I1802"/>
      <c r="J1802"/>
    </row>
    <row r="1803" spans="1:10" x14ac:dyDescent="0.2">
      <c r="A1803"/>
      <c r="B1803"/>
      <c r="C1803"/>
      <c r="D1803"/>
      <c r="E1803"/>
      <c r="F1803"/>
      <c r="G1803"/>
      <c r="H1803"/>
      <c r="I1803"/>
      <c r="J1803"/>
    </row>
    <row r="1804" spans="1:10" x14ac:dyDescent="0.2">
      <c r="A1804"/>
      <c r="B1804"/>
      <c r="C1804"/>
      <c r="D1804"/>
      <c r="E1804"/>
      <c r="F1804"/>
      <c r="G1804"/>
      <c r="H1804"/>
      <c r="I1804"/>
      <c r="J1804"/>
    </row>
    <row r="1805" spans="1:10" x14ac:dyDescent="0.2">
      <c r="H1805"/>
      <c r="I1805"/>
      <c r="J1805"/>
    </row>
    <row r="1806" spans="1:10" x14ac:dyDescent="0.2">
      <c r="H1806"/>
      <c r="I1806"/>
      <c r="J1806"/>
    </row>
    <row r="9757" ht="12" customHeight="1" x14ac:dyDescent="0.2"/>
    <row r="9758" ht="12" customHeight="1" x14ac:dyDescent="0.2"/>
    <row r="9759" ht="12" customHeight="1" x14ac:dyDescent="0.2"/>
    <row r="9760" ht="12" customHeight="1" x14ac:dyDescent="0.2"/>
    <row r="9761" ht="12" customHeight="1" x14ac:dyDescent="0.2"/>
    <row r="9762" ht="12" customHeight="1" x14ac:dyDescent="0.2"/>
    <row r="9763" ht="12" customHeight="1" x14ac:dyDescent="0.2"/>
    <row r="9764" ht="12" customHeight="1" x14ac:dyDescent="0.2"/>
    <row r="9765" ht="12" customHeight="1" x14ac:dyDescent="0.2"/>
    <row r="9766" ht="12" customHeight="1" x14ac:dyDescent="0.2"/>
    <row r="9767" ht="12" customHeight="1" x14ac:dyDescent="0.2"/>
    <row r="9768" ht="12" customHeight="1" x14ac:dyDescent="0.2"/>
    <row r="9769" ht="12" customHeight="1" x14ac:dyDescent="0.2"/>
    <row r="9770" ht="12" customHeight="1" x14ac:dyDescent="0.2"/>
    <row r="9771" ht="12" customHeight="1" x14ac:dyDescent="0.2"/>
    <row r="9772" ht="12" customHeight="1" x14ac:dyDescent="0.2"/>
    <row r="9773" ht="12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ormat_Reels">
                <anchor moveWithCells="1" sizeWithCells="1">
                  <from>
                    <xdr:col>16</xdr:col>
                    <xdr:colOff>228600</xdr:colOff>
                    <xdr:row>0</xdr:row>
                    <xdr:rowOff>38100</xdr:rowOff>
                  </from>
                  <to>
                    <xdr:col>17</xdr:col>
                    <xdr:colOff>228600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3:V7782"/>
  <sheetViews>
    <sheetView zoomScale="75" workbookViewId="0">
      <pane ySplit="16" topLeftCell="A17" activePane="bottomLeft" state="frozen"/>
      <selection activeCell="B4" sqref="B4:F150"/>
      <selection pane="bottomLeft"/>
    </sheetView>
  </sheetViews>
  <sheetFormatPr defaultRowHeight="12.75" x14ac:dyDescent="0.2"/>
  <cols>
    <col min="1" max="4" width="9.140625" style="12"/>
    <col min="5" max="5" width="9" style="12" customWidth="1"/>
    <col min="6" max="6" width="12.7109375" style="12" bestFit="1" customWidth="1"/>
    <col min="7" max="11" width="9.140625" style="12"/>
    <col min="12" max="12" width="11.7109375" style="12" bestFit="1" customWidth="1"/>
    <col min="13" max="14" width="14.42578125" style="12" bestFit="1" customWidth="1"/>
    <col min="15" max="15" width="12.140625" style="12" bestFit="1" customWidth="1"/>
    <col min="16" max="16" width="14.85546875" style="12" bestFit="1" customWidth="1"/>
    <col min="17" max="17" width="18.28515625" style="12" bestFit="1" customWidth="1"/>
    <col min="18" max="18" width="14.42578125" style="12" bestFit="1" customWidth="1"/>
    <col min="19" max="20" width="14" style="12" bestFit="1" customWidth="1"/>
    <col min="21" max="21" width="11" style="12" bestFit="1" customWidth="1"/>
    <col min="22" max="22" width="14.42578125" style="12" bestFit="1" customWidth="1"/>
    <col min="23" max="261" width="9.140625" style="12"/>
    <col min="262" max="262" width="12.7109375" style="12" bestFit="1" customWidth="1"/>
    <col min="263" max="267" width="9.140625" style="12"/>
    <col min="268" max="268" width="11.7109375" style="12" bestFit="1" customWidth="1"/>
    <col min="269" max="270" width="14.42578125" style="12" bestFit="1" customWidth="1"/>
    <col min="271" max="271" width="12.140625" style="12" bestFit="1" customWidth="1"/>
    <col min="272" max="272" width="14.85546875" style="12" bestFit="1" customWidth="1"/>
    <col min="273" max="273" width="18.28515625" style="12" bestFit="1" customWidth="1"/>
    <col min="274" max="274" width="14.42578125" style="12" bestFit="1" customWidth="1"/>
    <col min="275" max="276" width="14" style="12" bestFit="1" customWidth="1"/>
    <col min="277" max="277" width="11" style="12" bestFit="1" customWidth="1"/>
    <col min="278" max="278" width="14.42578125" style="12" bestFit="1" customWidth="1"/>
    <col min="279" max="517" width="9.140625" style="12"/>
    <col min="518" max="518" width="12.7109375" style="12" bestFit="1" customWidth="1"/>
    <col min="519" max="523" width="9.140625" style="12"/>
    <col min="524" max="524" width="11.7109375" style="12" bestFit="1" customWidth="1"/>
    <col min="525" max="526" width="14.42578125" style="12" bestFit="1" customWidth="1"/>
    <col min="527" max="527" width="12.140625" style="12" bestFit="1" customWidth="1"/>
    <col min="528" max="528" width="14.85546875" style="12" bestFit="1" customWidth="1"/>
    <col min="529" max="529" width="18.28515625" style="12" bestFit="1" customWidth="1"/>
    <col min="530" max="530" width="14.42578125" style="12" bestFit="1" customWidth="1"/>
    <col min="531" max="532" width="14" style="12" bestFit="1" customWidth="1"/>
    <col min="533" max="533" width="11" style="12" bestFit="1" customWidth="1"/>
    <col min="534" max="534" width="14.42578125" style="12" bestFit="1" customWidth="1"/>
    <col min="535" max="773" width="9.140625" style="12"/>
    <col min="774" max="774" width="12.7109375" style="12" bestFit="1" customWidth="1"/>
    <col min="775" max="779" width="9.140625" style="12"/>
    <col min="780" max="780" width="11.7109375" style="12" bestFit="1" customWidth="1"/>
    <col min="781" max="782" width="14.42578125" style="12" bestFit="1" customWidth="1"/>
    <col min="783" max="783" width="12.140625" style="12" bestFit="1" customWidth="1"/>
    <col min="784" max="784" width="14.85546875" style="12" bestFit="1" customWidth="1"/>
    <col min="785" max="785" width="18.28515625" style="12" bestFit="1" customWidth="1"/>
    <col min="786" max="786" width="14.42578125" style="12" bestFit="1" customWidth="1"/>
    <col min="787" max="788" width="14" style="12" bestFit="1" customWidth="1"/>
    <col min="789" max="789" width="11" style="12" bestFit="1" customWidth="1"/>
    <col min="790" max="790" width="14.42578125" style="12" bestFit="1" customWidth="1"/>
    <col min="791" max="1029" width="9.140625" style="12"/>
    <col min="1030" max="1030" width="12.7109375" style="12" bestFit="1" customWidth="1"/>
    <col min="1031" max="1035" width="9.140625" style="12"/>
    <col min="1036" max="1036" width="11.7109375" style="12" bestFit="1" customWidth="1"/>
    <col min="1037" max="1038" width="14.42578125" style="12" bestFit="1" customWidth="1"/>
    <col min="1039" max="1039" width="12.140625" style="12" bestFit="1" customWidth="1"/>
    <col min="1040" max="1040" width="14.85546875" style="12" bestFit="1" customWidth="1"/>
    <col min="1041" max="1041" width="18.28515625" style="12" bestFit="1" customWidth="1"/>
    <col min="1042" max="1042" width="14.42578125" style="12" bestFit="1" customWidth="1"/>
    <col min="1043" max="1044" width="14" style="12" bestFit="1" customWidth="1"/>
    <col min="1045" max="1045" width="11" style="12" bestFit="1" customWidth="1"/>
    <col min="1046" max="1046" width="14.42578125" style="12" bestFit="1" customWidth="1"/>
    <col min="1047" max="1285" width="9.140625" style="12"/>
    <col min="1286" max="1286" width="12.7109375" style="12" bestFit="1" customWidth="1"/>
    <col min="1287" max="1291" width="9.140625" style="12"/>
    <col min="1292" max="1292" width="11.7109375" style="12" bestFit="1" customWidth="1"/>
    <col min="1293" max="1294" width="14.42578125" style="12" bestFit="1" customWidth="1"/>
    <col min="1295" max="1295" width="12.140625" style="12" bestFit="1" customWidth="1"/>
    <col min="1296" max="1296" width="14.85546875" style="12" bestFit="1" customWidth="1"/>
    <col min="1297" max="1297" width="18.28515625" style="12" bestFit="1" customWidth="1"/>
    <col min="1298" max="1298" width="14.42578125" style="12" bestFit="1" customWidth="1"/>
    <col min="1299" max="1300" width="14" style="12" bestFit="1" customWidth="1"/>
    <col min="1301" max="1301" width="11" style="12" bestFit="1" customWidth="1"/>
    <col min="1302" max="1302" width="14.42578125" style="12" bestFit="1" customWidth="1"/>
    <col min="1303" max="1541" width="9.140625" style="12"/>
    <col min="1542" max="1542" width="12.7109375" style="12" bestFit="1" customWidth="1"/>
    <col min="1543" max="1547" width="9.140625" style="12"/>
    <col min="1548" max="1548" width="11.7109375" style="12" bestFit="1" customWidth="1"/>
    <col min="1549" max="1550" width="14.42578125" style="12" bestFit="1" customWidth="1"/>
    <col min="1551" max="1551" width="12.140625" style="12" bestFit="1" customWidth="1"/>
    <col min="1552" max="1552" width="14.85546875" style="12" bestFit="1" customWidth="1"/>
    <col min="1553" max="1553" width="18.28515625" style="12" bestFit="1" customWidth="1"/>
    <col min="1554" max="1554" width="14.42578125" style="12" bestFit="1" customWidth="1"/>
    <col min="1555" max="1556" width="14" style="12" bestFit="1" customWidth="1"/>
    <col min="1557" max="1557" width="11" style="12" bestFit="1" customWidth="1"/>
    <col min="1558" max="1558" width="14.42578125" style="12" bestFit="1" customWidth="1"/>
    <col min="1559" max="1797" width="9.140625" style="12"/>
    <col min="1798" max="1798" width="12.7109375" style="12" bestFit="1" customWidth="1"/>
    <col min="1799" max="1803" width="9.140625" style="12"/>
    <col min="1804" max="1804" width="11.7109375" style="12" bestFit="1" customWidth="1"/>
    <col min="1805" max="1806" width="14.42578125" style="12" bestFit="1" customWidth="1"/>
    <col min="1807" max="1807" width="12.140625" style="12" bestFit="1" customWidth="1"/>
    <col min="1808" max="1808" width="14.85546875" style="12" bestFit="1" customWidth="1"/>
    <col min="1809" max="1809" width="18.28515625" style="12" bestFit="1" customWidth="1"/>
    <col min="1810" max="1810" width="14.42578125" style="12" bestFit="1" customWidth="1"/>
    <col min="1811" max="1812" width="14" style="12" bestFit="1" customWidth="1"/>
    <col min="1813" max="1813" width="11" style="12" bestFit="1" customWidth="1"/>
    <col min="1814" max="1814" width="14.42578125" style="12" bestFit="1" customWidth="1"/>
    <col min="1815" max="2053" width="9.140625" style="12"/>
    <col min="2054" max="2054" width="12.7109375" style="12" bestFit="1" customWidth="1"/>
    <col min="2055" max="2059" width="9.140625" style="12"/>
    <col min="2060" max="2060" width="11.7109375" style="12" bestFit="1" customWidth="1"/>
    <col min="2061" max="2062" width="14.42578125" style="12" bestFit="1" customWidth="1"/>
    <col min="2063" max="2063" width="12.140625" style="12" bestFit="1" customWidth="1"/>
    <col min="2064" max="2064" width="14.85546875" style="12" bestFit="1" customWidth="1"/>
    <col min="2065" max="2065" width="18.28515625" style="12" bestFit="1" customWidth="1"/>
    <col min="2066" max="2066" width="14.42578125" style="12" bestFit="1" customWidth="1"/>
    <col min="2067" max="2068" width="14" style="12" bestFit="1" customWidth="1"/>
    <col min="2069" max="2069" width="11" style="12" bestFit="1" customWidth="1"/>
    <col min="2070" max="2070" width="14.42578125" style="12" bestFit="1" customWidth="1"/>
    <col min="2071" max="2309" width="9.140625" style="12"/>
    <col min="2310" max="2310" width="12.7109375" style="12" bestFit="1" customWidth="1"/>
    <col min="2311" max="2315" width="9.140625" style="12"/>
    <col min="2316" max="2316" width="11.7109375" style="12" bestFit="1" customWidth="1"/>
    <col min="2317" max="2318" width="14.42578125" style="12" bestFit="1" customWidth="1"/>
    <col min="2319" max="2319" width="12.140625" style="12" bestFit="1" customWidth="1"/>
    <col min="2320" max="2320" width="14.85546875" style="12" bestFit="1" customWidth="1"/>
    <col min="2321" max="2321" width="18.28515625" style="12" bestFit="1" customWidth="1"/>
    <col min="2322" max="2322" width="14.42578125" style="12" bestFit="1" customWidth="1"/>
    <col min="2323" max="2324" width="14" style="12" bestFit="1" customWidth="1"/>
    <col min="2325" max="2325" width="11" style="12" bestFit="1" customWidth="1"/>
    <col min="2326" max="2326" width="14.42578125" style="12" bestFit="1" customWidth="1"/>
    <col min="2327" max="2565" width="9.140625" style="12"/>
    <col min="2566" max="2566" width="12.7109375" style="12" bestFit="1" customWidth="1"/>
    <col min="2567" max="2571" width="9.140625" style="12"/>
    <col min="2572" max="2572" width="11.7109375" style="12" bestFit="1" customWidth="1"/>
    <col min="2573" max="2574" width="14.42578125" style="12" bestFit="1" customWidth="1"/>
    <col min="2575" max="2575" width="12.140625" style="12" bestFit="1" customWidth="1"/>
    <col min="2576" max="2576" width="14.85546875" style="12" bestFit="1" customWidth="1"/>
    <col min="2577" max="2577" width="18.28515625" style="12" bestFit="1" customWidth="1"/>
    <col min="2578" max="2578" width="14.42578125" style="12" bestFit="1" customWidth="1"/>
    <col min="2579" max="2580" width="14" style="12" bestFit="1" customWidth="1"/>
    <col min="2581" max="2581" width="11" style="12" bestFit="1" customWidth="1"/>
    <col min="2582" max="2582" width="14.42578125" style="12" bestFit="1" customWidth="1"/>
    <col min="2583" max="2821" width="9.140625" style="12"/>
    <col min="2822" max="2822" width="12.7109375" style="12" bestFit="1" customWidth="1"/>
    <col min="2823" max="2827" width="9.140625" style="12"/>
    <col min="2828" max="2828" width="11.7109375" style="12" bestFit="1" customWidth="1"/>
    <col min="2829" max="2830" width="14.42578125" style="12" bestFit="1" customWidth="1"/>
    <col min="2831" max="2831" width="12.140625" style="12" bestFit="1" customWidth="1"/>
    <col min="2832" max="2832" width="14.85546875" style="12" bestFit="1" customWidth="1"/>
    <col min="2833" max="2833" width="18.28515625" style="12" bestFit="1" customWidth="1"/>
    <col min="2834" max="2834" width="14.42578125" style="12" bestFit="1" customWidth="1"/>
    <col min="2835" max="2836" width="14" style="12" bestFit="1" customWidth="1"/>
    <col min="2837" max="2837" width="11" style="12" bestFit="1" customWidth="1"/>
    <col min="2838" max="2838" width="14.42578125" style="12" bestFit="1" customWidth="1"/>
    <col min="2839" max="3077" width="9.140625" style="12"/>
    <col min="3078" max="3078" width="12.7109375" style="12" bestFit="1" customWidth="1"/>
    <col min="3079" max="3083" width="9.140625" style="12"/>
    <col min="3084" max="3084" width="11.7109375" style="12" bestFit="1" customWidth="1"/>
    <col min="3085" max="3086" width="14.42578125" style="12" bestFit="1" customWidth="1"/>
    <col min="3087" max="3087" width="12.140625" style="12" bestFit="1" customWidth="1"/>
    <col min="3088" max="3088" width="14.85546875" style="12" bestFit="1" customWidth="1"/>
    <col min="3089" max="3089" width="18.28515625" style="12" bestFit="1" customWidth="1"/>
    <col min="3090" max="3090" width="14.42578125" style="12" bestFit="1" customWidth="1"/>
    <col min="3091" max="3092" width="14" style="12" bestFit="1" customWidth="1"/>
    <col min="3093" max="3093" width="11" style="12" bestFit="1" customWidth="1"/>
    <col min="3094" max="3094" width="14.42578125" style="12" bestFit="1" customWidth="1"/>
    <col min="3095" max="3333" width="9.140625" style="12"/>
    <col min="3334" max="3334" width="12.7109375" style="12" bestFit="1" customWidth="1"/>
    <col min="3335" max="3339" width="9.140625" style="12"/>
    <col min="3340" max="3340" width="11.7109375" style="12" bestFit="1" customWidth="1"/>
    <col min="3341" max="3342" width="14.42578125" style="12" bestFit="1" customWidth="1"/>
    <col min="3343" max="3343" width="12.140625" style="12" bestFit="1" customWidth="1"/>
    <col min="3344" max="3344" width="14.85546875" style="12" bestFit="1" customWidth="1"/>
    <col min="3345" max="3345" width="18.28515625" style="12" bestFit="1" customWidth="1"/>
    <col min="3346" max="3346" width="14.42578125" style="12" bestFit="1" customWidth="1"/>
    <col min="3347" max="3348" width="14" style="12" bestFit="1" customWidth="1"/>
    <col min="3349" max="3349" width="11" style="12" bestFit="1" customWidth="1"/>
    <col min="3350" max="3350" width="14.42578125" style="12" bestFit="1" customWidth="1"/>
    <col min="3351" max="3589" width="9.140625" style="12"/>
    <col min="3590" max="3590" width="12.7109375" style="12" bestFit="1" customWidth="1"/>
    <col min="3591" max="3595" width="9.140625" style="12"/>
    <col min="3596" max="3596" width="11.7109375" style="12" bestFit="1" customWidth="1"/>
    <col min="3597" max="3598" width="14.42578125" style="12" bestFit="1" customWidth="1"/>
    <col min="3599" max="3599" width="12.140625" style="12" bestFit="1" customWidth="1"/>
    <col min="3600" max="3600" width="14.85546875" style="12" bestFit="1" customWidth="1"/>
    <col min="3601" max="3601" width="18.28515625" style="12" bestFit="1" customWidth="1"/>
    <col min="3602" max="3602" width="14.42578125" style="12" bestFit="1" customWidth="1"/>
    <col min="3603" max="3604" width="14" style="12" bestFit="1" customWidth="1"/>
    <col min="3605" max="3605" width="11" style="12" bestFit="1" customWidth="1"/>
    <col min="3606" max="3606" width="14.42578125" style="12" bestFit="1" customWidth="1"/>
    <col min="3607" max="3845" width="9.140625" style="12"/>
    <col min="3846" max="3846" width="12.7109375" style="12" bestFit="1" customWidth="1"/>
    <col min="3847" max="3851" width="9.140625" style="12"/>
    <col min="3852" max="3852" width="11.7109375" style="12" bestFit="1" customWidth="1"/>
    <col min="3853" max="3854" width="14.42578125" style="12" bestFit="1" customWidth="1"/>
    <col min="3855" max="3855" width="12.140625" style="12" bestFit="1" customWidth="1"/>
    <col min="3856" max="3856" width="14.85546875" style="12" bestFit="1" customWidth="1"/>
    <col min="3857" max="3857" width="18.28515625" style="12" bestFit="1" customWidth="1"/>
    <col min="3858" max="3858" width="14.42578125" style="12" bestFit="1" customWidth="1"/>
    <col min="3859" max="3860" width="14" style="12" bestFit="1" customWidth="1"/>
    <col min="3861" max="3861" width="11" style="12" bestFit="1" customWidth="1"/>
    <col min="3862" max="3862" width="14.42578125" style="12" bestFit="1" customWidth="1"/>
    <col min="3863" max="4101" width="9.140625" style="12"/>
    <col min="4102" max="4102" width="12.7109375" style="12" bestFit="1" customWidth="1"/>
    <col min="4103" max="4107" width="9.140625" style="12"/>
    <col min="4108" max="4108" width="11.7109375" style="12" bestFit="1" customWidth="1"/>
    <col min="4109" max="4110" width="14.42578125" style="12" bestFit="1" customWidth="1"/>
    <col min="4111" max="4111" width="12.140625" style="12" bestFit="1" customWidth="1"/>
    <col min="4112" max="4112" width="14.85546875" style="12" bestFit="1" customWidth="1"/>
    <col min="4113" max="4113" width="18.28515625" style="12" bestFit="1" customWidth="1"/>
    <col min="4114" max="4114" width="14.42578125" style="12" bestFit="1" customWidth="1"/>
    <col min="4115" max="4116" width="14" style="12" bestFit="1" customWidth="1"/>
    <col min="4117" max="4117" width="11" style="12" bestFit="1" customWidth="1"/>
    <col min="4118" max="4118" width="14.42578125" style="12" bestFit="1" customWidth="1"/>
    <col min="4119" max="4357" width="9.140625" style="12"/>
    <col min="4358" max="4358" width="12.7109375" style="12" bestFit="1" customWidth="1"/>
    <col min="4359" max="4363" width="9.140625" style="12"/>
    <col min="4364" max="4364" width="11.7109375" style="12" bestFit="1" customWidth="1"/>
    <col min="4365" max="4366" width="14.42578125" style="12" bestFit="1" customWidth="1"/>
    <col min="4367" max="4367" width="12.140625" style="12" bestFit="1" customWidth="1"/>
    <col min="4368" max="4368" width="14.85546875" style="12" bestFit="1" customWidth="1"/>
    <col min="4369" max="4369" width="18.28515625" style="12" bestFit="1" customWidth="1"/>
    <col min="4370" max="4370" width="14.42578125" style="12" bestFit="1" customWidth="1"/>
    <col min="4371" max="4372" width="14" style="12" bestFit="1" customWidth="1"/>
    <col min="4373" max="4373" width="11" style="12" bestFit="1" customWidth="1"/>
    <col min="4374" max="4374" width="14.42578125" style="12" bestFit="1" customWidth="1"/>
    <col min="4375" max="4613" width="9.140625" style="12"/>
    <col min="4614" max="4614" width="12.7109375" style="12" bestFit="1" customWidth="1"/>
    <col min="4615" max="4619" width="9.140625" style="12"/>
    <col min="4620" max="4620" width="11.7109375" style="12" bestFit="1" customWidth="1"/>
    <col min="4621" max="4622" width="14.42578125" style="12" bestFit="1" customWidth="1"/>
    <col min="4623" max="4623" width="12.140625" style="12" bestFit="1" customWidth="1"/>
    <col min="4624" max="4624" width="14.85546875" style="12" bestFit="1" customWidth="1"/>
    <col min="4625" max="4625" width="18.28515625" style="12" bestFit="1" customWidth="1"/>
    <col min="4626" max="4626" width="14.42578125" style="12" bestFit="1" customWidth="1"/>
    <col min="4627" max="4628" width="14" style="12" bestFit="1" customWidth="1"/>
    <col min="4629" max="4629" width="11" style="12" bestFit="1" customWidth="1"/>
    <col min="4630" max="4630" width="14.42578125" style="12" bestFit="1" customWidth="1"/>
    <col min="4631" max="4869" width="9.140625" style="12"/>
    <col min="4870" max="4870" width="12.7109375" style="12" bestFit="1" customWidth="1"/>
    <col min="4871" max="4875" width="9.140625" style="12"/>
    <col min="4876" max="4876" width="11.7109375" style="12" bestFit="1" customWidth="1"/>
    <col min="4877" max="4878" width="14.42578125" style="12" bestFit="1" customWidth="1"/>
    <col min="4879" max="4879" width="12.140625" style="12" bestFit="1" customWidth="1"/>
    <col min="4880" max="4880" width="14.85546875" style="12" bestFit="1" customWidth="1"/>
    <col min="4881" max="4881" width="18.28515625" style="12" bestFit="1" customWidth="1"/>
    <col min="4882" max="4882" width="14.42578125" style="12" bestFit="1" customWidth="1"/>
    <col min="4883" max="4884" width="14" style="12" bestFit="1" customWidth="1"/>
    <col min="4885" max="4885" width="11" style="12" bestFit="1" customWidth="1"/>
    <col min="4886" max="4886" width="14.42578125" style="12" bestFit="1" customWidth="1"/>
    <col min="4887" max="5125" width="9.140625" style="12"/>
    <col min="5126" max="5126" width="12.7109375" style="12" bestFit="1" customWidth="1"/>
    <col min="5127" max="5131" width="9.140625" style="12"/>
    <col min="5132" max="5132" width="11.7109375" style="12" bestFit="1" customWidth="1"/>
    <col min="5133" max="5134" width="14.42578125" style="12" bestFit="1" customWidth="1"/>
    <col min="5135" max="5135" width="12.140625" style="12" bestFit="1" customWidth="1"/>
    <col min="5136" max="5136" width="14.85546875" style="12" bestFit="1" customWidth="1"/>
    <col min="5137" max="5137" width="18.28515625" style="12" bestFit="1" customWidth="1"/>
    <col min="5138" max="5138" width="14.42578125" style="12" bestFit="1" customWidth="1"/>
    <col min="5139" max="5140" width="14" style="12" bestFit="1" customWidth="1"/>
    <col min="5141" max="5141" width="11" style="12" bestFit="1" customWidth="1"/>
    <col min="5142" max="5142" width="14.42578125" style="12" bestFit="1" customWidth="1"/>
    <col min="5143" max="5381" width="9.140625" style="12"/>
    <col min="5382" max="5382" width="12.7109375" style="12" bestFit="1" customWidth="1"/>
    <col min="5383" max="5387" width="9.140625" style="12"/>
    <col min="5388" max="5388" width="11.7109375" style="12" bestFit="1" customWidth="1"/>
    <col min="5389" max="5390" width="14.42578125" style="12" bestFit="1" customWidth="1"/>
    <col min="5391" max="5391" width="12.140625" style="12" bestFit="1" customWidth="1"/>
    <col min="5392" max="5392" width="14.85546875" style="12" bestFit="1" customWidth="1"/>
    <col min="5393" max="5393" width="18.28515625" style="12" bestFit="1" customWidth="1"/>
    <col min="5394" max="5394" width="14.42578125" style="12" bestFit="1" customWidth="1"/>
    <col min="5395" max="5396" width="14" style="12" bestFit="1" customWidth="1"/>
    <col min="5397" max="5397" width="11" style="12" bestFit="1" customWidth="1"/>
    <col min="5398" max="5398" width="14.42578125" style="12" bestFit="1" customWidth="1"/>
    <col min="5399" max="5637" width="9.140625" style="12"/>
    <col min="5638" max="5638" width="12.7109375" style="12" bestFit="1" customWidth="1"/>
    <col min="5639" max="5643" width="9.140625" style="12"/>
    <col min="5644" max="5644" width="11.7109375" style="12" bestFit="1" customWidth="1"/>
    <col min="5645" max="5646" width="14.42578125" style="12" bestFit="1" customWidth="1"/>
    <col min="5647" max="5647" width="12.140625" style="12" bestFit="1" customWidth="1"/>
    <col min="5648" max="5648" width="14.85546875" style="12" bestFit="1" customWidth="1"/>
    <col min="5649" max="5649" width="18.28515625" style="12" bestFit="1" customWidth="1"/>
    <col min="5650" max="5650" width="14.42578125" style="12" bestFit="1" customWidth="1"/>
    <col min="5651" max="5652" width="14" style="12" bestFit="1" customWidth="1"/>
    <col min="5653" max="5653" width="11" style="12" bestFit="1" customWidth="1"/>
    <col min="5654" max="5654" width="14.42578125" style="12" bestFit="1" customWidth="1"/>
    <col min="5655" max="5893" width="9.140625" style="12"/>
    <col min="5894" max="5894" width="12.7109375" style="12" bestFit="1" customWidth="1"/>
    <col min="5895" max="5899" width="9.140625" style="12"/>
    <col min="5900" max="5900" width="11.7109375" style="12" bestFit="1" customWidth="1"/>
    <col min="5901" max="5902" width="14.42578125" style="12" bestFit="1" customWidth="1"/>
    <col min="5903" max="5903" width="12.140625" style="12" bestFit="1" customWidth="1"/>
    <col min="5904" max="5904" width="14.85546875" style="12" bestFit="1" customWidth="1"/>
    <col min="5905" max="5905" width="18.28515625" style="12" bestFit="1" customWidth="1"/>
    <col min="5906" max="5906" width="14.42578125" style="12" bestFit="1" customWidth="1"/>
    <col min="5907" max="5908" width="14" style="12" bestFit="1" customWidth="1"/>
    <col min="5909" max="5909" width="11" style="12" bestFit="1" customWidth="1"/>
    <col min="5910" max="5910" width="14.42578125" style="12" bestFit="1" customWidth="1"/>
    <col min="5911" max="6149" width="9.140625" style="12"/>
    <col min="6150" max="6150" width="12.7109375" style="12" bestFit="1" customWidth="1"/>
    <col min="6151" max="6155" width="9.140625" style="12"/>
    <col min="6156" max="6156" width="11.7109375" style="12" bestFit="1" customWidth="1"/>
    <col min="6157" max="6158" width="14.42578125" style="12" bestFit="1" customWidth="1"/>
    <col min="6159" max="6159" width="12.140625" style="12" bestFit="1" customWidth="1"/>
    <col min="6160" max="6160" width="14.85546875" style="12" bestFit="1" customWidth="1"/>
    <col min="6161" max="6161" width="18.28515625" style="12" bestFit="1" customWidth="1"/>
    <col min="6162" max="6162" width="14.42578125" style="12" bestFit="1" customWidth="1"/>
    <col min="6163" max="6164" width="14" style="12" bestFit="1" customWidth="1"/>
    <col min="6165" max="6165" width="11" style="12" bestFit="1" customWidth="1"/>
    <col min="6166" max="6166" width="14.42578125" style="12" bestFit="1" customWidth="1"/>
    <col min="6167" max="6405" width="9.140625" style="12"/>
    <col min="6406" max="6406" width="12.7109375" style="12" bestFit="1" customWidth="1"/>
    <col min="6407" max="6411" width="9.140625" style="12"/>
    <col min="6412" max="6412" width="11.7109375" style="12" bestFit="1" customWidth="1"/>
    <col min="6413" max="6414" width="14.42578125" style="12" bestFit="1" customWidth="1"/>
    <col min="6415" max="6415" width="12.140625" style="12" bestFit="1" customWidth="1"/>
    <col min="6416" max="6416" width="14.85546875" style="12" bestFit="1" customWidth="1"/>
    <col min="6417" max="6417" width="18.28515625" style="12" bestFit="1" customWidth="1"/>
    <col min="6418" max="6418" width="14.42578125" style="12" bestFit="1" customWidth="1"/>
    <col min="6419" max="6420" width="14" style="12" bestFit="1" customWidth="1"/>
    <col min="6421" max="6421" width="11" style="12" bestFit="1" customWidth="1"/>
    <col min="6422" max="6422" width="14.42578125" style="12" bestFit="1" customWidth="1"/>
    <col min="6423" max="6661" width="9.140625" style="12"/>
    <col min="6662" max="6662" width="12.7109375" style="12" bestFit="1" customWidth="1"/>
    <col min="6663" max="6667" width="9.140625" style="12"/>
    <col min="6668" max="6668" width="11.7109375" style="12" bestFit="1" customWidth="1"/>
    <col min="6669" max="6670" width="14.42578125" style="12" bestFit="1" customWidth="1"/>
    <col min="6671" max="6671" width="12.140625" style="12" bestFit="1" customWidth="1"/>
    <col min="6672" max="6672" width="14.85546875" style="12" bestFit="1" customWidth="1"/>
    <col min="6673" max="6673" width="18.28515625" style="12" bestFit="1" customWidth="1"/>
    <col min="6674" max="6674" width="14.42578125" style="12" bestFit="1" customWidth="1"/>
    <col min="6675" max="6676" width="14" style="12" bestFit="1" customWidth="1"/>
    <col min="6677" max="6677" width="11" style="12" bestFit="1" customWidth="1"/>
    <col min="6678" max="6678" width="14.42578125" style="12" bestFit="1" customWidth="1"/>
    <col min="6679" max="6917" width="9.140625" style="12"/>
    <col min="6918" max="6918" width="12.7109375" style="12" bestFit="1" customWidth="1"/>
    <col min="6919" max="6923" width="9.140625" style="12"/>
    <col min="6924" max="6924" width="11.7109375" style="12" bestFit="1" customWidth="1"/>
    <col min="6925" max="6926" width="14.42578125" style="12" bestFit="1" customWidth="1"/>
    <col min="6927" max="6927" width="12.140625" style="12" bestFit="1" customWidth="1"/>
    <col min="6928" max="6928" width="14.85546875" style="12" bestFit="1" customWidth="1"/>
    <col min="6929" max="6929" width="18.28515625" style="12" bestFit="1" customWidth="1"/>
    <col min="6930" max="6930" width="14.42578125" style="12" bestFit="1" customWidth="1"/>
    <col min="6931" max="6932" width="14" style="12" bestFit="1" customWidth="1"/>
    <col min="6933" max="6933" width="11" style="12" bestFit="1" customWidth="1"/>
    <col min="6934" max="6934" width="14.42578125" style="12" bestFit="1" customWidth="1"/>
    <col min="6935" max="7173" width="9.140625" style="12"/>
    <col min="7174" max="7174" width="12.7109375" style="12" bestFit="1" customWidth="1"/>
    <col min="7175" max="7179" width="9.140625" style="12"/>
    <col min="7180" max="7180" width="11.7109375" style="12" bestFit="1" customWidth="1"/>
    <col min="7181" max="7182" width="14.42578125" style="12" bestFit="1" customWidth="1"/>
    <col min="7183" max="7183" width="12.140625" style="12" bestFit="1" customWidth="1"/>
    <col min="7184" max="7184" width="14.85546875" style="12" bestFit="1" customWidth="1"/>
    <col min="7185" max="7185" width="18.28515625" style="12" bestFit="1" customWidth="1"/>
    <col min="7186" max="7186" width="14.42578125" style="12" bestFit="1" customWidth="1"/>
    <col min="7187" max="7188" width="14" style="12" bestFit="1" customWidth="1"/>
    <col min="7189" max="7189" width="11" style="12" bestFit="1" customWidth="1"/>
    <col min="7190" max="7190" width="14.42578125" style="12" bestFit="1" customWidth="1"/>
    <col min="7191" max="7429" width="9.140625" style="12"/>
    <col min="7430" max="7430" width="12.7109375" style="12" bestFit="1" customWidth="1"/>
    <col min="7431" max="7435" width="9.140625" style="12"/>
    <col min="7436" max="7436" width="11.7109375" style="12" bestFit="1" customWidth="1"/>
    <col min="7437" max="7438" width="14.42578125" style="12" bestFit="1" customWidth="1"/>
    <col min="7439" max="7439" width="12.140625" style="12" bestFit="1" customWidth="1"/>
    <col min="7440" max="7440" width="14.85546875" style="12" bestFit="1" customWidth="1"/>
    <col min="7441" max="7441" width="18.28515625" style="12" bestFit="1" customWidth="1"/>
    <col min="7442" max="7442" width="14.42578125" style="12" bestFit="1" customWidth="1"/>
    <col min="7443" max="7444" width="14" style="12" bestFit="1" customWidth="1"/>
    <col min="7445" max="7445" width="11" style="12" bestFit="1" customWidth="1"/>
    <col min="7446" max="7446" width="14.42578125" style="12" bestFit="1" customWidth="1"/>
    <col min="7447" max="7685" width="9.140625" style="12"/>
    <col min="7686" max="7686" width="12.7109375" style="12" bestFit="1" customWidth="1"/>
    <col min="7687" max="7691" width="9.140625" style="12"/>
    <col min="7692" max="7692" width="11.7109375" style="12" bestFit="1" customWidth="1"/>
    <col min="7693" max="7694" width="14.42578125" style="12" bestFit="1" customWidth="1"/>
    <col min="7695" max="7695" width="12.140625" style="12" bestFit="1" customWidth="1"/>
    <col min="7696" max="7696" width="14.85546875" style="12" bestFit="1" customWidth="1"/>
    <col min="7697" max="7697" width="18.28515625" style="12" bestFit="1" customWidth="1"/>
    <col min="7698" max="7698" width="14.42578125" style="12" bestFit="1" customWidth="1"/>
    <col min="7699" max="7700" width="14" style="12" bestFit="1" customWidth="1"/>
    <col min="7701" max="7701" width="11" style="12" bestFit="1" customWidth="1"/>
    <col min="7702" max="7702" width="14.42578125" style="12" bestFit="1" customWidth="1"/>
    <col min="7703" max="7941" width="9.140625" style="12"/>
    <col min="7942" max="7942" width="12.7109375" style="12" bestFit="1" customWidth="1"/>
    <col min="7943" max="7947" width="9.140625" style="12"/>
    <col min="7948" max="7948" width="11.7109375" style="12" bestFit="1" customWidth="1"/>
    <col min="7949" max="7950" width="14.42578125" style="12" bestFit="1" customWidth="1"/>
    <col min="7951" max="7951" width="12.140625" style="12" bestFit="1" customWidth="1"/>
    <col min="7952" max="7952" width="14.85546875" style="12" bestFit="1" customWidth="1"/>
    <col min="7953" max="7953" width="18.28515625" style="12" bestFit="1" customWidth="1"/>
    <col min="7954" max="7954" width="14.42578125" style="12" bestFit="1" customWidth="1"/>
    <col min="7955" max="7956" width="14" style="12" bestFit="1" customWidth="1"/>
    <col min="7957" max="7957" width="11" style="12" bestFit="1" customWidth="1"/>
    <col min="7958" max="7958" width="14.42578125" style="12" bestFit="1" customWidth="1"/>
    <col min="7959" max="8197" width="9.140625" style="12"/>
    <col min="8198" max="8198" width="12.7109375" style="12" bestFit="1" customWidth="1"/>
    <col min="8199" max="8203" width="9.140625" style="12"/>
    <col min="8204" max="8204" width="11.7109375" style="12" bestFit="1" customWidth="1"/>
    <col min="8205" max="8206" width="14.42578125" style="12" bestFit="1" customWidth="1"/>
    <col min="8207" max="8207" width="12.140625" style="12" bestFit="1" customWidth="1"/>
    <col min="8208" max="8208" width="14.85546875" style="12" bestFit="1" customWidth="1"/>
    <col min="8209" max="8209" width="18.28515625" style="12" bestFit="1" customWidth="1"/>
    <col min="8210" max="8210" width="14.42578125" style="12" bestFit="1" customWidth="1"/>
    <col min="8211" max="8212" width="14" style="12" bestFit="1" customWidth="1"/>
    <col min="8213" max="8213" width="11" style="12" bestFit="1" customWidth="1"/>
    <col min="8214" max="8214" width="14.42578125" style="12" bestFit="1" customWidth="1"/>
    <col min="8215" max="8453" width="9.140625" style="12"/>
    <col min="8454" max="8454" width="12.7109375" style="12" bestFit="1" customWidth="1"/>
    <col min="8455" max="8459" width="9.140625" style="12"/>
    <col min="8460" max="8460" width="11.7109375" style="12" bestFit="1" customWidth="1"/>
    <col min="8461" max="8462" width="14.42578125" style="12" bestFit="1" customWidth="1"/>
    <col min="8463" max="8463" width="12.140625" style="12" bestFit="1" customWidth="1"/>
    <col min="8464" max="8464" width="14.85546875" style="12" bestFit="1" customWidth="1"/>
    <col min="8465" max="8465" width="18.28515625" style="12" bestFit="1" customWidth="1"/>
    <col min="8466" max="8466" width="14.42578125" style="12" bestFit="1" customWidth="1"/>
    <col min="8467" max="8468" width="14" style="12" bestFit="1" customWidth="1"/>
    <col min="8469" max="8469" width="11" style="12" bestFit="1" customWidth="1"/>
    <col min="8470" max="8470" width="14.42578125" style="12" bestFit="1" customWidth="1"/>
    <col min="8471" max="8709" width="9.140625" style="12"/>
    <col min="8710" max="8710" width="12.7109375" style="12" bestFit="1" customWidth="1"/>
    <col min="8711" max="8715" width="9.140625" style="12"/>
    <col min="8716" max="8716" width="11.7109375" style="12" bestFit="1" customWidth="1"/>
    <col min="8717" max="8718" width="14.42578125" style="12" bestFit="1" customWidth="1"/>
    <col min="8719" max="8719" width="12.140625" style="12" bestFit="1" customWidth="1"/>
    <col min="8720" max="8720" width="14.85546875" style="12" bestFit="1" customWidth="1"/>
    <col min="8721" max="8721" width="18.28515625" style="12" bestFit="1" customWidth="1"/>
    <col min="8722" max="8722" width="14.42578125" style="12" bestFit="1" customWidth="1"/>
    <col min="8723" max="8724" width="14" style="12" bestFit="1" customWidth="1"/>
    <col min="8725" max="8725" width="11" style="12" bestFit="1" customWidth="1"/>
    <col min="8726" max="8726" width="14.42578125" style="12" bestFit="1" customWidth="1"/>
    <col min="8727" max="8965" width="9.140625" style="12"/>
    <col min="8966" max="8966" width="12.7109375" style="12" bestFit="1" customWidth="1"/>
    <col min="8967" max="8971" width="9.140625" style="12"/>
    <col min="8972" max="8972" width="11.7109375" style="12" bestFit="1" customWidth="1"/>
    <col min="8973" max="8974" width="14.42578125" style="12" bestFit="1" customWidth="1"/>
    <col min="8975" max="8975" width="12.140625" style="12" bestFit="1" customWidth="1"/>
    <col min="8976" max="8976" width="14.85546875" style="12" bestFit="1" customWidth="1"/>
    <col min="8977" max="8977" width="18.28515625" style="12" bestFit="1" customWidth="1"/>
    <col min="8978" max="8978" width="14.42578125" style="12" bestFit="1" customWidth="1"/>
    <col min="8979" max="8980" width="14" style="12" bestFit="1" customWidth="1"/>
    <col min="8981" max="8981" width="11" style="12" bestFit="1" customWidth="1"/>
    <col min="8982" max="8982" width="14.42578125" style="12" bestFit="1" customWidth="1"/>
    <col min="8983" max="9221" width="9.140625" style="12"/>
    <col min="9222" max="9222" width="12.7109375" style="12" bestFit="1" customWidth="1"/>
    <col min="9223" max="9227" width="9.140625" style="12"/>
    <col min="9228" max="9228" width="11.7109375" style="12" bestFit="1" customWidth="1"/>
    <col min="9229" max="9230" width="14.42578125" style="12" bestFit="1" customWidth="1"/>
    <col min="9231" max="9231" width="12.140625" style="12" bestFit="1" customWidth="1"/>
    <col min="9232" max="9232" width="14.85546875" style="12" bestFit="1" customWidth="1"/>
    <col min="9233" max="9233" width="18.28515625" style="12" bestFit="1" customWidth="1"/>
    <col min="9234" max="9234" width="14.42578125" style="12" bestFit="1" customWidth="1"/>
    <col min="9235" max="9236" width="14" style="12" bestFit="1" customWidth="1"/>
    <col min="9237" max="9237" width="11" style="12" bestFit="1" customWidth="1"/>
    <col min="9238" max="9238" width="14.42578125" style="12" bestFit="1" customWidth="1"/>
    <col min="9239" max="9477" width="9.140625" style="12"/>
    <col min="9478" max="9478" width="12.7109375" style="12" bestFit="1" customWidth="1"/>
    <col min="9479" max="9483" width="9.140625" style="12"/>
    <col min="9484" max="9484" width="11.7109375" style="12" bestFit="1" customWidth="1"/>
    <col min="9485" max="9486" width="14.42578125" style="12" bestFit="1" customWidth="1"/>
    <col min="9487" max="9487" width="12.140625" style="12" bestFit="1" customWidth="1"/>
    <col min="9488" max="9488" width="14.85546875" style="12" bestFit="1" customWidth="1"/>
    <col min="9489" max="9489" width="18.28515625" style="12" bestFit="1" customWidth="1"/>
    <col min="9490" max="9490" width="14.42578125" style="12" bestFit="1" customWidth="1"/>
    <col min="9491" max="9492" width="14" style="12" bestFit="1" customWidth="1"/>
    <col min="9493" max="9493" width="11" style="12" bestFit="1" customWidth="1"/>
    <col min="9494" max="9494" width="14.42578125" style="12" bestFit="1" customWidth="1"/>
    <col min="9495" max="9733" width="9.140625" style="12"/>
    <col min="9734" max="9734" width="12.7109375" style="12" bestFit="1" customWidth="1"/>
    <col min="9735" max="9739" width="9.140625" style="12"/>
    <col min="9740" max="9740" width="11.7109375" style="12" bestFit="1" customWidth="1"/>
    <col min="9741" max="9742" width="14.42578125" style="12" bestFit="1" customWidth="1"/>
    <col min="9743" max="9743" width="12.140625" style="12" bestFit="1" customWidth="1"/>
    <col min="9744" max="9744" width="14.85546875" style="12" bestFit="1" customWidth="1"/>
    <col min="9745" max="9745" width="18.28515625" style="12" bestFit="1" customWidth="1"/>
    <col min="9746" max="9746" width="14.42578125" style="12" bestFit="1" customWidth="1"/>
    <col min="9747" max="9748" width="14" style="12" bestFit="1" customWidth="1"/>
    <col min="9749" max="9749" width="11" style="12" bestFit="1" customWidth="1"/>
    <col min="9750" max="9750" width="14.42578125" style="12" bestFit="1" customWidth="1"/>
    <col min="9751" max="9989" width="9.140625" style="12"/>
    <col min="9990" max="9990" width="12.7109375" style="12" bestFit="1" customWidth="1"/>
    <col min="9991" max="9995" width="9.140625" style="12"/>
    <col min="9996" max="9996" width="11.7109375" style="12" bestFit="1" customWidth="1"/>
    <col min="9997" max="9998" width="14.42578125" style="12" bestFit="1" customWidth="1"/>
    <col min="9999" max="9999" width="12.140625" style="12" bestFit="1" customWidth="1"/>
    <col min="10000" max="10000" width="14.85546875" style="12" bestFit="1" customWidth="1"/>
    <col min="10001" max="10001" width="18.28515625" style="12" bestFit="1" customWidth="1"/>
    <col min="10002" max="10002" width="14.42578125" style="12" bestFit="1" customWidth="1"/>
    <col min="10003" max="10004" width="14" style="12" bestFit="1" customWidth="1"/>
    <col min="10005" max="10005" width="11" style="12" bestFit="1" customWidth="1"/>
    <col min="10006" max="10006" width="14.42578125" style="12" bestFit="1" customWidth="1"/>
    <col min="10007" max="10245" width="9.140625" style="12"/>
    <col min="10246" max="10246" width="12.7109375" style="12" bestFit="1" customWidth="1"/>
    <col min="10247" max="10251" width="9.140625" style="12"/>
    <col min="10252" max="10252" width="11.7109375" style="12" bestFit="1" customWidth="1"/>
    <col min="10253" max="10254" width="14.42578125" style="12" bestFit="1" customWidth="1"/>
    <col min="10255" max="10255" width="12.140625" style="12" bestFit="1" customWidth="1"/>
    <col min="10256" max="10256" width="14.85546875" style="12" bestFit="1" customWidth="1"/>
    <col min="10257" max="10257" width="18.28515625" style="12" bestFit="1" customWidth="1"/>
    <col min="10258" max="10258" width="14.42578125" style="12" bestFit="1" customWidth="1"/>
    <col min="10259" max="10260" width="14" style="12" bestFit="1" customWidth="1"/>
    <col min="10261" max="10261" width="11" style="12" bestFit="1" customWidth="1"/>
    <col min="10262" max="10262" width="14.42578125" style="12" bestFit="1" customWidth="1"/>
    <col min="10263" max="10501" width="9.140625" style="12"/>
    <col min="10502" max="10502" width="12.7109375" style="12" bestFit="1" customWidth="1"/>
    <col min="10503" max="10507" width="9.140625" style="12"/>
    <col min="10508" max="10508" width="11.7109375" style="12" bestFit="1" customWidth="1"/>
    <col min="10509" max="10510" width="14.42578125" style="12" bestFit="1" customWidth="1"/>
    <col min="10511" max="10511" width="12.140625" style="12" bestFit="1" customWidth="1"/>
    <col min="10512" max="10512" width="14.85546875" style="12" bestFit="1" customWidth="1"/>
    <col min="10513" max="10513" width="18.28515625" style="12" bestFit="1" customWidth="1"/>
    <col min="10514" max="10514" width="14.42578125" style="12" bestFit="1" customWidth="1"/>
    <col min="10515" max="10516" width="14" style="12" bestFit="1" customWidth="1"/>
    <col min="10517" max="10517" width="11" style="12" bestFit="1" customWidth="1"/>
    <col min="10518" max="10518" width="14.42578125" style="12" bestFit="1" customWidth="1"/>
    <col min="10519" max="10757" width="9.140625" style="12"/>
    <col min="10758" max="10758" width="12.7109375" style="12" bestFit="1" customWidth="1"/>
    <col min="10759" max="10763" width="9.140625" style="12"/>
    <col min="10764" max="10764" width="11.7109375" style="12" bestFit="1" customWidth="1"/>
    <col min="10765" max="10766" width="14.42578125" style="12" bestFit="1" customWidth="1"/>
    <col min="10767" max="10767" width="12.140625" style="12" bestFit="1" customWidth="1"/>
    <col min="10768" max="10768" width="14.85546875" style="12" bestFit="1" customWidth="1"/>
    <col min="10769" max="10769" width="18.28515625" style="12" bestFit="1" customWidth="1"/>
    <col min="10770" max="10770" width="14.42578125" style="12" bestFit="1" customWidth="1"/>
    <col min="10771" max="10772" width="14" style="12" bestFit="1" customWidth="1"/>
    <col min="10773" max="10773" width="11" style="12" bestFit="1" customWidth="1"/>
    <col min="10774" max="10774" width="14.42578125" style="12" bestFit="1" customWidth="1"/>
    <col min="10775" max="11013" width="9.140625" style="12"/>
    <col min="11014" max="11014" width="12.7109375" style="12" bestFit="1" customWidth="1"/>
    <col min="11015" max="11019" width="9.140625" style="12"/>
    <col min="11020" max="11020" width="11.7109375" style="12" bestFit="1" customWidth="1"/>
    <col min="11021" max="11022" width="14.42578125" style="12" bestFit="1" customWidth="1"/>
    <col min="11023" max="11023" width="12.140625" style="12" bestFit="1" customWidth="1"/>
    <col min="11024" max="11024" width="14.85546875" style="12" bestFit="1" customWidth="1"/>
    <col min="11025" max="11025" width="18.28515625" style="12" bestFit="1" customWidth="1"/>
    <col min="11026" max="11026" width="14.42578125" style="12" bestFit="1" customWidth="1"/>
    <col min="11027" max="11028" width="14" style="12" bestFit="1" customWidth="1"/>
    <col min="11029" max="11029" width="11" style="12" bestFit="1" customWidth="1"/>
    <col min="11030" max="11030" width="14.42578125" style="12" bestFit="1" customWidth="1"/>
    <col min="11031" max="11269" width="9.140625" style="12"/>
    <col min="11270" max="11270" width="12.7109375" style="12" bestFit="1" customWidth="1"/>
    <col min="11271" max="11275" width="9.140625" style="12"/>
    <col min="11276" max="11276" width="11.7109375" style="12" bestFit="1" customWidth="1"/>
    <col min="11277" max="11278" width="14.42578125" style="12" bestFit="1" customWidth="1"/>
    <col min="11279" max="11279" width="12.140625" style="12" bestFit="1" customWidth="1"/>
    <col min="11280" max="11280" width="14.85546875" style="12" bestFit="1" customWidth="1"/>
    <col min="11281" max="11281" width="18.28515625" style="12" bestFit="1" customWidth="1"/>
    <col min="11282" max="11282" width="14.42578125" style="12" bestFit="1" customWidth="1"/>
    <col min="11283" max="11284" width="14" style="12" bestFit="1" customWidth="1"/>
    <col min="11285" max="11285" width="11" style="12" bestFit="1" customWidth="1"/>
    <col min="11286" max="11286" width="14.42578125" style="12" bestFit="1" customWidth="1"/>
    <col min="11287" max="11525" width="9.140625" style="12"/>
    <col min="11526" max="11526" width="12.7109375" style="12" bestFit="1" customWidth="1"/>
    <col min="11527" max="11531" width="9.140625" style="12"/>
    <col min="11532" max="11532" width="11.7109375" style="12" bestFit="1" customWidth="1"/>
    <col min="11533" max="11534" width="14.42578125" style="12" bestFit="1" customWidth="1"/>
    <col min="11535" max="11535" width="12.140625" style="12" bestFit="1" customWidth="1"/>
    <col min="11536" max="11536" width="14.85546875" style="12" bestFit="1" customWidth="1"/>
    <col min="11537" max="11537" width="18.28515625" style="12" bestFit="1" customWidth="1"/>
    <col min="11538" max="11538" width="14.42578125" style="12" bestFit="1" customWidth="1"/>
    <col min="11539" max="11540" width="14" style="12" bestFit="1" customWidth="1"/>
    <col min="11541" max="11541" width="11" style="12" bestFit="1" customWidth="1"/>
    <col min="11542" max="11542" width="14.42578125" style="12" bestFit="1" customWidth="1"/>
    <col min="11543" max="11781" width="9.140625" style="12"/>
    <col min="11782" max="11782" width="12.7109375" style="12" bestFit="1" customWidth="1"/>
    <col min="11783" max="11787" width="9.140625" style="12"/>
    <col min="11788" max="11788" width="11.7109375" style="12" bestFit="1" customWidth="1"/>
    <col min="11789" max="11790" width="14.42578125" style="12" bestFit="1" customWidth="1"/>
    <col min="11791" max="11791" width="12.140625" style="12" bestFit="1" customWidth="1"/>
    <col min="11792" max="11792" width="14.85546875" style="12" bestFit="1" customWidth="1"/>
    <col min="11793" max="11793" width="18.28515625" style="12" bestFit="1" customWidth="1"/>
    <col min="11794" max="11794" width="14.42578125" style="12" bestFit="1" customWidth="1"/>
    <col min="11795" max="11796" width="14" style="12" bestFit="1" customWidth="1"/>
    <col min="11797" max="11797" width="11" style="12" bestFit="1" customWidth="1"/>
    <col min="11798" max="11798" width="14.42578125" style="12" bestFit="1" customWidth="1"/>
    <col min="11799" max="12037" width="9.140625" style="12"/>
    <col min="12038" max="12038" width="12.7109375" style="12" bestFit="1" customWidth="1"/>
    <col min="12039" max="12043" width="9.140625" style="12"/>
    <col min="12044" max="12044" width="11.7109375" style="12" bestFit="1" customWidth="1"/>
    <col min="12045" max="12046" width="14.42578125" style="12" bestFit="1" customWidth="1"/>
    <col min="12047" max="12047" width="12.140625" style="12" bestFit="1" customWidth="1"/>
    <col min="12048" max="12048" width="14.85546875" style="12" bestFit="1" customWidth="1"/>
    <col min="12049" max="12049" width="18.28515625" style="12" bestFit="1" customWidth="1"/>
    <col min="12050" max="12050" width="14.42578125" style="12" bestFit="1" customWidth="1"/>
    <col min="12051" max="12052" width="14" style="12" bestFit="1" customWidth="1"/>
    <col min="12053" max="12053" width="11" style="12" bestFit="1" customWidth="1"/>
    <col min="12054" max="12054" width="14.42578125" style="12" bestFit="1" customWidth="1"/>
    <col min="12055" max="12293" width="9.140625" style="12"/>
    <col min="12294" max="12294" width="12.7109375" style="12" bestFit="1" customWidth="1"/>
    <col min="12295" max="12299" width="9.140625" style="12"/>
    <col min="12300" max="12300" width="11.7109375" style="12" bestFit="1" customWidth="1"/>
    <col min="12301" max="12302" width="14.42578125" style="12" bestFit="1" customWidth="1"/>
    <col min="12303" max="12303" width="12.140625" style="12" bestFit="1" customWidth="1"/>
    <col min="12304" max="12304" width="14.85546875" style="12" bestFit="1" customWidth="1"/>
    <col min="12305" max="12305" width="18.28515625" style="12" bestFit="1" customWidth="1"/>
    <col min="12306" max="12306" width="14.42578125" style="12" bestFit="1" customWidth="1"/>
    <col min="12307" max="12308" width="14" style="12" bestFit="1" customWidth="1"/>
    <col min="12309" max="12309" width="11" style="12" bestFit="1" customWidth="1"/>
    <col min="12310" max="12310" width="14.42578125" style="12" bestFit="1" customWidth="1"/>
    <col min="12311" max="12549" width="9.140625" style="12"/>
    <col min="12550" max="12550" width="12.7109375" style="12" bestFit="1" customWidth="1"/>
    <col min="12551" max="12555" width="9.140625" style="12"/>
    <col min="12556" max="12556" width="11.7109375" style="12" bestFit="1" customWidth="1"/>
    <col min="12557" max="12558" width="14.42578125" style="12" bestFit="1" customWidth="1"/>
    <col min="12559" max="12559" width="12.140625" style="12" bestFit="1" customWidth="1"/>
    <col min="12560" max="12560" width="14.85546875" style="12" bestFit="1" customWidth="1"/>
    <col min="12561" max="12561" width="18.28515625" style="12" bestFit="1" customWidth="1"/>
    <col min="12562" max="12562" width="14.42578125" style="12" bestFit="1" customWidth="1"/>
    <col min="12563" max="12564" width="14" style="12" bestFit="1" customWidth="1"/>
    <col min="12565" max="12565" width="11" style="12" bestFit="1" customWidth="1"/>
    <col min="12566" max="12566" width="14.42578125" style="12" bestFit="1" customWidth="1"/>
    <col min="12567" max="12805" width="9.140625" style="12"/>
    <col min="12806" max="12806" width="12.7109375" style="12" bestFit="1" customWidth="1"/>
    <col min="12807" max="12811" width="9.140625" style="12"/>
    <col min="12812" max="12812" width="11.7109375" style="12" bestFit="1" customWidth="1"/>
    <col min="12813" max="12814" width="14.42578125" style="12" bestFit="1" customWidth="1"/>
    <col min="12815" max="12815" width="12.140625" style="12" bestFit="1" customWidth="1"/>
    <col min="12816" max="12816" width="14.85546875" style="12" bestFit="1" customWidth="1"/>
    <col min="12817" max="12817" width="18.28515625" style="12" bestFit="1" customWidth="1"/>
    <col min="12818" max="12818" width="14.42578125" style="12" bestFit="1" customWidth="1"/>
    <col min="12819" max="12820" width="14" style="12" bestFit="1" customWidth="1"/>
    <col min="12821" max="12821" width="11" style="12" bestFit="1" customWidth="1"/>
    <col min="12822" max="12822" width="14.42578125" style="12" bestFit="1" customWidth="1"/>
    <col min="12823" max="13061" width="9.140625" style="12"/>
    <col min="13062" max="13062" width="12.7109375" style="12" bestFit="1" customWidth="1"/>
    <col min="13063" max="13067" width="9.140625" style="12"/>
    <col min="13068" max="13068" width="11.7109375" style="12" bestFit="1" customWidth="1"/>
    <col min="13069" max="13070" width="14.42578125" style="12" bestFit="1" customWidth="1"/>
    <col min="13071" max="13071" width="12.140625" style="12" bestFit="1" customWidth="1"/>
    <col min="13072" max="13072" width="14.85546875" style="12" bestFit="1" customWidth="1"/>
    <col min="13073" max="13073" width="18.28515625" style="12" bestFit="1" customWidth="1"/>
    <col min="13074" max="13074" width="14.42578125" style="12" bestFit="1" customWidth="1"/>
    <col min="13075" max="13076" width="14" style="12" bestFit="1" customWidth="1"/>
    <col min="13077" max="13077" width="11" style="12" bestFit="1" customWidth="1"/>
    <col min="13078" max="13078" width="14.42578125" style="12" bestFit="1" customWidth="1"/>
    <col min="13079" max="13317" width="9.140625" style="12"/>
    <col min="13318" max="13318" width="12.7109375" style="12" bestFit="1" customWidth="1"/>
    <col min="13319" max="13323" width="9.140625" style="12"/>
    <col min="13324" max="13324" width="11.7109375" style="12" bestFit="1" customWidth="1"/>
    <col min="13325" max="13326" width="14.42578125" style="12" bestFit="1" customWidth="1"/>
    <col min="13327" max="13327" width="12.140625" style="12" bestFit="1" customWidth="1"/>
    <col min="13328" max="13328" width="14.85546875" style="12" bestFit="1" customWidth="1"/>
    <col min="13329" max="13329" width="18.28515625" style="12" bestFit="1" customWidth="1"/>
    <col min="13330" max="13330" width="14.42578125" style="12" bestFit="1" customWidth="1"/>
    <col min="13331" max="13332" width="14" style="12" bestFit="1" customWidth="1"/>
    <col min="13333" max="13333" width="11" style="12" bestFit="1" customWidth="1"/>
    <col min="13334" max="13334" width="14.42578125" style="12" bestFit="1" customWidth="1"/>
    <col min="13335" max="13573" width="9.140625" style="12"/>
    <col min="13574" max="13574" width="12.7109375" style="12" bestFit="1" customWidth="1"/>
    <col min="13575" max="13579" width="9.140625" style="12"/>
    <col min="13580" max="13580" width="11.7109375" style="12" bestFit="1" customWidth="1"/>
    <col min="13581" max="13582" width="14.42578125" style="12" bestFit="1" customWidth="1"/>
    <col min="13583" max="13583" width="12.140625" style="12" bestFit="1" customWidth="1"/>
    <col min="13584" max="13584" width="14.85546875" style="12" bestFit="1" customWidth="1"/>
    <col min="13585" max="13585" width="18.28515625" style="12" bestFit="1" customWidth="1"/>
    <col min="13586" max="13586" width="14.42578125" style="12" bestFit="1" customWidth="1"/>
    <col min="13587" max="13588" width="14" style="12" bestFit="1" customWidth="1"/>
    <col min="13589" max="13589" width="11" style="12" bestFit="1" customWidth="1"/>
    <col min="13590" max="13590" width="14.42578125" style="12" bestFit="1" customWidth="1"/>
    <col min="13591" max="13829" width="9.140625" style="12"/>
    <col min="13830" max="13830" width="12.7109375" style="12" bestFit="1" customWidth="1"/>
    <col min="13831" max="13835" width="9.140625" style="12"/>
    <col min="13836" max="13836" width="11.7109375" style="12" bestFit="1" customWidth="1"/>
    <col min="13837" max="13838" width="14.42578125" style="12" bestFit="1" customWidth="1"/>
    <col min="13839" max="13839" width="12.140625" style="12" bestFit="1" customWidth="1"/>
    <col min="13840" max="13840" width="14.85546875" style="12" bestFit="1" customWidth="1"/>
    <col min="13841" max="13841" width="18.28515625" style="12" bestFit="1" customWidth="1"/>
    <col min="13842" max="13842" width="14.42578125" style="12" bestFit="1" customWidth="1"/>
    <col min="13843" max="13844" width="14" style="12" bestFit="1" customWidth="1"/>
    <col min="13845" max="13845" width="11" style="12" bestFit="1" customWidth="1"/>
    <col min="13846" max="13846" width="14.42578125" style="12" bestFit="1" customWidth="1"/>
    <col min="13847" max="14085" width="9.140625" style="12"/>
    <col min="14086" max="14086" width="12.7109375" style="12" bestFit="1" customWidth="1"/>
    <col min="14087" max="14091" width="9.140625" style="12"/>
    <col min="14092" max="14092" width="11.7109375" style="12" bestFit="1" customWidth="1"/>
    <col min="14093" max="14094" width="14.42578125" style="12" bestFit="1" customWidth="1"/>
    <col min="14095" max="14095" width="12.140625" style="12" bestFit="1" customWidth="1"/>
    <col min="14096" max="14096" width="14.85546875" style="12" bestFit="1" customWidth="1"/>
    <col min="14097" max="14097" width="18.28515625" style="12" bestFit="1" customWidth="1"/>
    <col min="14098" max="14098" width="14.42578125" style="12" bestFit="1" customWidth="1"/>
    <col min="14099" max="14100" width="14" style="12" bestFit="1" customWidth="1"/>
    <col min="14101" max="14101" width="11" style="12" bestFit="1" customWidth="1"/>
    <col min="14102" max="14102" width="14.42578125" style="12" bestFit="1" customWidth="1"/>
    <col min="14103" max="14341" width="9.140625" style="12"/>
    <col min="14342" max="14342" width="12.7109375" style="12" bestFit="1" customWidth="1"/>
    <col min="14343" max="14347" width="9.140625" style="12"/>
    <col min="14348" max="14348" width="11.7109375" style="12" bestFit="1" customWidth="1"/>
    <col min="14349" max="14350" width="14.42578125" style="12" bestFit="1" customWidth="1"/>
    <col min="14351" max="14351" width="12.140625" style="12" bestFit="1" customWidth="1"/>
    <col min="14352" max="14352" width="14.85546875" style="12" bestFit="1" customWidth="1"/>
    <col min="14353" max="14353" width="18.28515625" style="12" bestFit="1" customWidth="1"/>
    <col min="14354" max="14354" width="14.42578125" style="12" bestFit="1" customWidth="1"/>
    <col min="14355" max="14356" width="14" style="12" bestFit="1" customWidth="1"/>
    <col min="14357" max="14357" width="11" style="12" bestFit="1" customWidth="1"/>
    <col min="14358" max="14358" width="14.42578125" style="12" bestFit="1" customWidth="1"/>
    <col min="14359" max="14597" width="9.140625" style="12"/>
    <col min="14598" max="14598" width="12.7109375" style="12" bestFit="1" customWidth="1"/>
    <col min="14599" max="14603" width="9.140625" style="12"/>
    <col min="14604" max="14604" width="11.7109375" style="12" bestFit="1" customWidth="1"/>
    <col min="14605" max="14606" width="14.42578125" style="12" bestFit="1" customWidth="1"/>
    <col min="14607" max="14607" width="12.140625" style="12" bestFit="1" customWidth="1"/>
    <col min="14608" max="14608" width="14.85546875" style="12" bestFit="1" customWidth="1"/>
    <col min="14609" max="14609" width="18.28515625" style="12" bestFit="1" customWidth="1"/>
    <col min="14610" max="14610" width="14.42578125" style="12" bestFit="1" customWidth="1"/>
    <col min="14611" max="14612" width="14" style="12" bestFit="1" customWidth="1"/>
    <col min="14613" max="14613" width="11" style="12" bestFit="1" customWidth="1"/>
    <col min="14614" max="14614" width="14.42578125" style="12" bestFit="1" customWidth="1"/>
    <col min="14615" max="14853" width="9.140625" style="12"/>
    <col min="14854" max="14854" width="12.7109375" style="12" bestFit="1" customWidth="1"/>
    <col min="14855" max="14859" width="9.140625" style="12"/>
    <col min="14860" max="14860" width="11.7109375" style="12" bestFit="1" customWidth="1"/>
    <col min="14861" max="14862" width="14.42578125" style="12" bestFit="1" customWidth="1"/>
    <col min="14863" max="14863" width="12.140625" style="12" bestFit="1" customWidth="1"/>
    <col min="14864" max="14864" width="14.85546875" style="12" bestFit="1" customWidth="1"/>
    <col min="14865" max="14865" width="18.28515625" style="12" bestFit="1" customWidth="1"/>
    <col min="14866" max="14866" width="14.42578125" style="12" bestFit="1" customWidth="1"/>
    <col min="14867" max="14868" width="14" style="12" bestFit="1" customWidth="1"/>
    <col min="14869" max="14869" width="11" style="12" bestFit="1" customWidth="1"/>
    <col min="14870" max="14870" width="14.42578125" style="12" bestFit="1" customWidth="1"/>
    <col min="14871" max="15109" width="9.140625" style="12"/>
    <col min="15110" max="15110" width="12.7109375" style="12" bestFit="1" customWidth="1"/>
    <col min="15111" max="15115" width="9.140625" style="12"/>
    <col min="15116" max="15116" width="11.7109375" style="12" bestFit="1" customWidth="1"/>
    <col min="15117" max="15118" width="14.42578125" style="12" bestFit="1" customWidth="1"/>
    <col min="15119" max="15119" width="12.140625" style="12" bestFit="1" customWidth="1"/>
    <col min="15120" max="15120" width="14.85546875" style="12" bestFit="1" customWidth="1"/>
    <col min="15121" max="15121" width="18.28515625" style="12" bestFit="1" customWidth="1"/>
    <col min="15122" max="15122" width="14.42578125" style="12" bestFit="1" customWidth="1"/>
    <col min="15123" max="15124" width="14" style="12" bestFit="1" customWidth="1"/>
    <col min="15125" max="15125" width="11" style="12" bestFit="1" customWidth="1"/>
    <col min="15126" max="15126" width="14.42578125" style="12" bestFit="1" customWidth="1"/>
    <col min="15127" max="15365" width="9.140625" style="12"/>
    <col min="15366" max="15366" width="12.7109375" style="12" bestFit="1" customWidth="1"/>
    <col min="15367" max="15371" width="9.140625" style="12"/>
    <col min="15372" max="15372" width="11.7109375" style="12" bestFit="1" customWidth="1"/>
    <col min="15373" max="15374" width="14.42578125" style="12" bestFit="1" customWidth="1"/>
    <col min="15375" max="15375" width="12.140625" style="12" bestFit="1" customWidth="1"/>
    <col min="15376" max="15376" width="14.85546875" style="12" bestFit="1" customWidth="1"/>
    <col min="15377" max="15377" width="18.28515625" style="12" bestFit="1" customWidth="1"/>
    <col min="15378" max="15378" width="14.42578125" style="12" bestFit="1" customWidth="1"/>
    <col min="15379" max="15380" width="14" style="12" bestFit="1" customWidth="1"/>
    <col min="15381" max="15381" width="11" style="12" bestFit="1" customWidth="1"/>
    <col min="15382" max="15382" width="14.42578125" style="12" bestFit="1" customWidth="1"/>
    <col min="15383" max="15621" width="9.140625" style="12"/>
    <col min="15622" max="15622" width="12.7109375" style="12" bestFit="1" customWidth="1"/>
    <col min="15623" max="15627" width="9.140625" style="12"/>
    <col min="15628" max="15628" width="11.7109375" style="12" bestFit="1" customWidth="1"/>
    <col min="15629" max="15630" width="14.42578125" style="12" bestFit="1" customWidth="1"/>
    <col min="15631" max="15631" width="12.140625" style="12" bestFit="1" customWidth="1"/>
    <col min="15632" max="15632" width="14.85546875" style="12" bestFit="1" customWidth="1"/>
    <col min="15633" max="15633" width="18.28515625" style="12" bestFit="1" customWidth="1"/>
    <col min="15634" max="15634" width="14.42578125" style="12" bestFit="1" customWidth="1"/>
    <col min="15635" max="15636" width="14" style="12" bestFit="1" customWidth="1"/>
    <col min="15637" max="15637" width="11" style="12" bestFit="1" customWidth="1"/>
    <col min="15638" max="15638" width="14.42578125" style="12" bestFit="1" customWidth="1"/>
    <col min="15639" max="15877" width="9.140625" style="12"/>
    <col min="15878" max="15878" width="12.7109375" style="12" bestFit="1" customWidth="1"/>
    <col min="15879" max="15883" width="9.140625" style="12"/>
    <col min="15884" max="15884" width="11.7109375" style="12" bestFit="1" customWidth="1"/>
    <col min="15885" max="15886" width="14.42578125" style="12" bestFit="1" customWidth="1"/>
    <col min="15887" max="15887" width="12.140625" style="12" bestFit="1" customWidth="1"/>
    <col min="15888" max="15888" width="14.85546875" style="12" bestFit="1" customWidth="1"/>
    <col min="15889" max="15889" width="18.28515625" style="12" bestFit="1" customWidth="1"/>
    <col min="15890" max="15890" width="14.42578125" style="12" bestFit="1" customWidth="1"/>
    <col min="15891" max="15892" width="14" style="12" bestFit="1" customWidth="1"/>
    <col min="15893" max="15893" width="11" style="12" bestFit="1" customWidth="1"/>
    <col min="15894" max="15894" width="14.42578125" style="12" bestFit="1" customWidth="1"/>
    <col min="15895" max="16133" width="9.140625" style="12"/>
    <col min="16134" max="16134" width="12.7109375" style="12" bestFit="1" customWidth="1"/>
    <col min="16135" max="16139" width="9.140625" style="12"/>
    <col min="16140" max="16140" width="11.7109375" style="12" bestFit="1" customWidth="1"/>
    <col min="16141" max="16142" width="14.42578125" style="12" bestFit="1" customWidth="1"/>
    <col min="16143" max="16143" width="12.140625" style="12" bestFit="1" customWidth="1"/>
    <col min="16144" max="16144" width="14.85546875" style="12" bestFit="1" customWidth="1"/>
    <col min="16145" max="16145" width="18.28515625" style="12" bestFit="1" customWidth="1"/>
    <col min="16146" max="16146" width="14.42578125" style="12" bestFit="1" customWidth="1"/>
    <col min="16147" max="16148" width="14" style="12" bestFit="1" customWidth="1"/>
    <col min="16149" max="16149" width="11" style="12" bestFit="1" customWidth="1"/>
    <col min="16150" max="16150" width="14.42578125" style="12" bestFit="1" customWidth="1"/>
    <col min="16151" max="16384" width="9.140625" style="12"/>
  </cols>
  <sheetData>
    <row r="3" spans="2:20" ht="15.75" x14ac:dyDescent="0.25">
      <c r="D3" s="13" t="s">
        <v>15</v>
      </c>
    </row>
    <row r="4" spans="2:20" ht="15.75" x14ac:dyDescent="0.25">
      <c r="B4" s="12" t="str">
        <f>CONCATENATE("Reel ",I7)</f>
        <v>Reel 1</v>
      </c>
      <c r="C4" s="12" t="str">
        <f>CONCATENATE("Reel ",I8)</f>
        <v>Reel 2</v>
      </c>
      <c r="D4" s="12" t="str">
        <f>CONCATENATE("Reel ",I9)</f>
        <v>Reel 3</v>
      </c>
      <c r="E4" s="12" t="str">
        <f>CONCATENATE("Reel ",I10)</f>
        <v>Reel 4</v>
      </c>
      <c r="F4" s="12" t="str">
        <f>CONCATENATE("Reel ",I11)</f>
        <v>Reel 5</v>
      </c>
      <c r="J4" s="13" t="s">
        <v>9</v>
      </c>
      <c r="R4" s="14" t="s">
        <v>16</v>
      </c>
    </row>
    <row r="5" spans="2:20" x14ac:dyDescent="0.2">
      <c r="B5" s="29">
        <v>0</v>
      </c>
      <c r="C5" s="29">
        <v>0</v>
      </c>
      <c r="D5" s="29">
        <v>0</v>
      </c>
      <c r="E5" s="29">
        <v>0</v>
      </c>
      <c r="F5" s="29">
        <v>0</v>
      </c>
      <c r="J5" s="12">
        <v>5</v>
      </c>
      <c r="L5" s="16" t="s">
        <v>10</v>
      </c>
      <c r="M5" s="2">
        <f>'Reels From Source (2)'!A1</f>
        <v>0</v>
      </c>
      <c r="N5" s="2">
        <f>'Reels From Source (2)'!B1</f>
        <v>0</v>
      </c>
      <c r="O5" s="2">
        <f>'Reels From Source (2)'!C1</f>
        <v>0</v>
      </c>
      <c r="P5" s="2">
        <f>'Reels From Source (2)'!D1</f>
        <v>0</v>
      </c>
      <c r="Q5" s="2">
        <f>'Reels From Source (2)'!E1</f>
        <v>0</v>
      </c>
      <c r="R5" s="2">
        <f>'Reels From Source (2)'!F1</f>
        <v>0</v>
      </c>
      <c r="S5"/>
      <c r="T5"/>
    </row>
    <row r="6" spans="2:20" ht="15.75" x14ac:dyDescent="0.25">
      <c r="B6" s="29">
        <v>0</v>
      </c>
      <c r="C6" s="29">
        <v>0</v>
      </c>
      <c r="D6" s="29">
        <v>0</v>
      </c>
      <c r="E6" s="29">
        <v>0</v>
      </c>
      <c r="F6" s="29">
        <v>0</v>
      </c>
      <c r="H6" s="143" t="s">
        <v>31</v>
      </c>
      <c r="I6" s="143"/>
      <c r="J6" s="143"/>
      <c r="M6" s="2">
        <f>'Reels From Source (2)'!A2</f>
        <v>0</v>
      </c>
      <c r="N6" s="2">
        <f>'Reels From Source (2)'!B2</f>
        <v>0</v>
      </c>
      <c r="O6" s="2">
        <f>'Reels From Source (2)'!C2</f>
        <v>0</v>
      </c>
      <c r="P6" s="2">
        <f>'Reels From Source (2)'!D2</f>
        <v>0</v>
      </c>
      <c r="Q6" s="2">
        <f>'Reels From Source (2)'!E2</f>
        <v>0</v>
      </c>
      <c r="R6" s="2">
        <f>'Reels From Source (2)'!F2</f>
        <v>0</v>
      </c>
      <c r="S6"/>
      <c r="T6"/>
    </row>
    <row r="7" spans="2:20" x14ac:dyDescent="0.2">
      <c r="B7" s="29">
        <v>0</v>
      </c>
      <c r="C7" s="29">
        <v>0</v>
      </c>
      <c r="D7" s="29">
        <v>0</v>
      </c>
      <c r="E7" s="29">
        <v>0</v>
      </c>
      <c r="F7" s="29">
        <v>0</v>
      </c>
      <c r="I7" s="15">
        <v>1</v>
      </c>
      <c r="M7" s="2">
        <f>'Reels From Source (2)'!A3</f>
        <v>0</v>
      </c>
      <c r="N7" s="2">
        <f>'Reels From Source (2)'!B3</f>
        <v>0</v>
      </c>
      <c r="O7" s="2">
        <f>'Reels From Source (2)'!C3</f>
        <v>0</v>
      </c>
      <c r="P7" s="2">
        <f>'Reels From Source (2)'!D3</f>
        <v>0</v>
      </c>
      <c r="Q7" s="2">
        <f>'Reels From Source (2)'!E3</f>
        <v>0</v>
      </c>
      <c r="R7" s="2">
        <f>'Reels From Source (2)'!F3</f>
        <v>0</v>
      </c>
      <c r="S7"/>
      <c r="T7"/>
    </row>
    <row r="8" spans="2:20" x14ac:dyDescent="0.2">
      <c r="B8" s="29">
        <v>0</v>
      </c>
      <c r="C8" s="29">
        <v>0</v>
      </c>
      <c r="D8" s="29">
        <v>0</v>
      </c>
      <c r="E8" s="29">
        <v>0</v>
      </c>
      <c r="F8" s="29">
        <v>0</v>
      </c>
      <c r="I8" s="15">
        <v>2</v>
      </c>
      <c r="M8" s="2">
        <f>'Reels From Source (2)'!A4</f>
        <v>0</v>
      </c>
      <c r="N8" s="2">
        <f>'Reels From Source (2)'!B4</f>
        <v>0</v>
      </c>
      <c r="O8" s="2">
        <f>'Reels From Source (2)'!C4</f>
        <v>0</v>
      </c>
      <c r="P8" s="2">
        <f>'Reels From Source (2)'!D4</f>
        <v>0</v>
      </c>
      <c r="Q8" s="2">
        <f>'Reels From Source (2)'!E4</f>
        <v>0</v>
      </c>
      <c r="R8" s="2">
        <f>'Reels From Source (2)'!F4</f>
        <v>0</v>
      </c>
      <c r="S8"/>
      <c r="T8"/>
    </row>
    <row r="9" spans="2:20" x14ac:dyDescent="0.2">
      <c r="B9" s="29">
        <v>0</v>
      </c>
      <c r="C9" s="29">
        <v>0</v>
      </c>
      <c r="D9" s="29">
        <v>0</v>
      </c>
      <c r="E9" s="29">
        <v>0</v>
      </c>
      <c r="F9" s="29">
        <v>0</v>
      </c>
      <c r="I9" s="15">
        <v>3</v>
      </c>
      <c r="M9" s="2">
        <f>'Reels From Source (2)'!A5</f>
        <v>0</v>
      </c>
      <c r="N9" s="2">
        <f>'Reels From Source (2)'!B5</f>
        <v>0</v>
      </c>
      <c r="O9" s="2">
        <f>'Reels From Source (2)'!C5</f>
        <v>0</v>
      </c>
      <c r="P9" s="2">
        <f>'Reels From Source (2)'!D5</f>
        <v>0</v>
      </c>
      <c r="Q9" s="2">
        <f>'Reels From Source (2)'!E5</f>
        <v>0</v>
      </c>
      <c r="R9" s="2">
        <f>'Reels From Source (2)'!F5</f>
        <v>0</v>
      </c>
      <c r="S9"/>
      <c r="T9"/>
    </row>
    <row r="10" spans="2:20" x14ac:dyDescent="0.2">
      <c r="B10" s="29">
        <v>0</v>
      </c>
      <c r="C10" s="29">
        <v>0</v>
      </c>
      <c r="D10" s="29">
        <v>0</v>
      </c>
      <c r="E10" s="29">
        <v>0</v>
      </c>
      <c r="F10" s="29">
        <v>0</v>
      </c>
      <c r="I10" s="15">
        <v>4</v>
      </c>
      <c r="M10" s="2">
        <f>'Reels From Source (2)'!A6</f>
        <v>0</v>
      </c>
      <c r="N10" s="2">
        <f>'Reels From Source (2)'!B6</f>
        <v>0</v>
      </c>
      <c r="O10" s="2">
        <f>'Reels From Source (2)'!C6</f>
        <v>0</v>
      </c>
      <c r="P10" s="2">
        <f>'Reels From Source (2)'!D6</f>
        <v>0</v>
      </c>
      <c r="Q10" s="2">
        <f>'Reels From Source (2)'!E6</f>
        <v>0</v>
      </c>
      <c r="R10" s="2">
        <f>'Reels From Source (2)'!F6</f>
        <v>0</v>
      </c>
      <c r="S10"/>
      <c r="T10"/>
    </row>
    <row r="11" spans="2:20" x14ac:dyDescent="0.2">
      <c r="B11" s="29">
        <v>0</v>
      </c>
      <c r="C11" s="29">
        <v>0</v>
      </c>
      <c r="D11" s="29">
        <v>0</v>
      </c>
      <c r="E11" s="29">
        <v>0</v>
      </c>
      <c r="F11" s="29">
        <v>0</v>
      </c>
      <c r="I11" s="15">
        <v>5</v>
      </c>
      <c r="M11" s="2">
        <f>'Reels From Source (2)'!A7</f>
        <v>0</v>
      </c>
      <c r="N11" s="2">
        <f>'Reels From Source (2)'!B7</f>
        <v>0</v>
      </c>
      <c r="O11" s="2">
        <f>'Reels From Source (2)'!C7</f>
        <v>0</v>
      </c>
      <c r="P11" s="2">
        <f>'Reels From Source (2)'!D7</f>
        <v>0</v>
      </c>
      <c r="Q11" s="2">
        <f>'Reels From Source (2)'!E7</f>
        <v>0</v>
      </c>
      <c r="R11" s="2">
        <f>'Reels From Source (2)'!F7</f>
        <v>0</v>
      </c>
      <c r="S11"/>
      <c r="T11"/>
    </row>
    <row r="12" spans="2:20" x14ac:dyDescent="0.2">
      <c r="B12" s="29">
        <v>0</v>
      </c>
      <c r="C12" s="29">
        <v>0</v>
      </c>
      <c r="D12" s="29">
        <v>0</v>
      </c>
      <c r="E12" s="29">
        <v>0</v>
      </c>
      <c r="F12" s="29">
        <v>0</v>
      </c>
      <c r="M12" s="2">
        <f>'Reels From Source (2)'!A8</f>
        <v>0</v>
      </c>
      <c r="N12" s="2">
        <f>'Reels From Source (2)'!B8</f>
        <v>0</v>
      </c>
      <c r="O12" s="2">
        <f>'Reels From Source (2)'!C8</f>
        <v>0</v>
      </c>
      <c r="P12" s="2">
        <f>'Reels From Source (2)'!D8</f>
        <v>0</v>
      </c>
      <c r="Q12" s="2">
        <f>'Reels From Source (2)'!E8</f>
        <v>0</v>
      </c>
      <c r="R12" s="2">
        <f>'Reels From Source (2)'!F8</f>
        <v>0</v>
      </c>
      <c r="S12"/>
      <c r="T12"/>
    </row>
    <row r="13" spans="2:20" x14ac:dyDescent="0.2">
      <c r="B13" s="29">
        <v>0</v>
      </c>
      <c r="C13" s="29">
        <v>0</v>
      </c>
      <c r="D13" s="29">
        <v>0</v>
      </c>
      <c r="E13" s="29">
        <v>0</v>
      </c>
      <c r="F13" s="29">
        <v>0</v>
      </c>
      <c r="M13" s="2">
        <f>'Reels From Source (2)'!A9</f>
        <v>0</v>
      </c>
      <c r="N13" s="2">
        <f>'Reels From Source (2)'!B9</f>
        <v>0</v>
      </c>
      <c r="O13" s="2">
        <f>'Reels From Source (2)'!C9</f>
        <v>0</v>
      </c>
      <c r="P13" s="2">
        <f>'Reels From Source (2)'!D9</f>
        <v>0</v>
      </c>
      <c r="Q13" s="2">
        <f>'Reels From Source (2)'!E9</f>
        <v>0</v>
      </c>
      <c r="R13" s="2">
        <f>'Reels From Source (2)'!F9</f>
        <v>0</v>
      </c>
      <c r="S13"/>
      <c r="T13"/>
    </row>
    <row r="14" spans="2:20" x14ac:dyDescent="0.2">
      <c r="B14" s="29">
        <v>0</v>
      </c>
      <c r="C14" s="29">
        <v>0</v>
      </c>
      <c r="D14" s="29">
        <v>0</v>
      </c>
      <c r="E14" s="29">
        <v>0</v>
      </c>
      <c r="F14" s="29">
        <v>0</v>
      </c>
      <c r="M14" s="2">
        <f>'Reels From Source (2)'!A10</f>
        <v>0</v>
      </c>
      <c r="N14" s="2">
        <f>'Reels From Source (2)'!B10</f>
        <v>0</v>
      </c>
      <c r="O14" s="2">
        <f>'Reels From Source (2)'!C10</f>
        <v>0</v>
      </c>
      <c r="P14" s="2">
        <f>'Reels From Source (2)'!D10</f>
        <v>0</v>
      </c>
      <c r="Q14" s="2">
        <f>'Reels From Source (2)'!E10</f>
        <v>0</v>
      </c>
      <c r="R14" s="2">
        <f>'Reels From Source (2)'!F10</f>
        <v>0</v>
      </c>
      <c r="S14"/>
      <c r="T14"/>
    </row>
    <row r="15" spans="2:20" x14ac:dyDescent="0.2">
      <c r="B15" s="29">
        <v>0</v>
      </c>
      <c r="C15" s="29">
        <v>0</v>
      </c>
      <c r="D15" s="29">
        <v>0</v>
      </c>
      <c r="E15" s="29">
        <v>0</v>
      </c>
      <c r="F15" s="29">
        <v>0</v>
      </c>
      <c r="M15" s="2">
        <f>'Reels From Source (2)'!A11</f>
        <v>0</v>
      </c>
      <c r="N15" s="2">
        <f>'Reels From Source (2)'!B11</f>
        <v>0</v>
      </c>
      <c r="O15" s="2">
        <f>'Reels From Source (2)'!C11</f>
        <v>0</v>
      </c>
      <c r="P15" s="2">
        <f>'Reels From Source (2)'!D11</f>
        <v>0</v>
      </c>
      <c r="Q15" s="2">
        <f>'Reels From Source (2)'!E11</f>
        <v>0</v>
      </c>
      <c r="R15" s="2">
        <f>'Reels From Source (2)'!F11</f>
        <v>0</v>
      </c>
      <c r="S15"/>
      <c r="T15"/>
    </row>
    <row r="16" spans="2:20" x14ac:dyDescent="0.2">
      <c r="B16" s="29">
        <v>0</v>
      </c>
      <c r="C16" s="29">
        <v>0</v>
      </c>
      <c r="D16" s="29">
        <v>0</v>
      </c>
      <c r="E16" s="29">
        <v>0</v>
      </c>
      <c r="F16" s="29">
        <v>0</v>
      </c>
      <c r="H16" s="30"/>
      <c r="M16" s="2">
        <f>'Reels From Source (2)'!A12</f>
        <v>0</v>
      </c>
      <c r="N16" s="2">
        <f>'Reels From Source (2)'!B12</f>
        <v>0</v>
      </c>
      <c r="O16" s="2">
        <f>'Reels From Source (2)'!C12</f>
        <v>0</v>
      </c>
      <c r="P16" s="2">
        <f>'Reels From Source (2)'!D12</f>
        <v>0</v>
      </c>
      <c r="Q16" s="2">
        <f>'Reels From Source (2)'!E12</f>
        <v>0</v>
      </c>
      <c r="R16" s="2">
        <f>'Reels From Source (2)'!F12</f>
        <v>0</v>
      </c>
      <c r="S16"/>
      <c r="T16"/>
    </row>
    <row r="17" spans="2:20" x14ac:dyDescent="0.2">
      <c r="B17" s="29">
        <v>0</v>
      </c>
      <c r="C17" s="29">
        <v>0</v>
      </c>
      <c r="D17" s="29">
        <v>0</v>
      </c>
      <c r="E17" s="29">
        <v>0</v>
      </c>
      <c r="F17" s="29">
        <v>0</v>
      </c>
      <c r="H17" s="31"/>
      <c r="M17" s="2">
        <f>'Reels From Source (2)'!A13</f>
        <v>0</v>
      </c>
      <c r="N17" s="2">
        <f>'Reels From Source (2)'!B13</f>
        <v>0</v>
      </c>
      <c r="O17" s="2">
        <f>'Reels From Source (2)'!C13</f>
        <v>0</v>
      </c>
      <c r="P17" s="2">
        <f>'Reels From Source (2)'!D13</f>
        <v>0</v>
      </c>
      <c r="Q17" s="2">
        <f>'Reels From Source (2)'!E13</f>
        <v>0</v>
      </c>
      <c r="R17" s="2">
        <f>'Reels From Source (2)'!F13</f>
        <v>0</v>
      </c>
      <c r="S17"/>
      <c r="T17"/>
    </row>
    <row r="18" spans="2:20" x14ac:dyDescent="0.2">
      <c r="B18" s="29">
        <v>0</v>
      </c>
      <c r="C18" s="29">
        <v>0</v>
      </c>
      <c r="D18" s="29">
        <v>0</v>
      </c>
      <c r="E18" s="29">
        <v>0</v>
      </c>
      <c r="F18" s="29">
        <v>0</v>
      </c>
      <c r="H18" s="31"/>
      <c r="M18" s="2">
        <f>'Reels From Source (2)'!A14</f>
        <v>0</v>
      </c>
      <c r="N18" s="2">
        <f>'Reels From Source (2)'!B14</f>
        <v>0</v>
      </c>
      <c r="O18" s="2">
        <f>'Reels From Source (2)'!C14</f>
        <v>0</v>
      </c>
      <c r="P18" s="2">
        <f>'Reels From Source (2)'!D14</f>
        <v>0</v>
      </c>
      <c r="Q18" s="2">
        <f>'Reels From Source (2)'!E14</f>
        <v>0</v>
      </c>
      <c r="R18" s="2">
        <f>'Reels From Source (2)'!F14</f>
        <v>0</v>
      </c>
      <c r="S18"/>
      <c r="T18"/>
    </row>
    <row r="19" spans="2:20" x14ac:dyDescent="0.2">
      <c r="B19" s="29">
        <v>0</v>
      </c>
      <c r="C19" s="29">
        <v>0</v>
      </c>
      <c r="D19" s="29">
        <v>0</v>
      </c>
      <c r="E19" s="29">
        <v>0</v>
      </c>
      <c r="F19" s="29">
        <v>0</v>
      </c>
      <c r="M19" s="2">
        <f>'Reels From Source (2)'!A15</f>
        <v>0</v>
      </c>
      <c r="N19" s="2">
        <f>'Reels From Source (2)'!B15</f>
        <v>0</v>
      </c>
      <c r="O19" s="2">
        <f>'Reels From Source (2)'!C15</f>
        <v>0</v>
      </c>
      <c r="P19" s="2">
        <f>'Reels From Source (2)'!D15</f>
        <v>0</v>
      </c>
      <c r="Q19" s="2">
        <f>'Reels From Source (2)'!E15</f>
        <v>0</v>
      </c>
      <c r="R19" s="2">
        <f>'Reels From Source (2)'!F15</f>
        <v>0</v>
      </c>
      <c r="S19"/>
      <c r="T19"/>
    </row>
    <row r="20" spans="2:20" x14ac:dyDescent="0.2">
      <c r="B20" s="29">
        <v>0</v>
      </c>
      <c r="C20" s="29">
        <v>0</v>
      </c>
      <c r="D20" s="29">
        <v>0</v>
      </c>
      <c r="E20" s="29">
        <v>0</v>
      </c>
      <c r="F20" s="29">
        <v>0</v>
      </c>
      <c r="M20" s="2">
        <f>'Reels From Source (2)'!A16</f>
        <v>0</v>
      </c>
      <c r="N20" s="2">
        <f>'Reels From Source (2)'!B16</f>
        <v>0</v>
      </c>
      <c r="O20" s="2">
        <f>'Reels From Source (2)'!C16</f>
        <v>0</v>
      </c>
      <c r="P20" s="2">
        <f>'Reels From Source (2)'!D16</f>
        <v>0</v>
      </c>
      <c r="Q20" s="2">
        <f>'Reels From Source (2)'!E16</f>
        <v>0</v>
      </c>
      <c r="R20" s="2">
        <f>'Reels From Source (2)'!F16</f>
        <v>0</v>
      </c>
      <c r="S20"/>
      <c r="T20"/>
    </row>
    <row r="21" spans="2:20" x14ac:dyDescent="0.2">
      <c r="B21" s="29">
        <v>0</v>
      </c>
      <c r="C21" s="29">
        <v>0</v>
      </c>
      <c r="D21" s="29">
        <v>0</v>
      </c>
      <c r="E21" s="29">
        <v>0</v>
      </c>
      <c r="F21" s="29">
        <v>0</v>
      </c>
      <c r="M21" s="2">
        <f>'Reels From Source (2)'!A17</f>
        <v>0</v>
      </c>
      <c r="N21" s="2">
        <f>'Reels From Source (2)'!B17</f>
        <v>0</v>
      </c>
      <c r="O21" s="2">
        <f>'Reels From Source (2)'!C17</f>
        <v>0</v>
      </c>
      <c r="P21" s="2">
        <f>'Reels From Source (2)'!D17</f>
        <v>0</v>
      </c>
      <c r="Q21" s="2">
        <f>'Reels From Source (2)'!E17</f>
        <v>0</v>
      </c>
      <c r="R21" s="2">
        <f>'Reels From Source (2)'!F17</f>
        <v>0</v>
      </c>
      <c r="S21"/>
      <c r="T21"/>
    </row>
    <row r="22" spans="2:20" x14ac:dyDescent="0.2">
      <c r="B22" s="29">
        <v>0</v>
      </c>
      <c r="C22" s="29">
        <v>0</v>
      </c>
      <c r="D22" s="29">
        <v>0</v>
      </c>
      <c r="E22" s="29">
        <v>0</v>
      </c>
      <c r="F22" s="29">
        <v>0</v>
      </c>
      <c r="M22" s="2">
        <f>'Reels From Source (2)'!A18</f>
        <v>0</v>
      </c>
      <c r="N22" s="2">
        <f>'Reels From Source (2)'!B18</f>
        <v>0</v>
      </c>
      <c r="O22" s="2">
        <f>'Reels From Source (2)'!C18</f>
        <v>0</v>
      </c>
      <c r="P22" s="2">
        <f>'Reels From Source (2)'!D18</f>
        <v>0</v>
      </c>
      <c r="Q22" s="2">
        <f>'Reels From Source (2)'!E18</f>
        <v>0</v>
      </c>
      <c r="R22" s="2">
        <f>'Reels From Source (2)'!F18</f>
        <v>0</v>
      </c>
      <c r="S22"/>
      <c r="T22"/>
    </row>
    <row r="23" spans="2:20" x14ac:dyDescent="0.2">
      <c r="B23" s="29">
        <v>0</v>
      </c>
      <c r="C23" s="29">
        <v>0</v>
      </c>
      <c r="D23" s="29">
        <v>0</v>
      </c>
      <c r="E23" s="29">
        <v>0</v>
      </c>
      <c r="F23" s="29">
        <v>0</v>
      </c>
      <c r="M23" s="2">
        <f>'Reels From Source (2)'!A19</f>
        <v>0</v>
      </c>
      <c r="N23" s="2">
        <f>'Reels From Source (2)'!B19</f>
        <v>0</v>
      </c>
      <c r="O23" s="2">
        <f>'Reels From Source (2)'!C19</f>
        <v>0</v>
      </c>
      <c r="P23" s="2">
        <f>'Reels From Source (2)'!D19</f>
        <v>0</v>
      </c>
      <c r="Q23" s="2">
        <f>'Reels From Source (2)'!E19</f>
        <v>0</v>
      </c>
      <c r="R23" s="2">
        <f>'Reels From Source (2)'!F19</f>
        <v>0</v>
      </c>
      <c r="S23"/>
      <c r="T23"/>
    </row>
    <row r="24" spans="2:20" x14ac:dyDescent="0.2">
      <c r="B24" s="29">
        <v>0</v>
      </c>
      <c r="C24" s="29">
        <v>0</v>
      </c>
      <c r="D24" s="29">
        <v>0</v>
      </c>
      <c r="E24" s="29">
        <v>0</v>
      </c>
      <c r="F24" s="29">
        <v>0</v>
      </c>
      <c r="M24" s="2">
        <f>'Reels From Source (2)'!A20</f>
        <v>0</v>
      </c>
      <c r="N24" s="2">
        <f>'Reels From Source (2)'!B20</f>
        <v>0</v>
      </c>
      <c r="O24" s="2">
        <f>'Reels From Source (2)'!C20</f>
        <v>0</v>
      </c>
      <c r="P24" s="2">
        <f>'Reels From Source (2)'!D20</f>
        <v>0</v>
      </c>
      <c r="Q24" s="2">
        <f>'Reels From Source (2)'!E20</f>
        <v>0</v>
      </c>
      <c r="R24" s="2">
        <f>'Reels From Source (2)'!F20</f>
        <v>0</v>
      </c>
      <c r="S24"/>
      <c r="T24"/>
    </row>
    <row r="25" spans="2:20" x14ac:dyDescent="0.2">
      <c r="B25" s="29">
        <v>0</v>
      </c>
      <c r="C25" s="29">
        <v>0</v>
      </c>
      <c r="D25" s="29">
        <v>0</v>
      </c>
      <c r="E25" s="29">
        <v>0</v>
      </c>
      <c r="F25" s="29">
        <v>0</v>
      </c>
      <c r="M25" s="2">
        <f>'Reels From Source (2)'!A21</f>
        <v>0</v>
      </c>
      <c r="N25" s="2">
        <f>'Reels From Source (2)'!B21</f>
        <v>0</v>
      </c>
      <c r="O25" s="2">
        <f>'Reels From Source (2)'!C21</f>
        <v>0</v>
      </c>
      <c r="P25" s="2">
        <f>'Reels From Source (2)'!D21</f>
        <v>0</v>
      </c>
      <c r="Q25" s="2">
        <f>'Reels From Source (2)'!E21</f>
        <v>0</v>
      </c>
      <c r="R25" s="2">
        <f>'Reels From Source (2)'!F21</f>
        <v>0</v>
      </c>
      <c r="S25"/>
      <c r="T25"/>
    </row>
    <row r="26" spans="2:20" x14ac:dyDescent="0.2">
      <c r="B26" s="29">
        <v>0</v>
      </c>
      <c r="C26" s="29">
        <v>0</v>
      </c>
      <c r="D26" s="29">
        <v>0</v>
      </c>
      <c r="E26" s="29">
        <v>0</v>
      </c>
      <c r="F26" s="29">
        <v>0</v>
      </c>
      <c r="M26" s="2">
        <f>'Reels From Source (2)'!A22</f>
        <v>0</v>
      </c>
      <c r="N26" s="2">
        <f>'Reels From Source (2)'!B22</f>
        <v>0</v>
      </c>
      <c r="O26" s="2">
        <f>'Reels From Source (2)'!C22</f>
        <v>0</v>
      </c>
      <c r="P26" s="2">
        <f>'Reels From Source (2)'!D22</f>
        <v>0</v>
      </c>
      <c r="Q26" s="2">
        <f>'Reels From Source (2)'!E22</f>
        <v>0</v>
      </c>
      <c r="R26" s="2">
        <f>'Reels From Source (2)'!F22</f>
        <v>0</v>
      </c>
      <c r="S26"/>
      <c r="T26"/>
    </row>
    <row r="27" spans="2:20" x14ac:dyDescent="0.2">
      <c r="B27" s="29">
        <v>0</v>
      </c>
      <c r="C27" s="29">
        <v>0</v>
      </c>
      <c r="D27" s="29">
        <v>0</v>
      </c>
      <c r="E27" s="29">
        <v>0</v>
      </c>
      <c r="F27" s="29">
        <v>0</v>
      </c>
      <c r="M27" s="2">
        <f>'Reels From Source (2)'!A23</f>
        <v>0</v>
      </c>
      <c r="N27" s="2">
        <f>'Reels From Source (2)'!B23</f>
        <v>0</v>
      </c>
      <c r="O27" s="2">
        <f>'Reels From Source (2)'!C23</f>
        <v>0</v>
      </c>
      <c r="P27" s="2">
        <f>'Reels From Source (2)'!D23</f>
        <v>0</v>
      </c>
      <c r="Q27" s="2">
        <f>'Reels From Source (2)'!E23</f>
        <v>0</v>
      </c>
      <c r="R27" s="2">
        <f>'Reels From Source (2)'!F23</f>
        <v>0</v>
      </c>
      <c r="S27"/>
      <c r="T27"/>
    </row>
    <row r="28" spans="2:20" x14ac:dyDescent="0.2">
      <c r="B28" s="29">
        <v>0</v>
      </c>
      <c r="C28" s="29">
        <v>0</v>
      </c>
      <c r="D28" s="29">
        <v>0</v>
      </c>
      <c r="E28" s="29">
        <v>0</v>
      </c>
      <c r="F28" s="29">
        <v>0</v>
      </c>
      <c r="M28" s="2">
        <f>'Reels From Source (2)'!A24</f>
        <v>0</v>
      </c>
      <c r="N28" s="2">
        <f>'Reels From Source (2)'!B24</f>
        <v>0</v>
      </c>
      <c r="O28" s="2">
        <f>'Reels From Source (2)'!C24</f>
        <v>0</v>
      </c>
      <c r="P28" s="2">
        <f>'Reels From Source (2)'!D24</f>
        <v>0</v>
      </c>
      <c r="Q28" s="2">
        <f>'Reels From Source (2)'!E24</f>
        <v>0</v>
      </c>
      <c r="R28" s="2">
        <f>'Reels From Source (2)'!F24</f>
        <v>0</v>
      </c>
      <c r="S28"/>
      <c r="T28"/>
    </row>
    <row r="29" spans="2:20" x14ac:dyDescent="0.2">
      <c r="B29" s="29">
        <v>0</v>
      </c>
      <c r="C29" s="29">
        <v>0</v>
      </c>
      <c r="D29" s="29">
        <v>0</v>
      </c>
      <c r="E29" s="29">
        <v>0</v>
      </c>
      <c r="F29" s="29">
        <v>0</v>
      </c>
      <c r="M29" s="2">
        <f>'Reels From Source (2)'!A25</f>
        <v>0</v>
      </c>
      <c r="N29" s="2">
        <f>'Reels From Source (2)'!B25</f>
        <v>0</v>
      </c>
      <c r="O29" s="2">
        <f>'Reels From Source (2)'!C25</f>
        <v>0</v>
      </c>
      <c r="P29" s="2">
        <f>'Reels From Source (2)'!D25</f>
        <v>0</v>
      </c>
      <c r="Q29" s="2">
        <f>'Reels From Source (2)'!E25</f>
        <v>0</v>
      </c>
      <c r="R29" s="2">
        <f>'Reels From Source (2)'!F25</f>
        <v>0</v>
      </c>
      <c r="S29"/>
      <c r="T29"/>
    </row>
    <row r="30" spans="2:20" x14ac:dyDescent="0.2">
      <c r="B30" s="29">
        <v>0</v>
      </c>
      <c r="C30" s="29">
        <v>0</v>
      </c>
      <c r="D30" s="29">
        <v>0</v>
      </c>
      <c r="E30" s="29">
        <v>0</v>
      </c>
      <c r="F30" s="29">
        <v>0</v>
      </c>
      <c r="L30" s="16" t="s">
        <v>11</v>
      </c>
      <c r="M30" s="2">
        <f>'Reels From Source (2)'!A26</f>
        <v>0</v>
      </c>
      <c r="N30" s="2">
        <f>'Reels From Source (2)'!B26</f>
        <v>0</v>
      </c>
      <c r="O30" s="2">
        <f>'Reels From Source (2)'!C26</f>
        <v>0</v>
      </c>
      <c r="P30" s="2">
        <f>'Reels From Source (2)'!D26</f>
        <v>0</v>
      </c>
      <c r="Q30" s="2">
        <f>'Reels From Source (2)'!E26</f>
        <v>0</v>
      </c>
      <c r="R30" s="2">
        <f>'Reels From Source (2)'!F26</f>
        <v>0</v>
      </c>
      <c r="S30"/>
      <c r="T30"/>
    </row>
    <row r="31" spans="2:20" x14ac:dyDescent="0.2">
      <c r="B31" s="29">
        <v>0</v>
      </c>
      <c r="C31" s="29">
        <v>0</v>
      </c>
      <c r="D31" s="29">
        <v>0</v>
      </c>
      <c r="E31" s="29">
        <v>0</v>
      </c>
      <c r="F31" s="29">
        <v>0</v>
      </c>
      <c r="M31" s="2">
        <f>'Reels From Source (2)'!A27</f>
        <v>0</v>
      </c>
      <c r="N31" s="2">
        <f>'Reels From Source (2)'!B27</f>
        <v>0</v>
      </c>
      <c r="O31" s="2">
        <f>'Reels From Source (2)'!C27</f>
        <v>0</v>
      </c>
      <c r="P31" s="2">
        <f>'Reels From Source (2)'!D27</f>
        <v>0</v>
      </c>
      <c r="Q31" s="2">
        <f>'Reels From Source (2)'!E27</f>
        <v>0</v>
      </c>
      <c r="R31" s="2">
        <f>'Reels From Source (2)'!F27</f>
        <v>0</v>
      </c>
      <c r="S31"/>
      <c r="T31"/>
    </row>
    <row r="32" spans="2:20" x14ac:dyDescent="0.2">
      <c r="B32" s="29">
        <v>0</v>
      </c>
      <c r="C32" s="29">
        <v>0</v>
      </c>
      <c r="D32" s="29">
        <v>0</v>
      </c>
      <c r="E32" s="29">
        <v>0</v>
      </c>
      <c r="F32" s="29">
        <v>0</v>
      </c>
      <c r="M32" s="2">
        <f>'Reels From Source (2)'!A28</f>
        <v>0</v>
      </c>
      <c r="N32" s="2">
        <f>'Reels From Source (2)'!B28</f>
        <v>0</v>
      </c>
      <c r="O32" s="2">
        <f>'Reels From Source (2)'!C28</f>
        <v>0</v>
      </c>
      <c r="P32" s="2">
        <f>'Reels From Source (2)'!D28</f>
        <v>0</v>
      </c>
      <c r="Q32" s="2">
        <f>'Reels From Source (2)'!E28</f>
        <v>0</v>
      </c>
      <c r="R32" s="2">
        <f>'Reels From Source (2)'!F28</f>
        <v>0</v>
      </c>
      <c r="S32"/>
      <c r="T32"/>
    </row>
    <row r="33" spans="2:20" x14ac:dyDescent="0.2">
      <c r="B33" s="29">
        <v>0</v>
      </c>
      <c r="C33" s="29">
        <v>0</v>
      </c>
      <c r="D33" s="29">
        <v>0</v>
      </c>
      <c r="E33" s="29">
        <v>0</v>
      </c>
      <c r="F33" s="29">
        <v>0</v>
      </c>
      <c r="M33" s="2">
        <f>'Reels From Source (2)'!A29</f>
        <v>0</v>
      </c>
      <c r="N33" s="2">
        <f>'Reels From Source (2)'!B29</f>
        <v>0</v>
      </c>
      <c r="O33" s="2">
        <f>'Reels From Source (2)'!C29</f>
        <v>0</v>
      </c>
      <c r="P33" s="2">
        <f>'Reels From Source (2)'!D29</f>
        <v>0</v>
      </c>
      <c r="Q33" s="2">
        <f>'Reels From Source (2)'!E29</f>
        <v>0</v>
      </c>
      <c r="R33" s="2">
        <f>'Reels From Source (2)'!F29</f>
        <v>0</v>
      </c>
      <c r="S33"/>
      <c r="T33"/>
    </row>
    <row r="34" spans="2:20" x14ac:dyDescent="0.2">
      <c r="B34" s="29">
        <v>0</v>
      </c>
      <c r="C34" s="29">
        <v>0</v>
      </c>
      <c r="D34" s="29">
        <v>0</v>
      </c>
      <c r="E34" s="29">
        <v>0</v>
      </c>
      <c r="F34" s="29">
        <v>0</v>
      </c>
      <c r="M34" s="2">
        <f>'Reels From Source (2)'!A30</f>
        <v>0</v>
      </c>
      <c r="N34" s="2">
        <f>'Reels From Source (2)'!B30</f>
        <v>0</v>
      </c>
      <c r="O34" s="2">
        <f>'Reels From Source (2)'!C30</f>
        <v>0</v>
      </c>
      <c r="P34" s="2">
        <f>'Reels From Source (2)'!D30</f>
        <v>0</v>
      </c>
      <c r="Q34" s="2">
        <f>'Reels From Source (2)'!E30</f>
        <v>0</v>
      </c>
      <c r="R34" s="2">
        <f>'Reels From Source (2)'!F30</f>
        <v>0</v>
      </c>
      <c r="S34"/>
      <c r="T34"/>
    </row>
    <row r="35" spans="2:20" x14ac:dyDescent="0.2">
      <c r="B35" s="29">
        <v>0</v>
      </c>
      <c r="C35" s="29">
        <v>0</v>
      </c>
      <c r="D35" s="29">
        <v>0</v>
      </c>
      <c r="E35" s="29">
        <v>0</v>
      </c>
      <c r="F35" s="29">
        <v>0</v>
      </c>
      <c r="M35" s="2">
        <f>'Reels From Source (2)'!A31</f>
        <v>0</v>
      </c>
      <c r="N35" s="2">
        <f>'Reels From Source (2)'!B31</f>
        <v>0</v>
      </c>
      <c r="O35" s="2">
        <f>'Reels From Source (2)'!C31</f>
        <v>0</v>
      </c>
      <c r="P35" s="2">
        <f>'Reels From Source (2)'!D31</f>
        <v>0</v>
      </c>
      <c r="Q35" s="2">
        <f>'Reels From Source (2)'!E31</f>
        <v>0</v>
      </c>
      <c r="R35" s="2">
        <f>'Reels From Source (2)'!F31</f>
        <v>0</v>
      </c>
      <c r="S35"/>
      <c r="T35"/>
    </row>
    <row r="36" spans="2:20" x14ac:dyDescent="0.2">
      <c r="B36" s="29">
        <v>0</v>
      </c>
      <c r="C36" s="29">
        <v>0</v>
      </c>
      <c r="D36" s="29">
        <v>0</v>
      </c>
      <c r="E36" s="29">
        <v>0</v>
      </c>
      <c r="F36" s="29">
        <v>0</v>
      </c>
      <c r="M36" s="2">
        <f>'Reels From Source (2)'!A32</f>
        <v>0</v>
      </c>
      <c r="N36" s="2">
        <f>'Reels From Source (2)'!B32</f>
        <v>0</v>
      </c>
      <c r="O36" s="2">
        <f>'Reels From Source (2)'!C32</f>
        <v>0</v>
      </c>
      <c r="P36" s="2">
        <f>'Reels From Source (2)'!D32</f>
        <v>0</v>
      </c>
      <c r="Q36" s="2">
        <f>'Reels From Source (2)'!E32</f>
        <v>0</v>
      </c>
      <c r="R36" s="2">
        <f>'Reels From Source (2)'!F32</f>
        <v>0</v>
      </c>
      <c r="S36"/>
      <c r="T36"/>
    </row>
    <row r="37" spans="2:20" x14ac:dyDescent="0.2">
      <c r="B37" s="29">
        <v>0</v>
      </c>
      <c r="C37" s="29">
        <v>0</v>
      </c>
      <c r="D37" s="29">
        <v>0</v>
      </c>
      <c r="E37" s="29">
        <v>0</v>
      </c>
      <c r="F37" s="29">
        <v>0</v>
      </c>
      <c r="M37" s="2">
        <f>'Reels From Source (2)'!A33</f>
        <v>0</v>
      </c>
      <c r="N37" s="2">
        <f>'Reels From Source (2)'!B33</f>
        <v>0</v>
      </c>
      <c r="O37" s="2">
        <f>'Reels From Source (2)'!C33</f>
        <v>0</v>
      </c>
      <c r="P37" s="2">
        <f>'Reels From Source (2)'!D33</f>
        <v>0</v>
      </c>
      <c r="Q37" s="2">
        <f>'Reels From Source (2)'!E33</f>
        <v>0</v>
      </c>
      <c r="R37" s="2">
        <f>'Reels From Source (2)'!F33</f>
        <v>0</v>
      </c>
      <c r="S37"/>
      <c r="T37"/>
    </row>
    <row r="38" spans="2:20" x14ac:dyDescent="0.2">
      <c r="B38" s="29">
        <v>0</v>
      </c>
      <c r="C38" s="29">
        <v>0</v>
      </c>
      <c r="D38" s="29">
        <v>0</v>
      </c>
      <c r="E38" s="29">
        <v>0</v>
      </c>
      <c r="F38" s="29">
        <v>0</v>
      </c>
      <c r="L38" s="32"/>
      <c r="M38" s="2">
        <f>'Reels From Source (2)'!A34</f>
        <v>0</v>
      </c>
      <c r="N38" s="2">
        <f>'Reels From Source (2)'!B34</f>
        <v>0</v>
      </c>
      <c r="O38" s="2">
        <f>'Reels From Source (2)'!C34</f>
        <v>0</v>
      </c>
      <c r="P38" s="2">
        <f>'Reels From Source (2)'!D34</f>
        <v>0</v>
      </c>
      <c r="Q38" s="2">
        <f>'Reels From Source (2)'!E34</f>
        <v>0</v>
      </c>
      <c r="R38" s="2">
        <f>'Reels From Source (2)'!F34</f>
        <v>0</v>
      </c>
      <c r="S38"/>
      <c r="T38"/>
    </row>
    <row r="39" spans="2:20" x14ac:dyDescent="0.2">
      <c r="B39" s="29">
        <v>0</v>
      </c>
      <c r="C39" s="29">
        <v>0</v>
      </c>
      <c r="D39" s="29">
        <v>0</v>
      </c>
      <c r="E39" s="29">
        <v>0</v>
      </c>
      <c r="F39" s="29">
        <v>0</v>
      </c>
      <c r="L39" s="32"/>
      <c r="M39" s="2">
        <f>'Reels From Source (2)'!A35</f>
        <v>0</v>
      </c>
      <c r="N39" s="2">
        <f>'Reels From Source (2)'!B35</f>
        <v>0</v>
      </c>
      <c r="O39" s="2">
        <f>'Reels From Source (2)'!C35</f>
        <v>0</v>
      </c>
      <c r="P39" s="2">
        <f>'Reels From Source (2)'!D35</f>
        <v>0</v>
      </c>
      <c r="Q39" s="2">
        <f>'Reels From Source (2)'!E35</f>
        <v>0</v>
      </c>
      <c r="R39" s="2">
        <f>'Reels From Source (2)'!F35</f>
        <v>0</v>
      </c>
      <c r="S39"/>
      <c r="T39"/>
    </row>
    <row r="40" spans="2:20" x14ac:dyDescent="0.2">
      <c r="B40" s="29">
        <v>0</v>
      </c>
      <c r="C40" s="29">
        <v>0</v>
      </c>
      <c r="D40" s="29">
        <v>0</v>
      </c>
      <c r="E40" s="29">
        <v>0</v>
      </c>
      <c r="F40" s="29">
        <v>0</v>
      </c>
      <c r="L40" s="32"/>
      <c r="M40" s="2">
        <f>'Reels From Source (2)'!A36</f>
        <v>0</v>
      </c>
      <c r="N40" s="2">
        <f>'Reels From Source (2)'!B36</f>
        <v>0</v>
      </c>
      <c r="O40" s="2">
        <f>'Reels From Source (2)'!C36</f>
        <v>0</v>
      </c>
      <c r="P40" s="2">
        <f>'Reels From Source (2)'!D36</f>
        <v>0</v>
      </c>
      <c r="Q40" s="2">
        <f>'Reels From Source (2)'!E36</f>
        <v>0</v>
      </c>
      <c r="R40" s="2">
        <f>'Reels From Source (2)'!F36</f>
        <v>0</v>
      </c>
      <c r="S40"/>
      <c r="T40"/>
    </row>
    <row r="41" spans="2:20" x14ac:dyDescent="0.2">
      <c r="B41" s="29">
        <v>0</v>
      </c>
      <c r="C41" s="29">
        <v>0</v>
      </c>
      <c r="D41" s="29">
        <v>0</v>
      </c>
      <c r="E41" s="29">
        <v>0</v>
      </c>
      <c r="F41" s="29">
        <v>0</v>
      </c>
      <c r="L41" s="32"/>
      <c r="M41" s="2">
        <f>'Reels From Source (2)'!A37</f>
        <v>0</v>
      </c>
      <c r="N41" s="2">
        <f>'Reels From Source (2)'!B37</f>
        <v>0</v>
      </c>
      <c r="O41" s="2">
        <f>'Reels From Source (2)'!C37</f>
        <v>0</v>
      </c>
      <c r="P41" s="2">
        <f>'Reels From Source (2)'!D37</f>
        <v>0</v>
      </c>
      <c r="Q41" s="2">
        <f>'Reels From Source (2)'!E37</f>
        <v>0</v>
      </c>
      <c r="R41" s="2">
        <f>'Reels From Source (2)'!F37</f>
        <v>0</v>
      </c>
      <c r="S41"/>
      <c r="T41"/>
    </row>
    <row r="42" spans="2:20" x14ac:dyDescent="0.2">
      <c r="B42" s="29">
        <v>0</v>
      </c>
      <c r="C42" s="29">
        <v>0</v>
      </c>
      <c r="D42" s="29">
        <v>0</v>
      </c>
      <c r="E42" s="29">
        <v>0</v>
      </c>
      <c r="F42" s="29">
        <v>0</v>
      </c>
      <c r="L42" s="32"/>
      <c r="M42" s="2">
        <f>'Reels From Source (2)'!A38</f>
        <v>0</v>
      </c>
      <c r="N42" s="2">
        <f>'Reels From Source (2)'!B38</f>
        <v>0</v>
      </c>
      <c r="O42" s="2">
        <f>'Reels From Source (2)'!C38</f>
        <v>0</v>
      </c>
      <c r="P42" s="2">
        <f>'Reels From Source (2)'!D38</f>
        <v>0</v>
      </c>
      <c r="Q42" s="2">
        <f>'Reels From Source (2)'!E38</f>
        <v>0</v>
      </c>
      <c r="R42" s="2">
        <f>'Reels From Source (2)'!F38</f>
        <v>0</v>
      </c>
      <c r="S42"/>
      <c r="T42"/>
    </row>
    <row r="43" spans="2:20" x14ac:dyDescent="0.2">
      <c r="B43" s="29">
        <v>0</v>
      </c>
      <c r="C43" s="29">
        <v>0</v>
      </c>
      <c r="D43" s="29">
        <v>0</v>
      </c>
      <c r="E43" s="29">
        <v>0</v>
      </c>
      <c r="F43" s="29">
        <v>0</v>
      </c>
      <c r="L43" s="32"/>
      <c r="M43" s="2">
        <f>'Reels From Source (2)'!A39</f>
        <v>0</v>
      </c>
      <c r="N43" s="2">
        <f>'Reels From Source (2)'!B39</f>
        <v>0</v>
      </c>
      <c r="O43" s="2">
        <f>'Reels From Source (2)'!C39</f>
        <v>0</v>
      </c>
      <c r="P43" s="2">
        <f>'Reels From Source (2)'!D39</f>
        <v>0</v>
      </c>
      <c r="Q43" s="2">
        <f>'Reels From Source (2)'!E39</f>
        <v>0</v>
      </c>
      <c r="R43" s="2">
        <f>'Reels From Source (2)'!F39</f>
        <v>0</v>
      </c>
      <c r="S43"/>
      <c r="T43"/>
    </row>
    <row r="44" spans="2:20" x14ac:dyDescent="0.2">
      <c r="B44" s="29">
        <v>0</v>
      </c>
      <c r="C44" s="29">
        <v>0</v>
      </c>
      <c r="D44" s="29">
        <v>0</v>
      </c>
      <c r="E44" s="29">
        <v>0</v>
      </c>
      <c r="F44" s="29">
        <v>0</v>
      </c>
      <c r="L44" s="32"/>
      <c r="M44" s="2">
        <f>'Reels From Source (2)'!A40</f>
        <v>0</v>
      </c>
      <c r="N44" s="2">
        <f>'Reels From Source (2)'!B40</f>
        <v>0</v>
      </c>
      <c r="O44" s="2">
        <f>'Reels From Source (2)'!C40</f>
        <v>0</v>
      </c>
      <c r="P44" s="2">
        <f>'Reels From Source (2)'!D40</f>
        <v>0</v>
      </c>
      <c r="Q44" s="2">
        <f>'Reels From Source (2)'!E40</f>
        <v>0</v>
      </c>
      <c r="R44" s="2">
        <f>'Reels From Source (2)'!F40</f>
        <v>0</v>
      </c>
      <c r="S44"/>
      <c r="T44"/>
    </row>
    <row r="45" spans="2:20" x14ac:dyDescent="0.2">
      <c r="B45" s="29">
        <v>0</v>
      </c>
      <c r="C45" s="29">
        <v>0</v>
      </c>
      <c r="D45" s="29">
        <v>0</v>
      </c>
      <c r="E45" s="29">
        <v>0</v>
      </c>
      <c r="F45" s="29">
        <v>0</v>
      </c>
      <c r="L45" s="32"/>
      <c r="M45" s="2">
        <f>'Reels From Source (2)'!A41</f>
        <v>0</v>
      </c>
      <c r="N45" s="2">
        <f>'Reels From Source (2)'!B41</f>
        <v>0</v>
      </c>
      <c r="O45" s="2">
        <f>'Reels From Source (2)'!C41</f>
        <v>0</v>
      </c>
      <c r="P45" s="2">
        <f>'Reels From Source (2)'!D41</f>
        <v>0</v>
      </c>
      <c r="Q45" s="2">
        <f>'Reels From Source (2)'!E41</f>
        <v>0</v>
      </c>
      <c r="R45" s="2">
        <f>'Reels From Source (2)'!F41</f>
        <v>0</v>
      </c>
      <c r="S45"/>
      <c r="T45"/>
    </row>
    <row r="46" spans="2:20" x14ac:dyDescent="0.2">
      <c r="B46" s="29">
        <v>0</v>
      </c>
      <c r="C46" s="29">
        <v>0</v>
      </c>
      <c r="D46" s="29">
        <v>0</v>
      </c>
      <c r="E46" s="29">
        <v>0</v>
      </c>
      <c r="F46" s="29">
        <v>0</v>
      </c>
      <c r="M46" s="2">
        <f>'Reels From Source (2)'!A42</f>
        <v>0</v>
      </c>
      <c r="N46" s="2">
        <f>'Reels From Source (2)'!B42</f>
        <v>0</v>
      </c>
      <c r="O46" s="2">
        <f>'Reels From Source (2)'!C42</f>
        <v>0</v>
      </c>
      <c r="P46" s="2">
        <f>'Reels From Source (2)'!D42</f>
        <v>0</v>
      </c>
      <c r="Q46" s="2">
        <f>'Reels From Source (2)'!E42</f>
        <v>0</v>
      </c>
      <c r="R46" s="2">
        <f>'Reels From Source (2)'!F42</f>
        <v>0</v>
      </c>
      <c r="S46"/>
      <c r="T46"/>
    </row>
    <row r="47" spans="2:20" x14ac:dyDescent="0.2">
      <c r="B47" s="29">
        <v>0</v>
      </c>
      <c r="C47" s="29">
        <v>0</v>
      </c>
      <c r="D47" s="29">
        <v>0</v>
      </c>
      <c r="E47" s="29">
        <v>0</v>
      </c>
      <c r="F47" s="29">
        <v>0</v>
      </c>
      <c r="M47" s="2">
        <f>'Reels From Source (2)'!A43</f>
        <v>0</v>
      </c>
      <c r="N47" s="2">
        <f>'Reels From Source (2)'!B43</f>
        <v>0</v>
      </c>
      <c r="O47" s="2">
        <f>'Reels From Source (2)'!C43</f>
        <v>0</v>
      </c>
      <c r="P47" s="2">
        <f>'Reels From Source (2)'!D43</f>
        <v>0</v>
      </c>
      <c r="Q47" s="2">
        <f>'Reels From Source (2)'!E43</f>
        <v>0</v>
      </c>
      <c r="R47" s="2">
        <f>'Reels From Source (2)'!F43</f>
        <v>0</v>
      </c>
      <c r="S47"/>
      <c r="T47"/>
    </row>
    <row r="48" spans="2:20" x14ac:dyDescent="0.2">
      <c r="B48" s="29">
        <v>0</v>
      </c>
      <c r="C48" s="29">
        <v>0</v>
      </c>
      <c r="D48" s="29">
        <v>0</v>
      </c>
      <c r="E48" s="29">
        <v>0</v>
      </c>
      <c r="F48" s="29">
        <v>0</v>
      </c>
      <c r="M48" s="2">
        <f>'Reels From Source (2)'!A44</f>
        <v>0</v>
      </c>
      <c r="N48" s="2">
        <f>'Reels From Source (2)'!B44</f>
        <v>0</v>
      </c>
      <c r="O48" s="2">
        <f>'Reels From Source (2)'!C44</f>
        <v>0</v>
      </c>
      <c r="P48" s="2">
        <f>'Reels From Source (2)'!D44</f>
        <v>0</v>
      </c>
      <c r="Q48" s="2">
        <f>'Reels From Source (2)'!E44</f>
        <v>0</v>
      </c>
      <c r="R48" s="2">
        <f>'Reels From Source (2)'!F44</f>
        <v>0</v>
      </c>
      <c r="S48"/>
      <c r="T48"/>
    </row>
    <row r="49" spans="2:20" x14ac:dyDescent="0.2">
      <c r="B49" s="29">
        <v>0</v>
      </c>
      <c r="C49" s="29">
        <v>0</v>
      </c>
      <c r="D49" s="29">
        <v>0</v>
      </c>
      <c r="E49" s="29">
        <v>0</v>
      </c>
      <c r="F49" s="29">
        <v>0</v>
      </c>
      <c r="M49" s="2">
        <f>'Reels From Source (2)'!A45</f>
        <v>0</v>
      </c>
      <c r="N49" s="2">
        <f>'Reels From Source (2)'!B45</f>
        <v>0</v>
      </c>
      <c r="O49" s="2">
        <f>'Reels From Source (2)'!C45</f>
        <v>0</v>
      </c>
      <c r="P49" s="2">
        <f>'Reels From Source (2)'!D45</f>
        <v>0</v>
      </c>
      <c r="Q49" s="2">
        <f>'Reels From Source (2)'!E45</f>
        <v>0</v>
      </c>
      <c r="R49" s="2">
        <f>'Reels From Source (2)'!F45</f>
        <v>0</v>
      </c>
      <c r="S49"/>
      <c r="T49"/>
    </row>
    <row r="50" spans="2:20" x14ac:dyDescent="0.2">
      <c r="B50" s="29">
        <v>0</v>
      </c>
      <c r="C50" s="29">
        <v>0</v>
      </c>
      <c r="D50" s="29">
        <v>0</v>
      </c>
      <c r="E50" s="29">
        <v>0</v>
      </c>
      <c r="F50" s="29">
        <v>0</v>
      </c>
      <c r="M50" s="2">
        <f>'Reels From Source (2)'!A46</f>
        <v>0</v>
      </c>
      <c r="N50" s="2">
        <f>'Reels From Source (2)'!B46</f>
        <v>0</v>
      </c>
      <c r="O50" s="2">
        <f>'Reels From Source (2)'!C46</f>
        <v>0</v>
      </c>
      <c r="P50" s="2">
        <f>'Reels From Source (2)'!D46</f>
        <v>0</v>
      </c>
      <c r="Q50" s="2">
        <f>'Reels From Source (2)'!E46</f>
        <v>0</v>
      </c>
      <c r="R50" s="2">
        <f>'Reels From Source (2)'!F46</f>
        <v>0</v>
      </c>
      <c r="S50"/>
      <c r="T50"/>
    </row>
    <row r="51" spans="2:20" x14ac:dyDescent="0.2">
      <c r="B51" s="29">
        <v>0</v>
      </c>
      <c r="C51" s="29">
        <v>0</v>
      </c>
      <c r="D51" s="29">
        <v>0</v>
      </c>
      <c r="E51" s="29">
        <v>0</v>
      </c>
      <c r="F51" s="29">
        <v>0</v>
      </c>
      <c r="M51" s="2">
        <f>'Reels From Source (2)'!A47</f>
        <v>0</v>
      </c>
      <c r="N51" s="2">
        <f>'Reels From Source (2)'!B47</f>
        <v>0</v>
      </c>
      <c r="O51" s="2">
        <f>'Reels From Source (2)'!C47</f>
        <v>0</v>
      </c>
      <c r="P51" s="2">
        <f>'Reels From Source (2)'!D47</f>
        <v>0</v>
      </c>
      <c r="Q51" s="2">
        <f>'Reels From Source (2)'!E47</f>
        <v>0</v>
      </c>
      <c r="R51" s="2">
        <f>'Reels From Source (2)'!F47</f>
        <v>0</v>
      </c>
      <c r="S51"/>
      <c r="T51"/>
    </row>
    <row r="52" spans="2:20" x14ac:dyDescent="0.2">
      <c r="B52" s="29">
        <v>0</v>
      </c>
      <c r="C52" s="29">
        <v>0</v>
      </c>
      <c r="D52" s="29">
        <v>0</v>
      </c>
      <c r="E52" s="29">
        <v>0</v>
      </c>
      <c r="F52" s="29">
        <v>0</v>
      </c>
      <c r="M52" s="2">
        <f>'Reels From Source (2)'!A48</f>
        <v>0</v>
      </c>
      <c r="N52" s="2">
        <f>'Reels From Source (2)'!B48</f>
        <v>0</v>
      </c>
      <c r="O52" s="2">
        <f>'Reels From Source (2)'!C48</f>
        <v>0</v>
      </c>
      <c r="P52" s="2">
        <f>'Reels From Source (2)'!D48</f>
        <v>0</v>
      </c>
      <c r="Q52" s="2">
        <f>'Reels From Source (2)'!E48</f>
        <v>0</v>
      </c>
      <c r="R52" s="2">
        <f>'Reels From Source (2)'!F48</f>
        <v>0</v>
      </c>
      <c r="S52"/>
      <c r="T52"/>
    </row>
    <row r="53" spans="2:20" x14ac:dyDescent="0.2">
      <c r="B53" s="29">
        <v>0</v>
      </c>
      <c r="C53" s="29">
        <v>0</v>
      </c>
      <c r="D53" s="29">
        <v>0</v>
      </c>
      <c r="E53" s="29">
        <v>0</v>
      </c>
      <c r="F53" s="29">
        <v>0</v>
      </c>
      <c r="M53" s="2">
        <f>'Reels From Source (2)'!A49</f>
        <v>0</v>
      </c>
      <c r="N53" s="2">
        <f>'Reels From Source (2)'!B49</f>
        <v>0</v>
      </c>
      <c r="O53" s="2">
        <f>'Reels From Source (2)'!C49</f>
        <v>0</v>
      </c>
      <c r="P53" s="2">
        <f>'Reels From Source (2)'!D49</f>
        <v>0</v>
      </c>
      <c r="Q53" s="2">
        <f>'Reels From Source (2)'!E49</f>
        <v>0</v>
      </c>
      <c r="R53" s="2">
        <f>'Reels From Source (2)'!F49</f>
        <v>0</v>
      </c>
      <c r="S53"/>
      <c r="T53"/>
    </row>
    <row r="54" spans="2:20" x14ac:dyDescent="0.2">
      <c r="B54" s="29">
        <v>0</v>
      </c>
      <c r="C54" s="29">
        <v>0</v>
      </c>
      <c r="D54" s="29">
        <v>0</v>
      </c>
      <c r="E54" s="29">
        <v>0</v>
      </c>
      <c r="F54" s="29">
        <v>0</v>
      </c>
      <c r="M54" s="2">
        <f>'Reels From Source (2)'!A50</f>
        <v>0</v>
      </c>
      <c r="N54" s="2">
        <f>'Reels From Source (2)'!B50</f>
        <v>0</v>
      </c>
      <c r="O54" s="2">
        <f>'Reels From Source (2)'!C50</f>
        <v>0</v>
      </c>
      <c r="P54" s="2">
        <f>'Reels From Source (2)'!D50</f>
        <v>0</v>
      </c>
      <c r="Q54" s="2">
        <f>'Reels From Source (2)'!E50</f>
        <v>0</v>
      </c>
      <c r="R54" s="2">
        <f>'Reels From Source (2)'!F50</f>
        <v>0</v>
      </c>
      <c r="S54"/>
      <c r="T54"/>
    </row>
    <row r="55" spans="2:20" x14ac:dyDescent="0.2">
      <c r="B55" s="29">
        <v>0</v>
      </c>
      <c r="C55" s="29">
        <v>0</v>
      </c>
      <c r="D55" s="29">
        <v>0</v>
      </c>
      <c r="E55" s="29">
        <v>0</v>
      </c>
      <c r="F55" s="29">
        <v>0</v>
      </c>
      <c r="L55" s="16" t="s">
        <v>12</v>
      </c>
      <c r="M55" s="2">
        <f>'Reels From Source (2)'!A51</f>
        <v>0</v>
      </c>
      <c r="N55" s="2">
        <f>'Reels From Source (2)'!B51</f>
        <v>0</v>
      </c>
      <c r="O55" s="2">
        <f>'Reels From Source (2)'!C51</f>
        <v>0</v>
      </c>
      <c r="P55" s="2">
        <f>'Reels From Source (2)'!D51</f>
        <v>0</v>
      </c>
      <c r="Q55" s="2">
        <f>'Reels From Source (2)'!E51</f>
        <v>0</v>
      </c>
      <c r="R55" s="2">
        <f>'Reels From Source (2)'!F51</f>
        <v>0</v>
      </c>
      <c r="S55"/>
      <c r="T55"/>
    </row>
    <row r="56" spans="2:20" x14ac:dyDescent="0.2">
      <c r="B56" s="29">
        <v>0</v>
      </c>
      <c r="C56" s="29">
        <v>0</v>
      </c>
      <c r="D56" s="29">
        <v>0</v>
      </c>
      <c r="E56" s="29">
        <v>0</v>
      </c>
      <c r="F56" s="29">
        <v>0</v>
      </c>
      <c r="M56" s="2">
        <f>'Reels From Source (2)'!A52</f>
        <v>0</v>
      </c>
      <c r="N56" s="2">
        <f>'Reels From Source (2)'!B52</f>
        <v>0</v>
      </c>
      <c r="O56" s="2">
        <f>'Reels From Source (2)'!C52</f>
        <v>0</v>
      </c>
      <c r="P56" s="2">
        <f>'Reels From Source (2)'!D52</f>
        <v>0</v>
      </c>
      <c r="Q56" s="2">
        <f>'Reels From Source (2)'!E52</f>
        <v>0</v>
      </c>
      <c r="R56" s="2">
        <f>'Reels From Source (2)'!F52</f>
        <v>0</v>
      </c>
      <c r="S56"/>
      <c r="T56"/>
    </row>
    <row r="57" spans="2:20" x14ac:dyDescent="0.2">
      <c r="B57" s="15">
        <v>0</v>
      </c>
      <c r="C57" s="15">
        <v>0</v>
      </c>
      <c r="D57" s="15">
        <v>0</v>
      </c>
      <c r="E57" s="15">
        <v>0</v>
      </c>
      <c r="F57" s="15">
        <v>0</v>
      </c>
      <c r="M57" s="2">
        <f>'Reels From Source (2)'!A53</f>
        <v>0</v>
      </c>
      <c r="N57" s="2">
        <f>'Reels From Source (2)'!B53</f>
        <v>0</v>
      </c>
      <c r="O57" s="2">
        <f>'Reels From Source (2)'!C53</f>
        <v>0</v>
      </c>
      <c r="P57" s="2">
        <f>'Reels From Source (2)'!D53</f>
        <v>0</v>
      </c>
      <c r="Q57" s="2">
        <f>'Reels From Source (2)'!E53</f>
        <v>0</v>
      </c>
      <c r="R57" s="2">
        <f>'Reels From Source (2)'!F53</f>
        <v>0</v>
      </c>
      <c r="S57"/>
      <c r="T57"/>
    </row>
    <row r="58" spans="2:20" x14ac:dyDescent="0.2">
      <c r="B58" s="15">
        <v>0</v>
      </c>
      <c r="C58" s="15">
        <v>0</v>
      </c>
      <c r="D58" s="15">
        <v>0</v>
      </c>
      <c r="E58" s="15">
        <v>0</v>
      </c>
      <c r="F58" s="15">
        <v>0</v>
      </c>
      <c r="M58" s="2">
        <f>'Reels From Source (2)'!A54</f>
        <v>0</v>
      </c>
      <c r="N58" s="2">
        <f>'Reels From Source (2)'!B54</f>
        <v>0</v>
      </c>
      <c r="O58" s="2">
        <f>'Reels From Source (2)'!C54</f>
        <v>0</v>
      </c>
      <c r="P58" s="2">
        <f>'Reels From Source (2)'!D54</f>
        <v>0</v>
      </c>
      <c r="Q58" s="2">
        <f>'Reels From Source (2)'!E54</f>
        <v>0</v>
      </c>
      <c r="R58" s="2">
        <f>'Reels From Source (2)'!F54</f>
        <v>0</v>
      </c>
      <c r="S58"/>
      <c r="T58"/>
    </row>
    <row r="59" spans="2:20" x14ac:dyDescent="0.2">
      <c r="B59" s="15">
        <v>0</v>
      </c>
      <c r="C59" s="15">
        <v>0</v>
      </c>
      <c r="D59" s="15">
        <v>0</v>
      </c>
      <c r="E59" s="15">
        <v>0</v>
      </c>
      <c r="F59" s="15">
        <v>0</v>
      </c>
      <c r="M59" s="2">
        <f>'Reels From Source (2)'!A55</f>
        <v>0</v>
      </c>
      <c r="N59" s="2">
        <f>'Reels From Source (2)'!B55</f>
        <v>0</v>
      </c>
      <c r="O59" s="2">
        <f>'Reels From Source (2)'!C55</f>
        <v>0</v>
      </c>
      <c r="P59" s="2">
        <f>'Reels From Source (2)'!D55</f>
        <v>0</v>
      </c>
      <c r="Q59" s="2">
        <f>'Reels From Source (2)'!E55</f>
        <v>0</v>
      </c>
      <c r="R59" s="2">
        <f>'Reels From Source (2)'!F55</f>
        <v>0</v>
      </c>
      <c r="S59"/>
      <c r="T59"/>
    </row>
    <row r="60" spans="2:20" x14ac:dyDescent="0.2">
      <c r="B60" s="15">
        <v>0</v>
      </c>
      <c r="C60" s="15">
        <v>0</v>
      </c>
      <c r="D60" s="15">
        <v>0</v>
      </c>
      <c r="E60" s="15">
        <v>0</v>
      </c>
      <c r="F60" s="15">
        <v>0</v>
      </c>
      <c r="M60" s="2">
        <f>'Reels From Source (2)'!A56</f>
        <v>0</v>
      </c>
      <c r="N60" s="2">
        <f>'Reels From Source (2)'!B56</f>
        <v>0</v>
      </c>
      <c r="O60" s="2">
        <f>'Reels From Source (2)'!C56</f>
        <v>0</v>
      </c>
      <c r="P60" s="2">
        <f>'Reels From Source (2)'!D56</f>
        <v>0</v>
      </c>
      <c r="Q60" s="2">
        <f>'Reels From Source (2)'!E56</f>
        <v>0</v>
      </c>
      <c r="R60" s="2">
        <f>'Reels From Source (2)'!F56</f>
        <v>0</v>
      </c>
      <c r="S60"/>
      <c r="T60"/>
    </row>
    <row r="61" spans="2:20" x14ac:dyDescent="0.2">
      <c r="B61" s="15">
        <v>0</v>
      </c>
      <c r="C61" s="15">
        <v>0</v>
      </c>
      <c r="D61" s="15">
        <v>0</v>
      </c>
      <c r="E61" s="15">
        <v>0</v>
      </c>
      <c r="F61" s="15">
        <v>0</v>
      </c>
      <c r="M61" s="2">
        <f>'Reels From Source (2)'!A57</f>
        <v>0</v>
      </c>
      <c r="N61" s="2">
        <f>'Reels From Source (2)'!B57</f>
        <v>0</v>
      </c>
      <c r="O61" s="2">
        <f>'Reels From Source (2)'!C57</f>
        <v>0</v>
      </c>
      <c r="P61" s="2">
        <f>'Reels From Source (2)'!D57</f>
        <v>0</v>
      </c>
      <c r="Q61" s="2">
        <f>'Reels From Source (2)'!E57</f>
        <v>0</v>
      </c>
      <c r="R61" s="2">
        <f>'Reels From Source (2)'!F57</f>
        <v>0</v>
      </c>
      <c r="S61"/>
      <c r="T61"/>
    </row>
    <row r="62" spans="2:20" x14ac:dyDescent="0.2">
      <c r="B62" s="15">
        <v>0</v>
      </c>
      <c r="C62" s="15">
        <v>0</v>
      </c>
      <c r="D62" s="15">
        <v>0</v>
      </c>
      <c r="E62" s="15">
        <v>0</v>
      </c>
      <c r="F62" s="15">
        <v>0</v>
      </c>
      <c r="M62" s="2">
        <f>'Reels From Source (2)'!A58</f>
        <v>0</v>
      </c>
      <c r="N62" s="2">
        <f>'Reels From Source (2)'!B58</f>
        <v>0</v>
      </c>
      <c r="O62" s="2">
        <f>'Reels From Source (2)'!C58</f>
        <v>0</v>
      </c>
      <c r="P62" s="2">
        <f>'Reels From Source (2)'!D58</f>
        <v>0</v>
      </c>
      <c r="Q62" s="2">
        <f>'Reels From Source (2)'!E58</f>
        <v>0</v>
      </c>
      <c r="R62" s="2">
        <f>'Reels From Source (2)'!F58</f>
        <v>0</v>
      </c>
      <c r="S62"/>
      <c r="T62"/>
    </row>
    <row r="63" spans="2:20" x14ac:dyDescent="0.2">
      <c r="B63" s="15">
        <v>0</v>
      </c>
      <c r="C63" s="15">
        <v>0</v>
      </c>
      <c r="D63" s="15">
        <v>0</v>
      </c>
      <c r="E63" s="15">
        <v>0</v>
      </c>
      <c r="F63" s="15">
        <v>0</v>
      </c>
      <c r="M63" s="2">
        <f>'Reels From Source (2)'!A59</f>
        <v>0</v>
      </c>
      <c r="N63" s="2">
        <f>'Reels From Source (2)'!B59</f>
        <v>0</v>
      </c>
      <c r="O63" s="2">
        <f>'Reels From Source (2)'!C59</f>
        <v>0</v>
      </c>
      <c r="P63" s="2">
        <f>'Reels From Source (2)'!D59</f>
        <v>0</v>
      </c>
      <c r="Q63" s="2">
        <f>'Reels From Source (2)'!E59</f>
        <v>0</v>
      </c>
      <c r="R63" s="2">
        <f>'Reels From Source (2)'!F59</f>
        <v>0</v>
      </c>
      <c r="S63"/>
      <c r="T63"/>
    </row>
    <row r="64" spans="2:20" x14ac:dyDescent="0.2">
      <c r="B64" s="15">
        <v>0</v>
      </c>
      <c r="C64" s="15">
        <v>0</v>
      </c>
      <c r="D64" s="15">
        <v>0</v>
      </c>
      <c r="E64" s="15">
        <v>0</v>
      </c>
      <c r="F64" s="15">
        <v>0</v>
      </c>
      <c r="M64" s="2">
        <f>'Reels From Source (2)'!A60</f>
        <v>0</v>
      </c>
      <c r="N64" s="2">
        <f>'Reels From Source (2)'!B60</f>
        <v>0</v>
      </c>
      <c r="O64" s="2">
        <f>'Reels From Source (2)'!C60</f>
        <v>0</v>
      </c>
      <c r="P64" s="2">
        <f>'Reels From Source (2)'!D60</f>
        <v>0</v>
      </c>
      <c r="Q64" s="2">
        <f>'Reels From Source (2)'!E60</f>
        <v>0</v>
      </c>
      <c r="R64" s="2">
        <f>'Reels From Source (2)'!F60</f>
        <v>0</v>
      </c>
      <c r="S64"/>
      <c r="T64"/>
    </row>
    <row r="65" spans="2:20" x14ac:dyDescent="0.2">
      <c r="B65" s="15">
        <v>0</v>
      </c>
      <c r="C65" s="15">
        <v>0</v>
      </c>
      <c r="D65" s="15">
        <v>0</v>
      </c>
      <c r="E65" s="15">
        <v>0</v>
      </c>
      <c r="F65" s="15">
        <v>0</v>
      </c>
      <c r="L65" s="32"/>
      <c r="M65" s="2">
        <f>'Reels From Source (2)'!A61</f>
        <v>0</v>
      </c>
      <c r="N65" s="2">
        <f>'Reels From Source (2)'!B61</f>
        <v>0</v>
      </c>
      <c r="O65" s="2">
        <f>'Reels From Source (2)'!C61</f>
        <v>0</v>
      </c>
      <c r="P65" s="2">
        <f>'Reels From Source (2)'!D61</f>
        <v>0</v>
      </c>
      <c r="Q65" s="2">
        <f>'Reels From Source (2)'!E61</f>
        <v>0</v>
      </c>
      <c r="R65" s="2">
        <f>'Reels From Source (2)'!F61</f>
        <v>0</v>
      </c>
      <c r="S65"/>
      <c r="T65"/>
    </row>
    <row r="66" spans="2:20" x14ac:dyDescent="0.2">
      <c r="B66" s="15">
        <v>0</v>
      </c>
      <c r="C66" s="15">
        <v>0</v>
      </c>
      <c r="D66" s="15">
        <v>0</v>
      </c>
      <c r="E66" s="15">
        <v>0</v>
      </c>
      <c r="F66" s="15">
        <v>0</v>
      </c>
      <c r="L66" s="32"/>
      <c r="M66" s="2">
        <f>'Reels From Source (2)'!A62</f>
        <v>0</v>
      </c>
      <c r="N66" s="2">
        <f>'Reels From Source (2)'!B62</f>
        <v>0</v>
      </c>
      <c r="O66" s="2">
        <f>'Reels From Source (2)'!C62</f>
        <v>0</v>
      </c>
      <c r="P66" s="2">
        <f>'Reels From Source (2)'!D62</f>
        <v>0</v>
      </c>
      <c r="Q66" s="2">
        <f>'Reels From Source (2)'!E62</f>
        <v>0</v>
      </c>
      <c r="R66" s="2">
        <f>'Reels From Source (2)'!F62</f>
        <v>0</v>
      </c>
      <c r="S66"/>
      <c r="T66"/>
    </row>
    <row r="67" spans="2:20" x14ac:dyDescent="0.2">
      <c r="B67" s="15">
        <v>0</v>
      </c>
      <c r="C67" s="15">
        <v>0</v>
      </c>
      <c r="D67" s="15">
        <v>0</v>
      </c>
      <c r="E67" s="15">
        <v>0</v>
      </c>
      <c r="F67" s="15">
        <v>0</v>
      </c>
      <c r="L67" s="32"/>
      <c r="M67" s="2">
        <f>'Reels From Source (2)'!A63</f>
        <v>0</v>
      </c>
      <c r="N67" s="2">
        <f>'Reels From Source (2)'!B63</f>
        <v>0</v>
      </c>
      <c r="O67" s="2">
        <f>'Reels From Source (2)'!C63</f>
        <v>0</v>
      </c>
      <c r="P67" s="2">
        <f>'Reels From Source (2)'!D63</f>
        <v>0</v>
      </c>
      <c r="Q67" s="2">
        <f>'Reels From Source (2)'!E63</f>
        <v>0</v>
      </c>
      <c r="R67" s="2">
        <f>'Reels From Source (2)'!F63</f>
        <v>0</v>
      </c>
      <c r="S67"/>
      <c r="T67"/>
    </row>
    <row r="68" spans="2:20" x14ac:dyDescent="0.2">
      <c r="B68" s="15">
        <v>0</v>
      </c>
      <c r="C68" s="15">
        <v>0</v>
      </c>
      <c r="D68" s="15">
        <v>0</v>
      </c>
      <c r="E68" s="15">
        <v>0</v>
      </c>
      <c r="F68" s="15">
        <v>0</v>
      </c>
      <c r="M68" s="2">
        <f>'Reels From Source (2)'!A64</f>
        <v>0</v>
      </c>
      <c r="N68" s="2">
        <f>'Reels From Source (2)'!B64</f>
        <v>0</v>
      </c>
      <c r="O68" s="2">
        <f>'Reels From Source (2)'!C64</f>
        <v>0</v>
      </c>
      <c r="P68" s="2">
        <f>'Reels From Source (2)'!D64</f>
        <v>0</v>
      </c>
      <c r="Q68" s="2">
        <f>'Reels From Source (2)'!E64</f>
        <v>0</v>
      </c>
      <c r="R68" s="2">
        <f>'Reels From Source (2)'!F64</f>
        <v>0</v>
      </c>
      <c r="S68"/>
      <c r="T68"/>
    </row>
    <row r="69" spans="2:20" x14ac:dyDescent="0.2">
      <c r="B69" s="15">
        <v>0</v>
      </c>
      <c r="C69" s="15">
        <v>0</v>
      </c>
      <c r="D69" s="15">
        <v>0</v>
      </c>
      <c r="E69" s="15">
        <v>0</v>
      </c>
      <c r="F69" s="15">
        <v>0</v>
      </c>
      <c r="M69" s="2">
        <f>'Reels From Source (2)'!A65</f>
        <v>0</v>
      </c>
      <c r="N69" s="2">
        <f>'Reels From Source (2)'!B65</f>
        <v>0</v>
      </c>
      <c r="O69" s="2">
        <f>'Reels From Source (2)'!C65</f>
        <v>0</v>
      </c>
      <c r="P69" s="2">
        <f>'Reels From Source (2)'!D65</f>
        <v>0</v>
      </c>
      <c r="Q69" s="2">
        <f>'Reels From Source (2)'!E65</f>
        <v>0</v>
      </c>
      <c r="R69" s="2">
        <f>'Reels From Source (2)'!F65</f>
        <v>0</v>
      </c>
      <c r="S69"/>
      <c r="T69"/>
    </row>
    <row r="70" spans="2:20" x14ac:dyDescent="0.2">
      <c r="B70" s="15">
        <v>0</v>
      </c>
      <c r="C70" s="15">
        <v>0</v>
      </c>
      <c r="D70" s="15">
        <v>0</v>
      </c>
      <c r="E70" s="15">
        <v>0</v>
      </c>
      <c r="F70" s="15">
        <v>0</v>
      </c>
      <c r="M70" s="2">
        <f>'Reels From Source (2)'!A66</f>
        <v>0</v>
      </c>
      <c r="N70" s="2">
        <f>'Reels From Source (2)'!B66</f>
        <v>0</v>
      </c>
      <c r="O70" s="2">
        <f>'Reels From Source (2)'!C66</f>
        <v>0</v>
      </c>
      <c r="P70" s="2">
        <f>'Reels From Source (2)'!D66</f>
        <v>0</v>
      </c>
      <c r="Q70" s="2">
        <f>'Reels From Source (2)'!E66</f>
        <v>0</v>
      </c>
      <c r="R70" s="2">
        <f>'Reels From Source (2)'!F66</f>
        <v>0</v>
      </c>
      <c r="S70"/>
      <c r="T70"/>
    </row>
    <row r="71" spans="2:20" x14ac:dyDescent="0.2">
      <c r="B71" s="15">
        <v>0</v>
      </c>
      <c r="C71" s="15">
        <v>0</v>
      </c>
      <c r="D71" s="15">
        <v>0</v>
      </c>
      <c r="E71" s="15">
        <v>0</v>
      </c>
      <c r="F71" s="15">
        <v>0</v>
      </c>
      <c r="M71" s="2">
        <f>'Reels From Source (2)'!A67</f>
        <v>0</v>
      </c>
      <c r="N71" s="2">
        <f>'Reels From Source (2)'!B67</f>
        <v>0</v>
      </c>
      <c r="O71" s="2">
        <f>'Reels From Source (2)'!C67</f>
        <v>0</v>
      </c>
      <c r="P71" s="2">
        <f>'Reels From Source (2)'!D67</f>
        <v>0</v>
      </c>
      <c r="Q71" s="2">
        <f>'Reels From Source (2)'!E67</f>
        <v>0</v>
      </c>
      <c r="R71" s="2">
        <f>'Reels From Source (2)'!F67</f>
        <v>0</v>
      </c>
      <c r="S71"/>
      <c r="T71"/>
    </row>
    <row r="72" spans="2:20" x14ac:dyDescent="0.2">
      <c r="B72" s="15">
        <v>0</v>
      </c>
      <c r="C72" s="15">
        <v>0</v>
      </c>
      <c r="D72" s="15">
        <v>0</v>
      </c>
      <c r="E72" s="15">
        <v>0</v>
      </c>
      <c r="F72" s="15">
        <v>0</v>
      </c>
      <c r="M72" s="2">
        <f>'Reels From Source (2)'!A68</f>
        <v>0</v>
      </c>
      <c r="N72" s="2">
        <f>'Reels From Source (2)'!B68</f>
        <v>0</v>
      </c>
      <c r="O72" s="2">
        <f>'Reels From Source (2)'!C68</f>
        <v>0</v>
      </c>
      <c r="P72" s="2">
        <f>'Reels From Source (2)'!D68</f>
        <v>0</v>
      </c>
      <c r="Q72" s="2">
        <f>'Reels From Source (2)'!E68</f>
        <v>0</v>
      </c>
      <c r="R72" s="2">
        <f>'Reels From Source (2)'!F68</f>
        <v>0</v>
      </c>
      <c r="S72"/>
      <c r="T72"/>
    </row>
    <row r="73" spans="2:20" x14ac:dyDescent="0.2">
      <c r="B73" s="15">
        <v>0</v>
      </c>
      <c r="C73" s="15">
        <v>0</v>
      </c>
      <c r="D73" s="15">
        <v>0</v>
      </c>
      <c r="E73" s="15">
        <v>0</v>
      </c>
      <c r="F73" s="15">
        <v>0</v>
      </c>
      <c r="M73" s="2">
        <f>'Reels From Source (2)'!A69</f>
        <v>0</v>
      </c>
      <c r="N73" s="2">
        <f>'Reels From Source (2)'!B69</f>
        <v>0</v>
      </c>
      <c r="O73" s="2">
        <f>'Reels From Source (2)'!C69</f>
        <v>0</v>
      </c>
      <c r="P73" s="2">
        <f>'Reels From Source (2)'!D69</f>
        <v>0</v>
      </c>
      <c r="Q73" s="2">
        <f>'Reels From Source (2)'!E69</f>
        <v>0</v>
      </c>
      <c r="R73" s="2">
        <f>'Reels From Source (2)'!F69</f>
        <v>0</v>
      </c>
      <c r="S73"/>
      <c r="T73"/>
    </row>
    <row r="74" spans="2:20" x14ac:dyDescent="0.2">
      <c r="B74" s="15">
        <v>0</v>
      </c>
      <c r="C74" s="15">
        <v>0</v>
      </c>
      <c r="D74" s="15">
        <v>0</v>
      </c>
      <c r="E74" s="15">
        <v>0</v>
      </c>
      <c r="F74" s="15">
        <v>0</v>
      </c>
      <c r="M74" s="2">
        <f>'Reels From Source (2)'!A70</f>
        <v>0</v>
      </c>
      <c r="N74" s="2">
        <f>'Reels From Source (2)'!B70</f>
        <v>0</v>
      </c>
      <c r="O74" s="2">
        <f>'Reels From Source (2)'!C70</f>
        <v>0</v>
      </c>
      <c r="P74" s="2">
        <f>'Reels From Source (2)'!D70</f>
        <v>0</v>
      </c>
      <c r="Q74" s="2">
        <f>'Reels From Source (2)'!E70</f>
        <v>0</v>
      </c>
      <c r="R74" s="2">
        <f>'Reels From Source (2)'!F70</f>
        <v>0</v>
      </c>
      <c r="S74"/>
      <c r="T74"/>
    </row>
    <row r="75" spans="2:20" x14ac:dyDescent="0.2">
      <c r="B75" s="15">
        <v>0</v>
      </c>
      <c r="C75" s="15">
        <v>0</v>
      </c>
      <c r="D75" s="15">
        <v>0</v>
      </c>
      <c r="E75" s="15">
        <v>0</v>
      </c>
      <c r="F75" s="15">
        <v>0</v>
      </c>
      <c r="M75" s="2">
        <f>'Reels From Source (2)'!A71</f>
        <v>0</v>
      </c>
      <c r="N75" s="2">
        <f>'Reels From Source (2)'!B71</f>
        <v>0</v>
      </c>
      <c r="O75" s="2">
        <f>'Reels From Source (2)'!C71</f>
        <v>0</v>
      </c>
      <c r="P75" s="2">
        <f>'Reels From Source (2)'!D71</f>
        <v>0</v>
      </c>
      <c r="Q75" s="2">
        <f>'Reels From Source (2)'!E71</f>
        <v>0</v>
      </c>
      <c r="R75" s="2">
        <f>'Reels From Source (2)'!F71</f>
        <v>0</v>
      </c>
      <c r="S75"/>
      <c r="T75"/>
    </row>
    <row r="76" spans="2:20" x14ac:dyDescent="0.2">
      <c r="B76" s="15">
        <v>0</v>
      </c>
      <c r="C76" s="15">
        <v>0</v>
      </c>
      <c r="D76" s="15">
        <v>0</v>
      </c>
      <c r="E76" s="15">
        <v>0</v>
      </c>
      <c r="F76" s="15">
        <v>0</v>
      </c>
      <c r="M76" s="2">
        <f>'Reels From Source (2)'!A72</f>
        <v>0</v>
      </c>
      <c r="N76" s="2">
        <f>'Reels From Source (2)'!B72</f>
        <v>0</v>
      </c>
      <c r="O76" s="2">
        <f>'Reels From Source (2)'!C72</f>
        <v>0</v>
      </c>
      <c r="P76" s="2">
        <f>'Reels From Source (2)'!D72</f>
        <v>0</v>
      </c>
      <c r="Q76" s="2">
        <f>'Reels From Source (2)'!E72</f>
        <v>0</v>
      </c>
      <c r="R76" s="2">
        <f>'Reels From Source (2)'!F72</f>
        <v>0</v>
      </c>
      <c r="S76"/>
      <c r="T76"/>
    </row>
    <row r="77" spans="2:20" x14ac:dyDescent="0.2">
      <c r="B77" s="15">
        <v>0</v>
      </c>
      <c r="C77" s="15">
        <v>0</v>
      </c>
      <c r="D77" s="15">
        <v>0</v>
      </c>
      <c r="E77" s="15">
        <v>0</v>
      </c>
      <c r="F77" s="15">
        <v>0</v>
      </c>
      <c r="M77" s="2">
        <f>'Reels From Source (2)'!A73</f>
        <v>0</v>
      </c>
      <c r="N77" s="2">
        <f>'Reels From Source (2)'!B73</f>
        <v>0</v>
      </c>
      <c r="O77" s="2">
        <f>'Reels From Source (2)'!C73</f>
        <v>0</v>
      </c>
      <c r="P77" s="2">
        <f>'Reels From Source (2)'!D73</f>
        <v>0</v>
      </c>
      <c r="Q77" s="2">
        <f>'Reels From Source (2)'!E73</f>
        <v>0</v>
      </c>
      <c r="R77" s="2">
        <f>'Reels From Source (2)'!F73</f>
        <v>0</v>
      </c>
      <c r="S77"/>
      <c r="T77"/>
    </row>
    <row r="78" spans="2:20" x14ac:dyDescent="0.2">
      <c r="B78" s="15">
        <v>0</v>
      </c>
      <c r="C78" s="15">
        <v>0</v>
      </c>
      <c r="D78" s="15">
        <v>0</v>
      </c>
      <c r="E78" s="15">
        <v>0</v>
      </c>
      <c r="F78" s="15">
        <v>0</v>
      </c>
      <c r="M78" s="2">
        <f>'Reels From Source (2)'!A74</f>
        <v>0</v>
      </c>
      <c r="N78" s="2">
        <f>'Reels From Source (2)'!B74</f>
        <v>0</v>
      </c>
      <c r="O78" s="2">
        <f>'Reels From Source (2)'!C74</f>
        <v>0</v>
      </c>
      <c r="P78" s="2">
        <f>'Reels From Source (2)'!D74</f>
        <v>0</v>
      </c>
      <c r="Q78" s="2">
        <f>'Reels From Source (2)'!E74</f>
        <v>0</v>
      </c>
      <c r="R78" s="2">
        <f>'Reels From Source (2)'!F74</f>
        <v>0</v>
      </c>
      <c r="S78"/>
      <c r="T78"/>
    </row>
    <row r="79" spans="2:20" x14ac:dyDescent="0.2">
      <c r="B79" s="15">
        <v>0</v>
      </c>
      <c r="C79" s="15">
        <v>0</v>
      </c>
      <c r="D79" s="15">
        <v>0</v>
      </c>
      <c r="E79" s="15">
        <v>0</v>
      </c>
      <c r="F79" s="15">
        <v>0</v>
      </c>
      <c r="M79" s="2">
        <f>'Reels From Source (2)'!A75</f>
        <v>0</v>
      </c>
      <c r="N79" s="2">
        <f>'Reels From Source (2)'!B75</f>
        <v>0</v>
      </c>
      <c r="O79" s="2">
        <f>'Reels From Source (2)'!C75</f>
        <v>0</v>
      </c>
      <c r="P79" s="2">
        <f>'Reels From Source (2)'!D75</f>
        <v>0</v>
      </c>
      <c r="Q79" s="2">
        <f>'Reels From Source (2)'!E75</f>
        <v>0</v>
      </c>
      <c r="R79" s="2">
        <f>'Reels From Source (2)'!F75</f>
        <v>0</v>
      </c>
      <c r="S79"/>
      <c r="T79"/>
    </row>
    <row r="80" spans="2:20" x14ac:dyDescent="0.2">
      <c r="B80" s="15">
        <v>0</v>
      </c>
      <c r="C80" s="15">
        <v>0</v>
      </c>
      <c r="D80" s="15">
        <v>0</v>
      </c>
      <c r="E80" s="15">
        <v>0</v>
      </c>
      <c r="F80" s="15">
        <v>0</v>
      </c>
      <c r="L80" s="16" t="s">
        <v>13</v>
      </c>
      <c r="M80" s="2">
        <f>'Reels From Source (2)'!A76</f>
        <v>0</v>
      </c>
      <c r="N80" s="2">
        <f>'Reels From Source (2)'!B76</f>
        <v>0</v>
      </c>
      <c r="O80" s="2">
        <f>'Reels From Source (2)'!C76</f>
        <v>0</v>
      </c>
      <c r="P80" s="2">
        <f>'Reels From Source (2)'!D76</f>
        <v>0</v>
      </c>
      <c r="Q80" s="2">
        <f>'Reels From Source (2)'!E76</f>
        <v>0</v>
      </c>
      <c r="R80" s="2">
        <f>'Reels From Source (2)'!F76</f>
        <v>0</v>
      </c>
      <c r="S80"/>
      <c r="T80"/>
    </row>
    <row r="81" spans="2:22" x14ac:dyDescent="0.2">
      <c r="B81" s="15">
        <v>0</v>
      </c>
      <c r="C81" s="15">
        <v>0</v>
      </c>
      <c r="D81" s="15">
        <v>0</v>
      </c>
      <c r="E81" s="15">
        <v>0</v>
      </c>
      <c r="F81" s="15">
        <v>0</v>
      </c>
      <c r="M81" s="2">
        <f>'Reels From Source (2)'!A77</f>
        <v>0</v>
      </c>
      <c r="N81" s="2">
        <f>'Reels From Source (2)'!B77</f>
        <v>0</v>
      </c>
      <c r="O81" s="2">
        <f>'Reels From Source (2)'!C77</f>
        <v>0</v>
      </c>
      <c r="P81" s="2">
        <f>'Reels From Source (2)'!D77</f>
        <v>0</v>
      </c>
      <c r="Q81" s="2">
        <f>'Reels From Source (2)'!E77</f>
        <v>0</v>
      </c>
      <c r="R81" s="2">
        <f>'Reels From Source (2)'!F77</f>
        <v>0</v>
      </c>
      <c r="S81"/>
      <c r="T81"/>
    </row>
    <row r="82" spans="2:22" x14ac:dyDescent="0.2">
      <c r="B82" s="15">
        <v>0</v>
      </c>
      <c r="C82" s="15">
        <v>0</v>
      </c>
      <c r="D82" s="15">
        <v>0</v>
      </c>
      <c r="E82" s="15">
        <v>0</v>
      </c>
      <c r="F82" s="15">
        <v>0</v>
      </c>
      <c r="L82" s="32"/>
      <c r="M82" s="2">
        <f>'Reels From Source (2)'!A78</f>
        <v>0</v>
      </c>
      <c r="N82" s="2">
        <f>'Reels From Source (2)'!B78</f>
        <v>0</v>
      </c>
      <c r="O82" s="2">
        <f>'Reels From Source (2)'!C78</f>
        <v>0</v>
      </c>
      <c r="P82" s="2">
        <f>'Reels From Source (2)'!D78</f>
        <v>0</v>
      </c>
      <c r="Q82" s="2">
        <f>'Reels From Source (2)'!E78</f>
        <v>0</v>
      </c>
      <c r="R82" s="2">
        <f>'Reels From Source (2)'!F78</f>
        <v>0</v>
      </c>
      <c r="S82"/>
      <c r="T82"/>
    </row>
    <row r="83" spans="2:22" x14ac:dyDescent="0.2">
      <c r="B83" s="15">
        <v>0</v>
      </c>
      <c r="C83" s="15">
        <v>0</v>
      </c>
      <c r="D83" s="15">
        <v>0</v>
      </c>
      <c r="E83" s="15">
        <v>0</v>
      </c>
      <c r="F83" s="15">
        <v>0</v>
      </c>
      <c r="L83" s="32"/>
      <c r="M83" s="2">
        <f>'Reels From Source (2)'!A79</f>
        <v>0</v>
      </c>
      <c r="N83" s="2">
        <f>'Reels From Source (2)'!B79</f>
        <v>0</v>
      </c>
      <c r="O83" s="2">
        <f>'Reels From Source (2)'!C79</f>
        <v>0</v>
      </c>
      <c r="P83" s="2">
        <f>'Reels From Source (2)'!D79</f>
        <v>0</v>
      </c>
      <c r="Q83" s="2">
        <f>'Reels From Source (2)'!E79</f>
        <v>0</v>
      </c>
      <c r="R83" s="2">
        <f>'Reels From Source (2)'!F79</f>
        <v>0</v>
      </c>
      <c r="S83"/>
      <c r="T83"/>
    </row>
    <row r="84" spans="2:22" x14ac:dyDescent="0.2">
      <c r="B84" s="15">
        <v>0</v>
      </c>
      <c r="C84" s="15">
        <v>0</v>
      </c>
      <c r="D84" s="15">
        <v>0</v>
      </c>
      <c r="E84" s="15">
        <v>0</v>
      </c>
      <c r="F84" s="15">
        <v>0</v>
      </c>
      <c r="L84" s="32"/>
      <c r="M84" s="2">
        <f>'Reels From Source (2)'!A80</f>
        <v>0</v>
      </c>
      <c r="N84" s="2">
        <f>'Reels From Source (2)'!B80</f>
        <v>0</v>
      </c>
      <c r="O84" s="2">
        <f>'Reels From Source (2)'!C80</f>
        <v>0</v>
      </c>
      <c r="P84" s="2">
        <f>'Reels From Source (2)'!D80</f>
        <v>0</v>
      </c>
      <c r="Q84" s="2">
        <f>'Reels From Source (2)'!E80</f>
        <v>0</v>
      </c>
      <c r="R84" s="2">
        <f>'Reels From Source (2)'!F80</f>
        <v>0</v>
      </c>
      <c r="S84"/>
      <c r="T84"/>
    </row>
    <row r="85" spans="2:22" x14ac:dyDescent="0.2">
      <c r="B85" s="15">
        <v>0</v>
      </c>
      <c r="C85" s="15">
        <v>0</v>
      </c>
      <c r="D85" s="15">
        <v>0</v>
      </c>
      <c r="E85" s="15">
        <v>0</v>
      </c>
      <c r="F85" s="15">
        <v>0</v>
      </c>
      <c r="L85" s="32"/>
      <c r="M85" s="2">
        <f>'Reels From Source (2)'!A81</f>
        <v>0</v>
      </c>
      <c r="N85" s="2">
        <f>'Reels From Source (2)'!B81</f>
        <v>0</v>
      </c>
      <c r="O85" s="2">
        <f>'Reels From Source (2)'!C81</f>
        <v>0</v>
      </c>
      <c r="P85" s="2">
        <f>'Reels From Source (2)'!D81</f>
        <v>0</v>
      </c>
      <c r="Q85" s="2">
        <f>'Reels From Source (2)'!E81</f>
        <v>0</v>
      </c>
      <c r="R85" s="2">
        <f>'Reels From Source (2)'!F81</f>
        <v>0</v>
      </c>
      <c r="S85"/>
      <c r="T85"/>
      <c r="U85"/>
    </row>
    <row r="86" spans="2:22" x14ac:dyDescent="0.2">
      <c r="B86" s="15">
        <v>0</v>
      </c>
      <c r="C86" s="15">
        <v>0</v>
      </c>
      <c r="D86" s="15">
        <v>0</v>
      </c>
      <c r="E86" s="15">
        <v>0</v>
      </c>
      <c r="F86" s="15">
        <v>0</v>
      </c>
      <c r="L86" s="32"/>
      <c r="M86" s="2">
        <f>'Reels From Source (2)'!A82</f>
        <v>0</v>
      </c>
      <c r="N86" s="2">
        <f>'Reels From Source (2)'!B82</f>
        <v>0</v>
      </c>
      <c r="O86" s="2">
        <f>'Reels From Source (2)'!C82</f>
        <v>0</v>
      </c>
      <c r="P86" s="2">
        <f>'Reels From Source (2)'!D82</f>
        <v>0</v>
      </c>
      <c r="Q86" s="2">
        <f>'Reels From Source (2)'!E82</f>
        <v>0</v>
      </c>
      <c r="R86" s="2">
        <f>'Reels From Source (2)'!F82</f>
        <v>0</v>
      </c>
      <c r="S86"/>
      <c r="T86"/>
      <c r="U86"/>
    </row>
    <row r="87" spans="2:22" x14ac:dyDescent="0.2">
      <c r="B87" s="15">
        <v>0</v>
      </c>
      <c r="C87" s="15">
        <v>0</v>
      </c>
      <c r="D87" s="15">
        <v>0</v>
      </c>
      <c r="E87" s="15">
        <v>0</v>
      </c>
      <c r="F87" s="15">
        <v>0</v>
      </c>
      <c r="L87" s="32"/>
      <c r="M87" s="2">
        <f>'Reels From Source (2)'!A83</f>
        <v>0</v>
      </c>
      <c r="N87" s="2">
        <f>'Reels From Source (2)'!B83</f>
        <v>0</v>
      </c>
      <c r="O87" s="2">
        <f>'Reels From Source (2)'!C83</f>
        <v>0</v>
      </c>
      <c r="P87" s="2">
        <f>'Reels From Source (2)'!D83</f>
        <v>0</v>
      </c>
      <c r="Q87" s="2">
        <f>'Reels From Source (2)'!E83</f>
        <v>0</v>
      </c>
      <c r="R87" s="2">
        <f>'Reels From Source (2)'!F83</f>
        <v>0</v>
      </c>
      <c r="S87"/>
      <c r="T87"/>
      <c r="U87"/>
    </row>
    <row r="88" spans="2:22" x14ac:dyDescent="0.2">
      <c r="B88" s="15">
        <v>0</v>
      </c>
      <c r="C88" s="15">
        <v>0</v>
      </c>
      <c r="D88" s="15">
        <v>0</v>
      </c>
      <c r="E88" s="15">
        <v>0</v>
      </c>
      <c r="F88" s="15">
        <v>0</v>
      </c>
      <c r="L88" s="32"/>
      <c r="M88" s="2">
        <f>'Reels From Source (2)'!A84</f>
        <v>0</v>
      </c>
      <c r="N88" s="2">
        <f>'Reels From Source (2)'!B84</f>
        <v>0</v>
      </c>
      <c r="O88" s="2">
        <f>'Reels From Source (2)'!C84</f>
        <v>0</v>
      </c>
      <c r="P88" s="2">
        <f>'Reels From Source (2)'!D84</f>
        <v>0</v>
      </c>
      <c r="Q88" s="2">
        <f>'Reels From Source (2)'!E84</f>
        <v>0</v>
      </c>
      <c r="R88" s="2">
        <f>'Reels From Source (2)'!F84</f>
        <v>0</v>
      </c>
      <c r="S88"/>
      <c r="T88"/>
      <c r="U88"/>
    </row>
    <row r="89" spans="2:22" x14ac:dyDescent="0.2">
      <c r="B89" s="15">
        <v>0</v>
      </c>
      <c r="C89" s="15">
        <v>0</v>
      </c>
      <c r="D89" s="15">
        <v>0</v>
      </c>
      <c r="E89" s="15">
        <v>0</v>
      </c>
      <c r="F89" s="15">
        <v>0</v>
      </c>
      <c r="L89" s="32"/>
      <c r="M89" s="2">
        <f>'Reels From Source (2)'!A85</f>
        <v>0</v>
      </c>
      <c r="N89" s="2">
        <f>'Reels From Source (2)'!B85</f>
        <v>0</v>
      </c>
      <c r="O89" s="2">
        <f>'Reels From Source (2)'!C85</f>
        <v>0</v>
      </c>
      <c r="P89" s="2">
        <f>'Reels From Source (2)'!D85</f>
        <v>0</v>
      </c>
      <c r="Q89" s="2">
        <f>'Reels From Source (2)'!E85</f>
        <v>0</v>
      </c>
      <c r="R89" s="2">
        <f>'Reels From Source (2)'!F85</f>
        <v>0</v>
      </c>
      <c r="S89"/>
      <c r="T89"/>
      <c r="U89"/>
    </row>
    <row r="90" spans="2:22" x14ac:dyDescent="0.2">
      <c r="B90" s="15">
        <v>0</v>
      </c>
      <c r="C90" s="15">
        <v>0</v>
      </c>
      <c r="D90" s="15">
        <v>0</v>
      </c>
      <c r="E90" s="15">
        <v>0</v>
      </c>
      <c r="F90" s="15">
        <v>0</v>
      </c>
      <c r="L90" s="32"/>
      <c r="M90" s="2">
        <f>'Reels From Source (2)'!A86</f>
        <v>0</v>
      </c>
      <c r="N90" s="2">
        <f>'Reels From Source (2)'!B86</f>
        <v>0</v>
      </c>
      <c r="O90" s="2">
        <f>'Reels From Source (2)'!C86</f>
        <v>0</v>
      </c>
      <c r="P90" s="2">
        <f>'Reels From Source (2)'!D86</f>
        <v>0</v>
      </c>
      <c r="Q90" s="2">
        <f>'Reels From Source (2)'!E86</f>
        <v>0</v>
      </c>
      <c r="R90" s="2">
        <f>'Reels From Source (2)'!F86</f>
        <v>0</v>
      </c>
      <c r="S90"/>
      <c r="T90"/>
      <c r="U90"/>
    </row>
    <row r="91" spans="2:22" x14ac:dyDescent="0.2">
      <c r="B91" s="15">
        <v>0</v>
      </c>
      <c r="C91" s="15">
        <v>0</v>
      </c>
      <c r="D91" s="15">
        <v>0</v>
      </c>
      <c r="E91" s="15">
        <v>0</v>
      </c>
      <c r="F91" s="15">
        <v>0</v>
      </c>
      <c r="L91" s="32"/>
      <c r="M91" s="2">
        <f>'Reels From Source (2)'!A87</f>
        <v>0</v>
      </c>
      <c r="N91" s="2">
        <f>'Reels From Source (2)'!B87</f>
        <v>0</v>
      </c>
      <c r="O91" s="2">
        <f>'Reels From Source (2)'!C87</f>
        <v>0</v>
      </c>
      <c r="P91" s="2">
        <f>'Reels From Source (2)'!D87</f>
        <v>0</v>
      </c>
      <c r="Q91" s="2">
        <f>'Reels From Source (2)'!E87</f>
        <v>0</v>
      </c>
      <c r="R91" s="2">
        <f>'Reels From Source (2)'!F87</f>
        <v>0</v>
      </c>
      <c r="S91"/>
      <c r="T91"/>
      <c r="U91"/>
    </row>
    <row r="92" spans="2:22" x14ac:dyDescent="0.2">
      <c r="B92" s="15">
        <v>0</v>
      </c>
      <c r="C92" s="15">
        <v>0</v>
      </c>
      <c r="D92" s="15">
        <v>0</v>
      </c>
      <c r="E92" s="15">
        <v>0</v>
      </c>
      <c r="F92" s="15">
        <v>0</v>
      </c>
      <c r="L92" s="32"/>
      <c r="M92" s="2">
        <f>'Reels From Source (2)'!A88</f>
        <v>0</v>
      </c>
      <c r="N92" s="2">
        <f>'Reels From Source (2)'!B88</f>
        <v>0</v>
      </c>
      <c r="O92" s="2">
        <f>'Reels From Source (2)'!C88</f>
        <v>0</v>
      </c>
      <c r="P92" s="2">
        <f>'Reels From Source (2)'!D88</f>
        <v>0</v>
      </c>
      <c r="Q92" s="2">
        <f>'Reels From Source (2)'!E88</f>
        <v>0</v>
      </c>
      <c r="R92" s="2">
        <f>'Reels From Source (2)'!F88</f>
        <v>0</v>
      </c>
      <c r="S92"/>
      <c r="T92"/>
      <c r="U92"/>
    </row>
    <row r="93" spans="2:22" x14ac:dyDescent="0.2">
      <c r="B93" s="15">
        <v>0</v>
      </c>
      <c r="C93" s="15">
        <v>0</v>
      </c>
      <c r="D93" s="15">
        <v>0</v>
      </c>
      <c r="E93" s="15">
        <v>0</v>
      </c>
      <c r="F93" s="15">
        <v>0</v>
      </c>
      <c r="L93" s="32"/>
      <c r="M93" s="2">
        <f>'Reels From Source (2)'!A89</f>
        <v>0</v>
      </c>
      <c r="N93" s="2">
        <f>'Reels From Source (2)'!B89</f>
        <v>0</v>
      </c>
      <c r="O93" s="2">
        <f>'Reels From Source (2)'!C89</f>
        <v>0</v>
      </c>
      <c r="P93" s="2">
        <f>'Reels From Source (2)'!D89</f>
        <v>0</v>
      </c>
      <c r="Q93" s="2">
        <f>'Reels From Source (2)'!E89</f>
        <v>0</v>
      </c>
      <c r="R93" s="2">
        <f>'Reels From Source (2)'!F89</f>
        <v>0</v>
      </c>
      <c r="S93"/>
      <c r="T93"/>
      <c r="U93"/>
    </row>
    <row r="94" spans="2:22" x14ac:dyDescent="0.2">
      <c r="B94" s="15">
        <v>0</v>
      </c>
      <c r="C94" s="15">
        <v>0</v>
      </c>
      <c r="D94" s="15">
        <v>0</v>
      </c>
      <c r="E94" s="15">
        <v>0</v>
      </c>
      <c r="F94" s="15">
        <v>0</v>
      </c>
      <c r="L94" s="32"/>
      <c r="M94" s="2">
        <f>'Reels From Source (2)'!A90</f>
        <v>0</v>
      </c>
      <c r="N94" s="2">
        <f>'Reels From Source (2)'!B90</f>
        <v>0</v>
      </c>
      <c r="O94" s="2">
        <f>'Reels From Source (2)'!C90</f>
        <v>0</v>
      </c>
      <c r="P94" s="2">
        <f>'Reels From Source (2)'!D90</f>
        <v>0</v>
      </c>
      <c r="Q94" s="2">
        <f>'Reels From Source (2)'!E90</f>
        <v>0</v>
      </c>
      <c r="R94" s="2">
        <f>'Reels From Source (2)'!F90</f>
        <v>0</v>
      </c>
      <c r="S94"/>
      <c r="T94"/>
      <c r="U94"/>
      <c r="V94"/>
    </row>
    <row r="95" spans="2:22" x14ac:dyDescent="0.2">
      <c r="B95" s="15">
        <v>0</v>
      </c>
      <c r="C95" s="15">
        <v>0</v>
      </c>
      <c r="D95" s="15">
        <v>0</v>
      </c>
      <c r="E95" s="15">
        <v>0</v>
      </c>
      <c r="F95" s="15">
        <v>0</v>
      </c>
      <c r="L95" s="32"/>
      <c r="M95" s="2">
        <f>'Reels From Source (2)'!A91</f>
        <v>0</v>
      </c>
      <c r="N95" s="2">
        <f>'Reels From Source (2)'!B91</f>
        <v>0</v>
      </c>
      <c r="O95" s="2">
        <f>'Reels From Source (2)'!C91</f>
        <v>0</v>
      </c>
      <c r="P95" s="2">
        <f>'Reels From Source (2)'!D91</f>
        <v>0</v>
      </c>
      <c r="Q95" s="2">
        <f>'Reels From Source (2)'!E91</f>
        <v>0</v>
      </c>
      <c r="R95" s="2">
        <f>'Reels From Source (2)'!F91</f>
        <v>0</v>
      </c>
      <c r="S95"/>
      <c r="T95"/>
      <c r="U95"/>
      <c r="V95"/>
    </row>
    <row r="96" spans="2:22" x14ac:dyDescent="0.2">
      <c r="B96" s="15">
        <v>0</v>
      </c>
      <c r="C96" s="15">
        <v>0</v>
      </c>
      <c r="D96" s="15">
        <v>0</v>
      </c>
      <c r="E96" s="15">
        <v>0</v>
      </c>
      <c r="F96" s="15">
        <v>0</v>
      </c>
      <c r="M96" s="2">
        <f>'Reels From Source (2)'!A92</f>
        <v>0</v>
      </c>
      <c r="N96" s="2">
        <f>'Reels From Source (2)'!B92</f>
        <v>0</v>
      </c>
      <c r="O96" s="2">
        <f>'Reels From Source (2)'!C92</f>
        <v>0</v>
      </c>
      <c r="P96" s="2">
        <f>'Reels From Source (2)'!D92</f>
        <v>0</v>
      </c>
      <c r="Q96" s="2">
        <f>'Reels From Source (2)'!E92</f>
        <v>0</v>
      </c>
      <c r="R96" s="2">
        <f>'Reels From Source (2)'!F92</f>
        <v>0</v>
      </c>
      <c r="S96"/>
      <c r="T96"/>
      <c r="U96"/>
      <c r="V96"/>
    </row>
    <row r="97" spans="2:22" x14ac:dyDescent="0.2">
      <c r="B97" s="15">
        <v>0</v>
      </c>
      <c r="C97" s="15">
        <v>0</v>
      </c>
      <c r="D97" s="15">
        <v>0</v>
      </c>
      <c r="E97" s="15">
        <v>0</v>
      </c>
      <c r="F97" s="15">
        <v>0</v>
      </c>
      <c r="M97" s="2">
        <f>'Reels From Source (2)'!A93</f>
        <v>0</v>
      </c>
      <c r="N97" s="2">
        <f>'Reels From Source (2)'!B93</f>
        <v>0</v>
      </c>
      <c r="O97" s="2">
        <f>'Reels From Source (2)'!C93</f>
        <v>0</v>
      </c>
      <c r="P97" s="2">
        <f>'Reels From Source (2)'!D93</f>
        <v>0</v>
      </c>
      <c r="Q97" s="2">
        <f>'Reels From Source (2)'!E93</f>
        <v>0</v>
      </c>
      <c r="R97" s="2">
        <f>'Reels From Source (2)'!F93</f>
        <v>0</v>
      </c>
      <c r="S97"/>
      <c r="T97"/>
      <c r="U97"/>
      <c r="V97"/>
    </row>
    <row r="98" spans="2:22" x14ac:dyDescent="0.2">
      <c r="B98" s="15">
        <v>0</v>
      </c>
      <c r="C98" s="15">
        <v>0</v>
      </c>
      <c r="D98" s="15">
        <v>0</v>
      </c>
      <c r="E98" s="15">
        <v>0</v>
      </c>
      <c r="F98" s="15">
        <v>0</v>
      </c>
      <c r="M98" s="2">
        <f>'Reels From Source (2)'!A94</f>
        <v>0</v>
      </c>
      <c r="N98" s="2">
        <f>'Reels From Source (2)'!B94</f>
        <v>0</v>
      </c>
      <c r="O98" s="2">
        <f>'Reels From Source (2)'!C94</f>
        <v>0</v>
      </c>
      <c r="P98" s="2">
        <f>'Reels From Source (2)'!D94</f>
        <v>0</v>
      </c>
      <c r="Q98" s="2">
        <f>'Reels From Source (2)'!E94</f>
        <v>0</v>
      </c>
      <c r="R98" s="2">
        <f>'Reels From Source (2)'!F94</f>
        <v>0</v>
      </c>
      <c r="S98"/>
      <c r="T98"/>
      <c r="U98"/>
      <c r="V98"/>
    </row>
    <row r="99" spans="2:22" x14ac:dyDescent="0.2">
      <c r="B99" s="15">
        <v>0</v>
      </c>
      <c r="C99" s="15">
        <v>0</v>
      </c>
      <c r="D99" s="15">
        <v>0</v>
      </c>
      <c r="E99" s="15">
        <v>0</v>
      </c>
      <c r="F99" s="15">
        <v>0</v>
      </c>
      <c r="M99" s="2">
        <f>'Reels From Source (2)'!A95</f>
        <v>0</v>
      </c>
      <c r="N99" s="2">
        <f>'Reels From Source (2)'!B95</f>
        <v>0</v>
      </c>
      <c r="O99" s="2">
        <f>'Reels From Source (2)'!C95</f>
        <v>0</v>
      </c>
      <c r="P99" s="2">
        <f>'Reels From Source (2)'!D95</f>
        <v>0</v>
      </c>
      <c r="Q99" s="2">
        <f>'Reels From Source (2)'!E95</f>
        <v>0</v>
      </c>
      <c r="R99" s="2">
        <f>'Reels From Source (2)'!F95</f>
        <v>0</v>
      </c>
      <c r="S99"/>
      <c r="T99"/>
      <c r="U99"/>
      <c r="V99"/>
    </row>
    <row r="100" spans="2:22" x14ac:dyDescent="0.2"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M100" s="2">
        <f>'Reels From Source (2)'!A96</f>
        <v>0</v>
      </c>
      <c r="N100" s="2">
        <f>'Reels From Source (2)'!B96</f>
        <v>0</v>
      </c>
      <c r="O100" s="2">
        <f>'Reels From Source (2)'!C96</f>
        <v>0</v>
      </c>
      <c r="P100" s="2">
        <f>'Reels From Source (2)'!D96</f>
        <v>0</v>
      </c>
      <c r="Q100" s="2">
        <f>'Reels From Source (2)'!E96</f>
        <v>0</v>
      </c>
      <c r="R100" s="2">
        <f>'Reels From Source (2)'!F96</f>
        <v>0</v>
      </c>
      <c r="S100"/>
      <c r="T100"/>
      <c r="U100"/>
      <c r="V100"/>
    </row>
    <row r="101" spans="2:22" x14ac:dyDescent="0.2"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M101" s="2">
        <f>'Reels From Source (2)'!A97</f>
        <v>0</v>
      </c>
      <c r="N101" s="2">
        <f>'Reels From Source (2)'!B97</f>
        <v>0</v>
      </c>
      <c r="O101" s="2">
        <f>'Reels From Source (2)'!C97</f>
        <v>0</v>
      </c>
      <c r="P101" s="2">
        <f>'Reels From Source (2)'!D97</f>
        <v>0</v>
      </c>
      <c r="Q101" s="2">
        <f>'Reels From Source (2)'!E97</f>
        <v>0</v>
      </c>
      <c r="R101" s="2">
        <f>'Reels From Source (2)'!F97</f>
        <v>0</v>
      </c>
      <c r="S101"/>
      <c r="T101"/>
      <c r="U101"/>
      <c r="V101"/>
    </row>
    <row r="102" spans="2:22" x14ac:dyDescent="0.2"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M102" s="2">
        <f>'Reels From Source (2)'!A98</f>
        <v>0</v>
      </c>
      <c r="N102" s="2">
        <f>'Reels From Source (2)'!B98</f>
        <v>0</v>
      </c>
      <c r="O102" s="2">
        <f>'Reels From Source (2)'!C98</f>
        <v>0</v>
      </c>
      <c r="P102" s="2">
        <f>'Reels From Source (2)'!D98</f>
        <v>0</v>
      </c>
      <c r="Q102" s="2">
        <f>'Reels From Source (2)'!E98</f>
        <v>0</v>
      </c>
      <c r="R102" s="2">
        <f>'Reels From Source (2)'!F98</f>
        <v>0</v>
      </c>
      <c r="S102"/>
      <c r="T102"/>
      <c r="U102"/>
      <c r="V102"/>
    </row>
    <row r="103" spans="2:22" x14ac:dyDescent="0.2"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M103" s="2">
        <f>'Reels From Source (2)'!A99</f>
        <v>0</v>
      </c>
      <c r="N103" s="2">
        <f>'Reels From Source (2)'!B99</f>
        <v>0</v>
      </c>
      <c r="O103" s="2">
        <f>'Reels From Source (2)'!C99</f>
        <v>0</v>
      </c>
      <c r="P103" s="2">
        <f>'Reels From Source (2)'!D99</f>
        <v>0</v>
      </c>
      <c r="Q103" s="2">
        <f>'Reels From Source (2)'!E99</f>
        <v>0</v>
      </c>
      <c r="R103" s="2">
        <f>'Reels From Source (2)'!F99</f>
        <v>0</v>
      </c>
      <c r="S103"/>
      <c r="T103"/>
      <c r="U103"/>
      <c r="V103"/>
    </row>
    <row r="104" spans="2:22" x14ac:dyDescent="0.2"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M104" s="2">
        <f>'Reels From Source (2)'!A100</f>
        <v>0</v>
      </c>
      <c r="N104" s="2">
        <f>'Reels From Source (2)'!B100</f>
        <v>0</v>
      </c>
      <c r="O104" s="2">
        <f>'Reels From Source (2)'!C100</f>
        <v>0</v>
      </c>
      <c r="P104" s="2">
        <f>'Reels From Source (2)'!D100</f>
        <v>0</v>
      </c>
      <c r="Q104" s="2">
        <f>'Reels From Source (2)'!E100</f>
        <v>0</v>
      </c>
      <c r="R104" s="2">
        <f>'Reels From Source (2)'!F100</f>
        <v>0</v>
      </c>
      <c r="S104"/>
      <c r="T104"/>
      <c r="U104"/>
      <c r="V104"/>
    </row>
    <row r="105" spans="2:22" x14ac:dyDescent="0.2"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L105" s="16" t="s">
        <v>14</v>
      </c>
      <c r="M105" s="2">
        <f>'Reels From Source (2)'!A101</f>
        <v>0</v>
      </c>
      <c r="N105" s="2">
        <f>'Reels From Source (2)'!B101</f>
        <v>0</v>
      </c>
      <c r="O105" s="2">
        <f>'Reels From Source (2)'!C101</f>
        <v>0</v>
      </c>
      <c r="P105" s="2">
        <f>'Reels From Source (2)'!D101</f>
        <v>0</v>
      </c>
      <c r="Q105" s="2">
        <f>'Reels From Source (2)'!E101</f>
        <v>0</v>
      </c>
      <c r="R105" s="2">
        <f>'Reels From Source (2)'!F101</f>
        <v>0</v>
      </c>
      <c r="S105"/>
      <c r="T105"/>
      <c r="U105"/>
      <c r="V105"/>
    </row>
    <row r="106" spans="2:22" x14ac:dyDescent="0.2"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M106" s="2">
        <f>'Reels From Source (2)'!A102</f>
        <v>0</v>
      </c>
      <c r="N106" s="2">
        <f>'Reels From Source (2)'!B102</f>
        <v>0</v>
      </c>
      <c r="O106" s="2">
        <f>'Reels From Source (2)'!C102</f>
        <v>0</v>
      </c>
      <c r="P106" s="2">
        <f>'Reels From Source (2)'!D102</f>
        <v>0</v>
      </c>
      <c r="Q106" s="2">
        <f>'Reels From Source (2)'!E102</f>
        <v>0</v>
      </c>
      <c r="R106" s="2">
        <f>'Reels From Source (2)'!F102</f>
        <v>0</v>
      </c>
      <c r="S106"/>
      <c r="T106"/>
      <c r="U106"/>
      <c r="V106"/>
    </row>
    <row r="107" spans="2:22" x14ac:dyDescent="0.2"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L107" s="32"/>
      <c r="M107" s="2">
        <f>'Reels From Source (2)'!A103</f>
        <v>0</v>
      </c>
      <c r="N107" s="2">
        <f>'Reels From Source (2)'!B103</f>
        <v>0</v>
      </c>
      <c r="O107" s="2">
        <f>'Reels From Source (2)'!C103</f>
        <v>0</v>
      </c>
      <c r="P107" s="2">
        <f>'Reels From Source (2)'!D103</f>
        <v>0</v>
      </c>
      <c r="Q107" s="2">
        <f>'Reels From Source (2)'!E103</f>
        <v>0</v>
      </c>
      <c r="R107" s="2">
        <f>'Reels From Source (2)'!F103</f>
        <v>0</v>
      </c>
      <c r="S107"/>
      <c r="T107"/>
      <c r="U107"/>
      <c r="V107"/>
    </row>
    <row r="108" spans="2:22" x14ac:dyDescent="0.2"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L108" s="32"/>
      <c r="M108" s="2">
        <f>'Reels From Source (2)'!A104</f>
        <v>0</v>
      </c>
      <c r="N108" s="2">
        <f>'Reels From Source (2)'!B104</f>
        <v>0</v>
      </c>
      <c r="O108" s="2">
        <f>'Reels From Source (2)'!C104</f>
        <v>0</v>
      </c>
      <c r="P108" s="2">
        <f>'Reels From Source (2)'!D104</f>
        <v>0</v>
      </c>
      <c r="Q108" s="2">
        <f>'Reels From Source (2)'!E104</f>
        <v>0</v>
      </c>
      <c r="R108" s="2">
        <f>'Reels From Source (2)'!F104</f>
        <v>0</v>
      </c>
      <c r="S108"/>
      <c r="T108"/>
      <c r="U108"/>
      <c r="V108"/>
    </row>
    <row r="109" spans="2:22" x14ac:dyDescent="0.2"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L109" s="32"/>
      <c r="M109" s="2">
        <f>'Reels From Source (2)'!A105</f>
        <v>0</v>
      </c>
      <c r="N109" s="2">
        <f>'Reels From Source (2)'!B105</f>
        <v>0</v>
      </c>
      <c r="O109" s="2">
        <f>'Reels From Source (2)'!C105</f>
        <v>0</v>
      </c>
      <c r="P109" s="2">
        <f>'Reels From Source (2)'!D105</f>
        <v>0</v>
      </c>
      <c r="Q109" s="2">
        <f>'Reels From Source (2)'!E105</f>
        <v>0</v>
      </c>
      <c r="R109" s="2">
        <f>'Reels From Source (2)'!F105</f>
        <v>0</v>
      </c>
      <c r="S109"/>
      <c r="T109"/>
      <c r="U109"/>
      <c r="V109"/>
    </row>
    <row r="110" spans="2:22" x14ac:dyDescent="0.2"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L110" s="32"/>
      <c r="M110" s="2">
        <f>'Reels From Source (2)'!A106</f>
        <v>0</v>
      </c>
      <c r="N110" s="2">
        <f>'Reels From Source (2)'!B106</f>
        <v>0</v>
      </c>
      <c r="O110" s="2">
        <f>'Reels From Source (2)'!C106</f>
        <v>0</v>
      </c>
      <c r="P110" s="2">
        <f>'Reels From Source (2)'!D106</f>
        <v>0</v>
      </c>
      <c r="Q110" s="2">
        <f>'Reels From Source (2)'!E106</f>
        <v>0</v>
      </c>
      <c r="R110" s="2">
        <f>'Reels From Source (2)'!F106</f>
        <v>0</v>
      </c>
      <c r="S110"/>
      <c r="T110"/>
      <c r="U110"/>
      <c r="V110"/>
    </row>
    <row r="111" spans="2:22" x14ac:dyDescent="0.2"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L111" s="32"/>
      <c r="M111" s="2">
        <f>'Reels From Source (2)'!A107</f>
        <v>0</v>
      </c>
      <c r="N111" s="2">
        <f>'Reels From Source (2)'!B107</f>
        <v>0</v>
      </c>
      <c r="O111" s="2">
        <f>'Reels From Source (2)'!C107</f>
        <v>0</v>
      </c>
      <c r="P111" s="2">
        <f>'Reels From Source (2)'!D107</f>
        <v>0</v>
      </c>
      <c r="Q111" s="2">
        <f>'Reels From Source (2)'!E107</f>
        <v>0</v>
      </c>
      <c r="R111" s="2">
        <f>'Reels From Source (2)'!F107</f>
        <v>0</v>
      </c>
      <c r="S111"/>
      <c r="T111"/>
      <c r="U111"/>
      <c r="V111"/>
    </row>
    <row r="112" spans="2:22" x14ac:dyDescent="0.2"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L112" s="32"/>
      <c r="M112" s="2">
        <f>'Reels From Source (2)'!A108</f>
        <v>0</v>
      </c>
      <c r="N112" s="2">
        <f>'Reels From Source (2)'!B108</f>
        <v>0</v>
      </c>
      <c r="O112" s="2">
        <f>'Reels From Source (2)'!C108</f>
        <v>0</v>
      </c>
      <c r="P112" s="2">
        <f>'Reels From Source (2)'!D108</f>
        <v>0</v>
      </c>
      <c r="Q112" s="2">
        <f>'Reels From Source (2)'!E108</f>
        <v>0</v>
      </c>
      <c r="R112" s="2">
        <f>'Reels From Source (2)'!F108</f>
        <v>0</v>
      </c>
      <c r="S112"/>
      <c r="T112"/>
      <c r="U112"/>
      <c r="V112"/>
    </row>
    <row r="113" spans="2:22" x14ac:dyDescent="0.2"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L113" s="32"/>
      <c r="M113" s="2">
        <f>'Reels From Source (2)'!A109</f>
        <v>0</v>
      </c>
      <c r="N113" s="2">
        <f>'Reels From Source (2)'!B109</f>
        <v>0</v>
      </c>
      <c r="O113" s="2">
        <f>'Reels From Source (2)'!C109</f>
        <v>0</v>
      </c>
      <c r="P113" s="2">
        <f>'Reels From Source (2)'!D109</f>
        <v>0</v>
      </c>
      <c r="Q113" s="2">
        <f>'Reels From Source (2)'!E109</f>
        <v>0</v>
      </c>
      <c r="R113" s="2">
        <f>'Reels From Source (2)'!F109</f>
        <v>0</v>
      </c>
      <c r="S113"/>
      <c r="T113"/>
      <c r="U113"/>
      <c r="V113"/>
    </row>
    <row r="114" spans="2:22" x14ac:dyDescent="0.2"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L114" s="32"/>
      <c r="M114" s="2">
        <f>'Reels From Source (2)'!A110</f>
        <v>0</v>
      </c>
      <c r="N114" s="2">
        <f>'Reels From Source (2)'!B110</f>
        <v>0</v>
      </c>
      <c r="O114" s="2">
        <f>'Reels From Source (2)'!C110</f>
        <v>0</v>
      </c>
      <c r="P114" s="2">
        <f>'Reels From Source (2)'!D110</f>
        <v>0</v>
      </c>
      <c r="Q114" s="2">
        <f>'Reels From Source (2)'!E110</f>
        <v>0</v>
      </c>
      <c r="R114" s="2">
        <f>'Reels From Source (2)'!F110</f>
        <v>0</v>
      </c>
      <c r="S114"/>
      <c r="T114"/>
      <c r="U114"/>
      <c r="V114"/>
    </row>
    <row r="115" spans="2:22" x14ac:dyDescent="0.2"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L115" s="32"/>
      <c r="M115" s="2">
        <f>'Reels From Source (2)'!A111</f>
        <v>0</v>
      </c>
      <c r="N115" s="2">
        <f>'Reels From Source (2)'!B111</f>
        <v>0</v>
      </c>
      <c r="O115" s="2">
        <f>'Reels From Source (2)'!C111</f>
        <v>0</v>
      </c>
      <c r="P115" s="2">
        <f>'Reels From Source (2)'!D111</f>
        <v>0</v>
      </c>
      <c r="Q115" s="2">
        <f>'Reels From Source (2)'!E111</f>
        <v>0</v>
      </c>
      <c r="R115" s="2">
        <f>'Reels From Source (2)'!F111</f>
        <v>0</v>
      </c>
      <c r="S115"/>
      <c r="T115"/>
      <c r="U115"/>
      <c r="V115"/>
    </row>
    <row r="116" spans="2:22" x14ac:dyDescent="0.2"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L116" s="32"/>
      <c r="M116" s="2">
        <f>'Reels From Source (2)'!A112</f>
        <v>0</v>
      </c>
      <c r="N116" s="2">
        <f>'Reels From Source (2)'!B112</f>
        <v>0</v>
      </c>
      <c r="O116" s="2">
        <f>'Reels From Source (2)'!C112</f>
        <v>0</v>
      </c>
      <c r="P116" s="2">
        <f>'Reels From Source (2)'!D112</f>
        <v>0</v>
      </c>
      <c r="Q116" s="2">
        <f>'Reels From Source (2)'!E112</f>
        <v>0</v>
      </c>
      <c r="R116" s="2">
        <f>'Reels From Source (2)'!F112</f>
        <v>0</v>
      </c>
      <c r="S116"/>
      <c r="T116"/>
      <c r="U116"/>
      <c r="V116"/>
    </row>
    <row r="117" spans="2:22" x14ac:dyDescent="0.2"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L117" s="32"/>
      <c r="M117" s="2">
        <f>'Reels From Source (2)'!A113</f>
        <v>0</v>
      </c>
      <c r="N117" s="2">
        <f>'Reels From Source (2)'!B113</f>
        <v>0</v>
      </c>
      <c r="O117" s="2">
        <f>'Reels From Source (2)'!C113</f>
        <v>0</v>
      </c>
      <c r="P117" s="2">
        <f>'Reels From Source (2)'!D113</f>
        <v>0</v>
      </c>
      <c r="Q117" s="2">
        <f>'Reels From Source (2)'!E113</f>
        <v>0</v>
      </c>
      <c r="R117" s="2">
        <f>'Reels From Source (2)'!F113</f>
        <v>0</v>
      </c>
      <c r="S117"/>
      <c r="T117"/>
      <c r="U117"/>
      <c r="V117"/>
    </row>
    <row r="118" spans="2:22" x14ac:dyDescent="0.2"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L118" s="32"/>
      <c r="M118" s="2">
        <f>'Reels From Source (2)'!A114</f>
        <v>0</v>
      </c>
      <c r="N118" s="2">
        <f>'Reels From Source (2)'!B114</f>
        <v>0</v>
      </c>
      <c r="O118" s="2">
        <f>'Reels From Source (2)'!C114</f>
        <v>0</v>
      </c>
      <c r="P118" s="2">
        <f>'Reels From Source (2)'!D114</f>
        <v>0</v>
      </c>
      <c r="Q118" s="2">
        <f>'Reels From Source (2)'!E114</f>
        <v>0</v>
      </c>
      <c r="R118" s="2">
        <f>'Reels From Source (2)'!F114</f>
        <v>0</v>
      </c>
      <c r="S118"/>
      <c r="T118"/>
      <c r="U118"/>
      <c r="V118"/>
    </row>
    <row r="119" spans="2:22" x14ac:dyDescent="0.2"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M119" s="2">
        <f>'Reels From Source (2)'!A115</f>
        <v>0</v>
      </c>
      <c r="N119" s="2">
        <f>'Reels From Source (2)'!B115</f>
        <v>0</v>
      </c>
      <c r="O119" s="2">
        <f>'Reels From Source (2)'!C115</f>
        <v>0</v>
      </c>
      <c r="P119" s="2">
        <f>'Reels From Source (2)'!D115</f>
        <v>0</v>
      </c>
      <c r="Q119" s="2">
        <f>'Reels From Source (2)'!E115</f>
        <v>0</v>
      </c>
      <c r="R119" s="2">
        <f>'Reels From Source (2)'!F115</f>
        <v>0</v>
      </c>
      <c r="S119"/>
      <c r="T119"/>
      <c r="U119"/>
      <c r="V119"/>
    </row>
    <row r="120" spans="2:22" x14ac:dyDescent="0.2"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M120" s="2">
        <f>'Reels From Source (2)'!A116</f>
        <v>0</v>
      </c>
      <c r="N120" s="2">
        <f>'Reels From Source (2)'!B116</f>
        <v>0</v>
      </c>
      <c r="O120" s="2">
        <f>'Reels From Source (2)'!C116</f>
        <v>0</v>
      </c>
      <c r="P120" s="2">
        <f>'Reels From Source (2)'!D116</f>
        <v>0</v>
      </c>
      <c r="Q120" s="2">
        <f>'Reels From Source (2)'!E116</f>
        <v>0</v>
      </c>
      <c r="R120" s="2">
        <f>'Reels From Source (2)'!F116</f>
        <v>0</v>
      </c>
      <c r="S120"/>
      <c r="T120"/>
      <c r="U120"/>
    </row>
    <row r="121" spans="2:22" x14ac:dyDescent="0.2"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M121" s="2">
        <f>'Reels From Source (2)'!A117</f>
        <v>0</v>
      </c>
      <c r="N121" s="2">
        <f>'Reels From Source (2)'!B117</f>
        <v>0</v>
      </c>
      <c r="O121" s="2">
        <f>'Reels From Source (2)'!C117</f>
        <v>0</v>
      </c>
      <c r="P121" s="2">
        <f>'Reels From Source (2)'!D117</f>
        <v>0</v>
      </c>
      <c r="Q121" s="2">
        <f>'Reels From Source (2)'!E117</f>
        <v>0</v>
      </c>
      <c r="R121" s="2">
        <f>'Reels From Source (2)'!F117</f>
        <v>0</v>
      </c>
      <c r="S121"/>
      <c r="T121"/>
      <c r="U121"/>
    </row>
    <row r="122" spans="2:22" x14ac:dyDescent="0.2"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M122" s="2">
        <f>'Reels From Source (2)'!A118</f>
        <v>0</v>
      </c>
      <c r="N122" s="2">
        <f>'Reels From Source (2)'!B118</f>
        <v>0</v>
      </c>
      <c r="O122" s="2">
        <f>'Reels From Source (2)'!C118</f>
        <v>0</v>
      </c>
      <c r="P122" s="2">
        <f>'Reels From Source (2)'!D118</f>
        <v>0</v>
      </c>
      <c r="Q122" s="2">
        <f>'Reels From Source (2)'!E118</f>
        <v>0</v>
      </c>
      <c r="R122" s="2">
        <f>'Reels From Source (2)'!F118</f>
        <v>0</v>
      </c>
      <c r="S122"/>
      <c r="T122"/>
      <c r="U122"/>
      <c r="V122"/>
    </row>
    <row r="123" spans="2:22" x14ac:dyDescent="0.2"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M123" s="2">
        <f>'Reels From Source (2)'!A119</f>
        <v>0</v>
      </c>
      <c r="N123" s="2">
        <f>'Reels From Source (2)'!B119</f>
        <v>0</v>
      </c>
      <c r="O123" s="2">
        <f>'Reels From Source (2)'!C119</f>
        <v>0</v>
      </c>
      <c r="P123" s="2">
        <f>'Reels From Source (2)'!D119</f>
        <v>0</v>
      </c>
      <c r="Q123" s="2">
        <f>'Reels From Source (2)'!E119</f>
        <v>0</v>
      </c>
      <c r="R123" s="2">
        <f>'Reels From Source (2)'!F119</f>
        <v>0</v>
      </c>
      <c r="S123"/>
      <c r="T123"/>
      <c r="U123"/>
      <c r="V123"/>
    </row>
    <row r="124" spans="2:22" x14ac:dyDescent="0.2"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M124" s="2">
        <f>'Reels From Source (2)'!A120</f>
        <v>0</v>
      </c>
      <c r="N124" s="2">
        <f>'Reels From Source (2)'!B120</f>
        <v>0</v>
      </c>
      <c r="O124" s="2">
        <f>'Reels From Source (2)'!C120</f>
        <v>0</v>
      </c>
      <c r="P124" s="2">
        <f>'Reels From Source (2)'!D120</f>
        <v>0</v>
      </c>
      <c r="Q124" s="2">
        <f>'Reels From Source (2)'!E120</f>
        <v>0</v>
      </c>
      <c r="R124" s="2">
        <f>'Reels From Source (2)'!F120</f>
        <v>0</v>
      </c>
      <c r="S124"/>
      <c r="T124"/>
      <c r="U124"/>
      <c r="V124"/>
    </row>
    <row r="125" spans="2:22" x14ac:dyDescent="0.2"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M125" s="2">
        <f>'Reels From Source (2)'!A121</f>
        <v>0</v>
      </c>
      <c r="N125" s="2">
        <f>'Reels From Source (2)'!B121</f>
        <v>0</v>
      </c>
      <c r="O125" s="2">
        <f>'Reels From Source (2)'!C121</f>
        <v>0</v>
      </c>
      <c r="P125" s="2">
        <f>'Reels From Source (2)'!D121</f>
        <v>0</v>
      </c>
      <c r="Q125" s="2">
        <f>'Reels From Source (2)'!E121</f>
        <v>0</v>
      </c>
      <c r="R125" s="2">
        <f>'Reels From Source (2)'!F121</f>
        <v>0</v>
      </c>
      <c r="S125"/>
      <c r="T125"/>
      <c r="U125"/>
      <c r="V125"/>
    </row>
    <row r="126" spans="2:22" x14ac:dyDescent="0.2"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M126" s="2">
        <f>'Reels From Source (2)'!A122</f>
        <v>0</v>
      </c>
      <c r="N126" s="2">
        <f>'Reels From Source (2)'!B122</f>
        <v>0</v>
      </c>
      <c r="O126" s="2">
        <f>'Reels From Source (2)'!C122</f>
        <v>0</v>
      </c>
      <c r="P126" s="2">
        <f>'Reels From Source (2)'!D122</f>
        <v>0</v>
      </c>
      <c r="Q126" s="2">
        <f>'Reels From Source (2)'!E122</f>
        <v>0</v>
      </c>
      <c r="R126" s="2">
        <f>'Reels From Source (2)'!F122</f>
        <v>0</v>
      </c>
      <c r="S126"/>
      <c r="T126"/>
      <c r="U126"/>
      <c r="V126"/>
    </row>
    <row r="127" spans="2:22" x14ac:dyDescent="0.2"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M127" s="2">
        <f>'Reels From Source (2)'!A123</f>
        <v>0</v>
      </c>
      <c r="N127" s="2">
        <f>'Reels From Source (2)'!B123</f>
        <v>0</v>
      </c>
      <c r="O127" s="2">
        <f>'Reels From Source (2)'!C123</f>
        <v>0</v>
      </c>
      <c r="P127" s="2">
        <f>'Reels From Source (2)'!D123</f>
        <v>0</v>
      </c>
      <c r="Q127" s="2">
        <f>'Reels From Source (2)'!E123</f>
        <v>0</v>
      </c>
      <c r="R127" s="2">
        <f>'Reels From Source (2)'!F123</f>
        <v>0</v>
      </c>
      <c r="S127"/>
      <c r="T127"/>
      <c r="U127"/>
      <c r="V127"/>
    </row>
    <row r="128" spans="2:22" x14ac:dyDescent="0.2"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M128" s="2">
        <f>'Reels From Source (2)'!A124</f>
        <v>0</v>
      </c>
      <c r="N128" s="2">
        <f>'Reels From Source (2)'!B124</f>
        <v>0</v>
      </c>
      <c r="O128" s="2">
        <f>'Reels From Source (2)'!C124</f>
        <v>0</v>
      </c>
      <c r="P128" s="2">
        <f>'Reels From Source (2)'!D124</f>
        <v>0</v>
      </c>
      <c r="Q128" s="2">
        <f>'Reels From Source (2)'!E124</f>
        <v>0</v>
      </c>
      <c r="R128" s="2">
        <f>'Reels From Source (2)'!F124</f>
        <v>0</v>
      </c>
      <c r="S128"/>
      <c r="T128"/>
      <c r="U128"/>
      <c r="V128"/>
    </row>
    <row r="129" spans="2:22" x14ac:dyDescent="0.2"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M129" s="2">
        <f>'Reels From Source (2)'!A125</f>
        <v>0</v>
      </c>
      <c r="N129" s="2">
        <f>'Reels From Source (2)'!B125</f>
        <v>0</v>
      </c>
      <c r="O129" s="2">
        <f>'Reels From Source (2)'!C125</f>
        <v>0</v>
      </c>
      <c r="P129" s="2">
        <f>'Reels From Source (2)'!D125</f>
        <v>0</v>
      </c>
      <c r="Q129" s="2">
        <f>'Reels From Source (2)'!E125</f>
        <v>0</v>
      </c>
      <c r="R129" s="2">
        <f>'Reels From Source (2)'!F125</f>
        <v>0</v>
      </c>
      <c r="S129"/>
      <c r="T129"/>
      <c r="U129"/>
      <c r="V129"/>
    </row>
    <row r="130" spans="2:22" x14ac:dyDescent="0.2">
      <c r="B130" s="15"/>
      <c r="C130" s="15"/>
      <c r="D130" s="15"/>
      <c r="E130" s="15"/>
      <c r="F130" s="15"/>
      <c r="L130" s="16" t="s">
        <v>30</v>
      </c>
      <c r="M130" s="2">
        <f>'Reels From Source (2)'!A126</f>
        <v>0</v>
      </c>
      <c r="N130" s="2">
        <f>'Reels From Source (2)'!B126</f>
        <v>0</v>
      </c>
      <c r="O130" s="2">
        <f>'Reels From Source (2)'!C126</f>
        <v>0</v>
      </c>
      <c r="P130" s="2">
        <f>'Reels From Source (2)'!D126</f>
        <v>0</v>
      </c>
      <c r="Q130" s="2">
        <f>'Reels From Source (2)'!E126</f>
        <v>0</v>
      </c>
      <c r="R130" s="2">
        <f>'Reels From Source (2)'!F126</f>
        <v>0</v>
      </c>
      <c r="S130"/>
      <c r="T130"/>
      <c r="U130"/>
      <c r="V130"/>
    </row>
    <row r="131" spans="2:22" x14ac:dyDescent="0.2">
      <c r="B131" s="15"/>
      <c r="C131" s="15"/>
      <c r="D131" s="15"/>
      <c r="E131" s="15"/>
      <c r="F131" s="15"/>
      <c r="M131" s="2">
        <f>'Reels From Source (2)'!A127</f>
        <v>0</v>
      </c>
      <c r="N131" s="2">
        <f>'Reels From Source (2)'!B127</f>
        <v>0</v>
      </c>
      <c r="O131" s="2">
        <f>'Reels From Source (2)'!C127</f>
        <v>0</v>
      </c>
      <c r="P131" s="2">
        <f>'Reels From Source (2)'!D127</f>
        <v>0</v>
      </c>
      <c r="Q131" s="2">
        <f>'Reels From Source (2)'!E127</f>
        <v>0</v>
      </c>
      <c r="R131" s="2">
        <f>'Reels From Source (2)'!F127</f>
        <v>0</v>
      </c>
      <c r="S131"/>
      <c r="T131"/>
      <c r="U131"/>
      <c r="V131"/>
    </row>
    <row r="132" spans="2:22" x14ac:dyDescent="0.2">
      <c r="B132" s="15"/>
      <c r="C132" s="15"/>
      <c r="D132" s="15"/>
      <c r="E132" s="15"/>
      <c r="F132" s="15"/>
      <c r="M132" s="2">
        <f>'Reels From Source (2)'!A128</f>
        <v>0</v>
      </c>
      <c r="N132" s="2">
        <f>'Reels From Source (2)'!B128</f>
        <v>0</v>
      </c>
      <c r="O132" s="2">
        <f>'Reels From Source (2)'!C128</f>
        <v>0</v>
      </c>
      <c r="P132" s="2">
        <f>'Reels From Source (2)'!D128</f>
        <v>0</v>
      </c>
      <c r="Q132" s="2">
        <f>'Reels From Source (2)'!E128</f>
        <v>0</v>
      </c>
      <c r="R132" s="2">
        <f>'Reels From Source (2)'!F128</f>
        <v>0</v>
      </c>
      <c r="S132"/>
      <c r="T132"/>
      <c r="U132"/>
      <c r="V132"/>
    </row>
    <row r="133" spans="2:22" x14ac:dyDescent="0.2">
      <c r="B133" s="15"/>
      <c r="C133" s="15"/>
      <c r="D133" s="15"/>
      <c r="E133" s="15"/>
      <c r="F133" s="15"/>
      <c r="M133" s="2">
        <f>'Reels From Source (2)'!A129</f>
        <v>0</v>
      </c>
      <c r="N133" s="2">
        <f>'Reels From Source (2)'!B129</f>
        <v>0</v>
      </c>
      <c r="O133" s="2">
        <f>'Reels From Source (2)'!C129</f>
        <v>0</v>
      </c>
      <c r="P133" s="2">
        <f>'Reels From Source (2)'!D129</f>
        <v>0</v>
      </c>
      <c r="Q133" s="2">
        <f>'Reels From Source (2)'!E129</f>
        <v>0</v>
      </c>
      <c r="R133" s="2">
        <f>'Reels From Source (2)'!F129</f>
        <v>0</v>
      </c>
      <c r="S133"/>
      <c r="T133"/>
      <c r="U133"/>
      <c r="V133"/>
    </row>
    <row r="134" spans="2:22" x14ac:dyDescent="0.2">
      <c r="B134" s="15"/>
      <c r="C134" s="15"/>
      <c r="D134" s="15"/>
      <c r="E134" s="15"/>
      <c r="F134" s="15"/>
      <c r="M134" s="2">
        <f>'Reels From Source (2)'!A130</f>
        <v>0</v>
      </c>
      <c r="N134" s="2">
        <f>'Reels From Source (2)'!B130</f>
        <v>0</v>
      </c>
      <c r="O134" s="2">
        <f>'Reels From Source (2)'!C130</f>
        <v>0</v>
      </c>
      <c r="P134" s="2">
        <f>'Reels From Source (2)'!D130</f>
        <v>0</v>
      </c>
      <c r="Q134" s="2">
        <f>'Reels From Source (2)'!E130</f>
        <v>0</v>
      </c>
      <c r="R134" s="2">
        <f>'Reels From Source (2)'!F130</f>
        <v>0</v>
      </c>
      <c r="S134"/>
      <c r="T134"/>
      <c r="U134"/>
      <c r="V134"/>
    </row>
    <row r="135" spans="2:22" x14ac:dyDescent="0.2">
      <c r="B135" s="15"/>
      <c r="C135" s="15"/>
      <c r="D135" s="15"/>
      <c r="E135" s="15"/>
      <c r="F135" s="15"/>
      <c r="M135" s="2">
        <f>'Reels From Source (2)'!A131</f>
        <v>0</v>
      </c>
      <c r="N135" s="2">
        <f>'Reels From Source (2)'!B131</f>
        <v>0</v>
      </c>
      <c r="O135" s="2">
        <f>'Reels From Source (2)'!C131</f>
        <v>0</v>
      </c>
      <c r="P135" s="2">
        <f>'Reels From Source (2)'!D131</f>
        <v>0</v>
      </c>
      <c r="Q135" s="2">
        <f>'Reels From Source (2)'!E131</f>
        <v>0</v>
      </c>
      <c r="R135" s="2">
        <f>'Reels From Source (2)'!F131</f>
        <v>0</v>
      </c>
      <c r="S135"/>
      <c r="T135"/>
      <c r="U135"/>
      <c r="V135"/>
    </row>
    <row r="136" spans="2:22" x14ac:dyDescent="0.2">
      <c r="B136" s="15"/>
      <c r="C136" s="15"/>
      <c r="D136" s="15"/>
      <c r="E136" s="15"/>
      <c r="F136" s="15"/>
      <c r="M136" s="2">
        <f>'Reels From Source (2)'!A132</f>
        <v>0</v>
      </c>
      <c r="N136" s="2">
        <f>'Reels From Source (2)'!B132</f>
        <v>0</v>
      </c>
      <c r="O136" s="2">
        <f>'Reels From Source (2)'!C132</f>
        <v>0</v>
      </c>
      <c r="P136" s="2">
        <f>'Reels From Source (2)'!D132</f>
        <v>0</v>
      </c>
      <c r="Q136" s="2">
        <f>'Reels From Source (2)'!E132</f>
        <v>0</v>
      </c>
      <c r="R136" s="2">
        <f>'Reels From Source (2)'!F132</f>
        <v>0</v>
      </c>
      <c r="S136"/>
      <c r="T136"/>
      <c r="U136"/>
      <c r="V136"/>
    </row>
    <row r="137" spans="2:22" x14ac:dyDescent="0.2">
      <c r="B137" s="15"/>
      <c r="C137" s="15"/>
      <c r="D137" s="15"/>
      <c r="E137" s="15"/>
      <c r="F137" s="15"/>
      <c r="M137" s="2">
        <f>'Reels From Source (2)'!A133</f>
        <v>0</v>
      </c>
      <c r="N137" s="2">
        <f>'Reels From Source (2)'!B133</f>
        <v>0</v>
      </c>
      <c r="O137" s="2">
        <f>'Reels From Source (2)'!C133</f>
        <v>0</v>
      </c>
      <c r="P137" s="2">
        <f>'Reels From Source (2)'!D133</f>
        <v>0</v>
      </c>
      <c r="Q137" s="2">
        <f>'Reels From Source (2)'!E133</f>
        <v>0</v>
      </c>
      <c r="R137" s="2">
        <f>'Reels From Source (2)'!F133</f>
        <v>0</v>
      </c>
      <c r="S137"/>
      <c r="T137"/>
      <c r="U137"/>
      <c r="V137"/>
    </row>
    <row r="138" spans="2:22" x14ac:dyDescent="0.2">
      <c r="B138" s="15"/>
      <c r="C138" s="15"/>
      <c r="D138" s="15"/>
      <c r="E138" s="15"/>
      <c r="F138" s="15"/>
      <c r="M138" s="2">
        <f>'Reels From Source (2)'!A134</f>
        <v>0</v>
      </c>
      <c r="N138" s="2">
        <f>'Reels From Source (2)'!B134</f>
        <v>0</v>
      </c>
      <c r="O138" s="2">
        <f>'Reels From Source (2)'!C134</f>
        <v>0</v>
      </c>
      <c r="P138" s="2">
        <f>'Reels From Source (2)'!D134</f>
        <v>0</v>
      </c>
      <c r="Q138" s="2">
        <f>'Reels From Source (2)'!E134</f>
        <v>0</v>
      </c>
      <c r="R138" s="2">
        <f>'Reels From Source (2)'!F134</f>
        <v>0</v>
      </c>
      <c r="S138"/>
      <c r="T138"/>
      <c r="U138"/>
      <c r="V138"/>
    </row>
    <row r="139" spans="2:22" x14ac:dyDescent="0.2">
      <c r="B139" s="15"/>
      <c r="C139" s="15"/>
      <c r="D139" s="15"/>
      <c r="E139" s="15"/>
      <c r="F139" s="15"/>
      <c r="M139" s="2">
        <f>'Reels From Source (2)'!A135</f>
        <v>0</v>
      </c>
      <c r="N139" s="2">
        <f>'Reels From Source (2)'!B135</f>
        <v>0</v>
      </c>
      <c r="O139" s="2">
        <f>'Reels From Source (2)'!C135</f>
        <v>0</v>
      </c>
      <c r="P139" s="2">
        <f>'Reels From Source (2)'!D135</f>
        <v>0</v>
      </c>
      <c r="Q139" s="2">
        <f>'Reels From Source (2)'!E135</f>
        <v>0</v>
      </c>
      <c r="R139" s="2">
        <f>'Reels From Source (2)'!F135</f>
        <v>0</v>
      </c>
      <c r="S139"/>
      <c r="T139"/>
      <c r="U139"/>
    </row>
    <row r="140" spans="2:22" x14ac:dyDescent="0.2">
      <c r="B140" s="15"/>
      <c r="C140" s="15"/>
      <c r="D140" s="15"/>
      <c r="E140" s="15"/>
      <c r="F140" s="15"/>
      <c r="M140" s="2">
        <f>'Reels From Source (2)'!A136</f>
        <v>0</v>
      </c>
      <c r="N140" s="2">
        <f>'Reels From Source (2)'!B136</f>
        <v>0</v>
      </c>
      <c r="O140" s="2">
        <f>'Reels From Source (2)'!C136</f>
        <v>0</v>
      </c>
      <c r="P140" s="2">
        <f>'Reels From Source (2)'!D136</f>
        <v>0</v>
      </c>
      <c r="Q140" s="2">
        <f>'Reels From Source (2)'!E136</f>
        <v>0</v>
      </c>
      <c r="R140" s="2">
        <f>'Reels From Source (2)'!F136</f>
        <v>0</v>
      </c>
      <c r="S140"/>
      <c r="T140"/>
      <c r="U140"/>
    </row>
    <row r="141" spans="2:22" x14ac:dyDescent="0.2">
      <c r="B141" s="15"/>
      <c r="C141" s="15"/>
      <c r="D141" s="15"/>
      <c r="E141" s="15"/>
      <c r="F141" s="15"/>
      <c r="M141" s="2">
        <f>'Reels From Source (2)'!A137</f>
        <v>0</v>
      </c>
      <c r="N141" s="2">
        <f>'Reels From Source (2)'!B137</f>
        <v>0</v>
      </c>
      <c r="O141" s="2">
        <f>'Reels From Source (2)'!C137</f>
        <v>0</v>
      </c>
      <c r="P141" s="2">
        <f>'Reels From Source (2)'!D137</f>
        <v>0</v>
      </c>
      <c r="Q141" s="2">
        <f>'Reels From Source (2)'!E137</f>
        <v>0</v>
      </c>
      <c r="R141" s="2">
        <f>'Reels From Source (2)'!F137</f>
        <v>0</v>
      </c>
      <c r="S141"/>
      <c r="T141"/>
      <c r="U141"/>
    </row>
    <row r="142" spans="2:22" x14ac:dyDescent="0.2">
      <c r="B142" s="15"/>
      <c r="C142" s="15"/>
      <c r="D142" s="15"/>
      <c r="E142" s="15"/>
      <c r="F142" s="15"/>
      <c r="M142" s="2">
        <f>'Reels From Source (2)'!A138</f>
        <v>0</v>
      </c>
      <c r="N142" s="2">
        <f>'Reels From Source (2)'!B138</f>
        <v>0</v>
      </c>
      <c r="O142" s="2">
        <f>'Reels From Source (2)'!C138</f>
        <v>0</v>
      </c>
      <c r="P142" s="2">
        <f>'Reels From Source (2)'!D138</f>
        <v>0</v>
      </c>
      <c r="Q142" s="2">
        <f>'Reels From Source (2)'!E138</f>
        <v>0</v>
      </c>
      <c r="R142" s="2">
        <f>'Reels From Source (2)'!F138</f>
        <v>0</v>
      </c>
      <c r="S142"/>
      <c r="T142"/>
      <c r="U142"/>
    </row>
    <row r="143" spans="2:22" x14ac:dyDescent="0.2">
      <c r="B143" s="15"/>
      <c r="C143" s="15"/>
      <c r="D143" s="15"/>
      <c r="E143" s="15"/>
      <c r="F143" s="15"/>
      <c r="M143" s="2">
        <f>'Reels From Source (2)'!A139</f>
        <v>0</v>
      </c>
      <c r="N143" s="2">
        <f>'Reels From Source (2)'!B139</f>
        <v>0</v>
      </c>
      <c r="O143" s="2">
        <f>'Reels From Source (2)'!C139</f>
        <v>0</v>
      </c>
      <c r="P143" s="2">
        <f>'Reels From Source (2)'!D139</f>
        <v>0</v>
      </c>
      <c r="Q143" s="2">
        <f>'Reels From Source (2)'!E139</f>
        <v>0</v>
      </c>
      <c r="R143" s="2">
        <f>'Reels From Source (2)'!F139</f>
        <v>0</v>
      </c>
      <c r="S143"/>
      <c r="T143"/>
      <c r="U143"/>
    </row>
    <row r="144" spans="2:22" x14ac:dyDescent="0.2">
      <c r="B144" s="15"/>
      <c r="C144" s="15"/>
      <c r="D144" s="15"/>
      <c r="E144" s="15"/>
      <c r="F144" s="15"/>
      <c r="M144" s="2">
        <f>'Reels From Source (2)'!A140</f>
        <v>0</v>
      </c>
      <c r="N144" s="2">
        <f>'Reels From Source (2)'!B140</f>
        <v>0</v>
      </c>
      <c r="O144" s="2">
        <f>'Reels From Source (2)'!C140</f>
        <v>0</v>
      </c>
      <c r="P144" s="2">
        <f>'Reels From Source (2)'!D140</f>
        <v>0</v>
      </c>
      <c r="Q144" s="2">
        <f>'Reels From Source (2)'!E140</f>
        <v>0</v>
      </c>
      <c r="R144" s="2">
        <f>'Reels From Source (2)'!F140</f>
        <v>0</v>
      </c>
      <c r="S144"/>
      <c r="T144"/>
      <c r="U144"/>
    </row>
    <row r="145" spans="2:21" x14ac:dyDescent="0.2">
      <c r="B145" s="15"/>
      <c r="C145" s="15"/>
      <c r="D145" s="15"/>
      <c r="E145" s="15"/>
      <c r="F145" s="15"/>
      <c r="M145" s="2">
        <f>'Reels From Source (2)'!A141</f>
        <v>0</v>
      </c>
      <c r="N145" s="2">
        <f>'Reels From Source (2)'!B141</f>
        <v>0</v>
      </c>
      <c r="O145" s="2">
        <f>'Reels From Source (2)'!C141</f>
        <v>0</v>
      </c>
      <c r="P145" s="2">
        <f>'Reels From Source (2)'!D141</f>
        <v>0</v>
      </c>
      <c r="Q145" s="2">
        <f>'Reels From Source (2)'!E141</f>
        <v>0</v>
      </c>
      <c r="R145" s="2">
        <f>'Reels From Source (2)'!F141</f>
        <v>0</v>
      </c>
      <c r="S145"/>
      <c r="T145"/>
      <c r="U145"/>
    </row>
    <row r="146" spans="2:21" x14ac:dyDescent="0.2">
      <c r="B146" s="15"/>
      <c r="C146" s="15"/>
      <c r="D146" s="15"/>
      <c r="E146" s="15"/>
      <c r="F146" s="15"/>
      <c r="M146" s="2">
        <f>'Reels From Source (2)'!A142</f>
        <v>0</v>
      </c>
      <c r="N146" s="2">
        <f>'Reels From Source (2)'!B142</f>
        <v>0</v>
      </c>
      <c r="O146" s="2">
        <f>'Reels From Source (2)'!C142</f>
        <v>0</v>
      </c>
      <c r="P146" s="2">
        <f>'Reels From Source (2)'!D142</f>
        <v>0</v>
      </c>
      <c r="Q146" s="2">
        <f>'Reels From Source (2)'!E142</f>
        <v>0</v>
      </c>
      <c r="R146" s="2">
        <f>'Reels From Source (2)'!F142</f>
        <v>0</v>
      </c>
      <c r="S146"/>
      <c r="T146"/>
      <c r="U146"/>
    </row>
    <row r="147" spans="2:21" x14ac:dyDescent="0.2">
      <c r="B147" s="15"/>
      <c r="C147" s="15"/>
      <c r="D147" s="15"/>
      <c r="E147" s="15"/>
      <c r="F147" s="15"/>
      <c r="M147" s="2">
        <f>'Reels From Source (2)'!A143</f>
        <v>0</v>
      </c>
      <c r="N147" s="2">
        <f>'Reels From Source (2)'!B143</f>
        <v>0</v>
      </c>
      <c r="O147" s="2">
        <f>'Reels From Source (2)'!C143</f>
        <v>0</v>
      </c>
      <c r="P147" s="2">
        <f>'Reels From Source (2)'!D143</f>
        <v>0</v>
      </c>
      <c r="Q147" s="2">
        <f>'Reels From Source (2)'!E143</f>
        <v>0</v>
      </c>
      <c r="R147" s="2">
        <f>'Reels From Source (2)'!F143</f>
        <v>0</v>
      </c>
      <c r="S147"/>
      <c r="T147"/>
      <c r="U147"/>
    </row>
    <row r="148" spans="2:21" x14ac:dyDescent="0.2">
      <c r="B148" s="15"/>
      <c r="C148" s="15"/>
      <c r="D148" s="15"/>
      <c r="E148" s="15"/>
      <c r="F148" s="15"/>
      <c r="M148" s="2">
        <f>'Reels From Source (2)'!A144</f>
        <v>0</v>
      </c>
      <c r="N148" s="2">
        <f>'Reels From Source (2)'!B144</f>
        <v>0</v>
      </c>
      <c r="O148" s="2">
        <f>'Reels From Source (2)'!C144</f>
        <v>0</v>
      </c>
      <c r="P148" s="2">
        <f>'Reels From Source (2)'!D144</f>
        <v>0</v>
      </c>
      <c r="Q148" s="2">
        <f>'Reels From Source (2)'!E144</f>
        <v>0</v>
      </c>
      <c r="R148" s="2">
        <f>'Reels From Source (2)'!F144</f>
        <v>0</v>
      </c>
      <c r="S148"/>
      <c r="T148"/>
      <c r="U148"/>
    </row>
    <row r="149" spans="2:21" x14ac:dyDescent="0.2">
      <c r="B149" s="15"/>
      <c r="C149" s="15"/>
      <c r="D149" s="15"/>
      <c r="E149" s="15"/>
      <c r="F149" s="15"/>
      <c r="M149" s="2">
        <f>'Reels From Source (2)'!A145</f>
        <v>0</v>
      </c>
      <c r="N149" s="2">
        <f>'Reels From Source (2)'!B145</f>
        <v>0</v>
      </c>
      <c r="O149" s="2">
        <f>'Reels From Source (2)'!C145</f>
        <v>0</v>
      </c>
      <c r="P149" s="2">
        <f>'Reels From Source (2)'!D145</f>
        <v>0</v>
      </c>
      <c r="Q149" s="2">
        <f>'Reels From Source (2)'!E145</f>
        <v>0</v>
      </c>
      <c r="R149" s="2">
        <f>'Reels From Source (2)'!F145</f>
        <v>0</v>
      </c>
      <c r="S149"/>
      <c r="T149"/>
      <c r="U149"/>
    </row>
    <row r="150" spans="2:21" x14ac:dyDescent="0.2">
      <c r="B150" s="15"/>
      <c r="C150" s="15"/>
      <c r="D150" s="15"/>
      <c r="E150" s="15"/>
      <c r="F150" s="15"/>
      <c r="M150" s="2">
        <f>'Reels From Source (2)'!A146</f>
        <v>0</v>
      </c>
      <c r="N150" s="2">
        <f>'Reels From Source (2)'!B146</f>
        <v>0</v>
      </c>
      <c r="O150" s="2">
        <f>'Reels From Source (2)'!C146</f>
        <v>0</v>
      </c>
      <c r="P150" s="2">
        <f>'Reels From Source (2)'!D146</f>
        <v>0</v>
      </c>
      <c r="Q150" s="2">
        <f>'Reels From Source (2)'!E146</f>
        <v>0</v>
      </c>
      <c r="R150" s="2">
        <f>'Reels From Source (2)'!F146</f>
        <v>0</v>
      </c>
      <c r="S150"/>
      <c r="T150"/>
      <c r="U150"/>
    </row>
    <row r="151" spans="2:21" x14ac:dyDescent="0.2">
      <c r="M151" s="2">
        <f>'Reels From Source (2)'!A147</f>
        <v>0</v>
      </c>
      <c r="N151" s="2">
        <f>'Reels From Source (2)'!B147</f>
        <v>0</v>
      </c>
      <c r="O151" s="2">
        <f>'Reels From Source (2)'!C147</f>
        <v>0</v>
      </c>
      <c r="P151" s="2">
        <f>'Reels From Source (2)'!D147</f>
        <v>0</v>
      </c>
      <c r="Q151" s="2">
        <f>'Reels From Source (2)'!E147</f>
        <v>0</v>
      </c>
      <c r="R151" s="2">
        <f>'Reels From Source (2)'!F147</f>
        <v>0</v>
      </c>
      <c r="S151"/>
      <c r="T151"/>
      <c r="U151"/>
    </row>
    <row r="152" spans="2:21" x14ac:dyDescent="0.2">
      <c r="M152" s="2">
        <f>'Reels From Source (2)'!A148</f>
        <v>0</v>
      </c>
      <c r="N152" s="2">
        <f>'Reels From Source (2)'!B148</f>
        <v>0</v>
      </c>
      <c r="O152" s="2">
        <f>'Reels From Source (2)'!C148</f>
        <v>0</v>
      </c>
      <c r="P152" s="2">
        <f>'Reels From Source (2)'!D148</f>
        <v>0</v>
      </c>
      <c r="Q152" s="2">
        <f>'Reels From Source (2)'!E148</f>
        <v>0</v>
      </c>
      <c r="R152" s="2">
        <f>'Reels From Source (2)'!F148</f>
        <v>0</v>
      </c>
      <c r="S152"/>
      <c r="T152"/>
      <c r="U152"/>
    </row>
    <row r="153" spans="2:21" x14ac:dyDescent="0.2">
      <c r="M153" s="2">
        <f>'Reels From Source (2)'!A149</f>
        <v>0</v>
      </c>
      <c r="N153" s="2">
        <f>'Reels From Source (2)'!B149</f>
        <v>0</v>
      </c>
      <c r="O153" s="2">
        <f>'Reels From Source (2)'!C149</f>
        <v>0</v>
      </c>
      <c r="P153" s="2">
        <f>'Reels From Source (2)'!D149</f>
        <v>0</v>
      </c>
      <c r="Q153" s="2">
        <f>'Reels From Source (2)'!E149</f>
        <v>0</v>
      </c>
      <c r="R153" s="2">
        <f>'Reels From Source (2)'!F149</f>
        <v>0</v>
      </c>
      <c r="S153"/>
      <c r="T153"/>
      <c r="U153"/>
    </row>
    <row r="154" spans="2:21" x14ac:dyDescent="0.2">
      <c r="M154" s="2">
        <f>'Reels From Source (2)'!A150</f>
        <v>0</v>
      </c>
      <c r="N154" s="2">
        <f>'Reels From Source (2)'!B150</f>
        <v>0</v>
      </c>
      <c r="O154" s="2">
        <f>'Reels From Source (2)'!C150</f>
        <v>0</v>
      </c>
      <c r="P154" s="2">
        <f>'Reels From Source (2)'!D150</f>
        <v>0</v>
      </c>
      <c r="Q154" s="2">
        <f>'Reels From Source (2)'!E150</f>
        <v>0</v>
      </c>
      <c r="R154" s="2">
        <f>'Reels From Source (2)'!F150</f>
        <v>0</v>
      </c>
      <c r="S154"/>
      <c r="T154"/>
      <c r="U154"/>
    </row>
    <row r="155" spans="2:21" x14ac:dyDescent="0.2">
      <c r="L155" s="16" t="s">
        <v>32</v>
      </c>
      <c r="M155" s="2">
        <f>'Reels From Source (2)'!A151</f>
        <v>0</v>
      </c>
      <c r="N155" s="2">
        <f>'Reels From Source (2)'!B151</f>
        <v>0</v>
      </c>
      <c r="O155" s="2">
        <f>'Reels From Source (2)'!C151</f>
        <v>0</v>
      </c>
      <c r="P155" s="2">
        <f>'Reels From Source (2)'!D151</f>
        <v>0</v>
      </c>
      <c r="Q155" s="2">
        <f>'Reels From Source (2)'!E151</f>
        <v>0</v>
      </c>
      <c r="R155" s="2">
        <f>'Reels From Source (2)'!F151</f>
        <v>0</v>
      </c>
      <c r="S155"/>
      <c r="T155"/>
      <c r="U155"/>
    </row>
    <row r="156" spans="2:21" x14ac:dyDescent="0.2">
      <c r="M156" s="2">
        <f>'Reels From Source (2)'!A152</f>
        <v>0</v>
      </c>
      <c r="N156" s="2">
        <f>'Reels From Source (2)'!B152</f>
        <v>0</v>
      </c>
      <c r="O156" s="2">
        <f>'Reels From Source (2)'!C152</f>
        <v>0</v>
      </c>
      <c r="P156" s="2">
        <f>'Reels From Source (2)'!D152</f>
        <v>0</v>
      </c>
      <c r="Q156" s="2">
        <f>'Reels From Source (2)'!E152</f>
        <v>0</v>
      </c>
      <c r="R156" s="2">
        <f>'Reels From Source (2)'!F152</f>
        <v>0</v>
      </c>
      <c r="S156"/>
      <c r="T156"/>
      <c r="U156"/>
    </row>
    <row r="157" spans="2:21" x14ac:dyDescent="0.2">
      <c r="L157" s="32"/>
      <c r="M157" s="2">
        <f>'Reels From Source (2)'!A153</f>
        <v>0</v>
      </c>
      <c r="N157" s="2">
        <f>'Reels From Source (2)'!B153</f>
        <v>0</v>
      </c>
      <c r="O157" s="2">
        <f>'Reels From Source (2)'!C153</f>
        <v>0</v>
      </c>
      <c r="P157" s="2">
        <f>'Reels From Source (2)'!D153</f>
        <v>0</v>
      </c>
      <c r="Q157" s="2">
        <f>'Reels From Source (2)'!E153</f>
        <v>0</v>
      </c>
      <c r="R157" s="2">
        <f>'Reels From Source (2)'!F153</f>
        <v>0</v>
      </c>
      <c r="S157"/>
      <c r="T157"/>
      <c r="U157"/>
    </row>
    <row r="158" spans="2:21" x14ac:dyDescent="0.2">
      <c r="L158" s="32"/>
      <c r="M158" s="2">
        <f>'Reels From Source (2)'!A154</f>
        <v>0</v>
      </c>
      <c r="N158" s="2">
        <f>'Reels From Source (2)'!B154</f>
        <v>0</v>
      </c>
      <c r="O158" s="2">
        <f>'Reels From Source (2)'!C154</f>
        <v>0</v>
      </c>
      <c r="P158" s="2">
        <f>'Reels From Source (2)'!D154</f>
        <v>0</v>
      </c>
      <c r="Q158" s="2">
        <f>'Reels From Source (2)'!E154</f>
        <v>0</v>
      </c>
      <c r="R158" s="2">
        <f>'Reels From Source (2)'!F154</f>
        <v>0</v>
      </c>
      <c r="S158"/>
      <c r="T158"/>
      <c r="U158"/>
    </row>
    <row r="159" spans="2:21" x14ac:dyDescent="0.2">
      <c r="L159" s="32"/>
      <c r="M159" s="2">
        <f>'Reels From Source (2)'!A155</f>
        <v>0</v>
      </c>
      <c r="N159" s="2">
        <f>'Reels From Source (2)'!B155</f>
        <v>0</v>
      </c>
      <c r="O159" s="2">
        <f>'Reels From Source (2)'!C155</f>
        <v>0</v>
      </c>
      <c r="P159" s="2">
        <f>'Reels From Source (2)'!D155</f>
        <v>0</v>
      </c>
      <c r="Q159" s="2">
        <f>'Reels From Source (2)'!E155</f>
        <v>0</v>
      </c>
      <c r="R159" s="2">
        <f>'Reels From Source (2)'!F155</f>
        <v>0</v>
      </c>
      <c r="S159"/>
      <c r="T159"/>
      <c r="U159"/>
    </row>
    <row r="160" spans="2:21" x14ac:dyDescent="0.2">
      <c r="L160" s="32"/>
      <c r="M160" s="2">
        <f>'Reels From Source (2)'!A156</f>
        <v>0</v>
      </c>
      <c r="N160" s="2">
        <f>'Reels From Source (2)'!B156</f>
        <v>0</v>
      </c>
      <c r="O160" s="2">
        <f>'Reels From Source (2)'!C156</f>
        <v>0</v>
      </c>
      <c r="P160" s="2">
        <f>'Reels From Source (2)'!D156</f>
        <v>0</v>
      </c>
      <c r="Q160" s="2">
        <f>'Reels From Source (2)'!E156</f>
        <v>0</v>
      </c>
      <c r="R160" s="2">
        <f>'Reels From Source (2)'!F156</f>
        <v>0</v>
      </c>
      <c r="S160"/>
      <c r="T160"/>
      <c r="U160"/>
    </row>
    <row r="161" spans="12:21" x14ac:dyDescent="0.2">
      <c r="L161" s="32"/>
      <c r="M161" s="2">
        <f>'Reels From Source (2)'!A157</f>
        <v>0</v>
      </c>
      <c r="N161" s="2">
        <f>'Reels From Source (2)'!B157</f>
        <v>0</v>
      </c>
      <c r="O161" s="2">
        <f>'Reels From Source (2)'!C157</f>
        <v>0</v>
      </c>
      <c r="P161" s="2">
        <f>'Reels From Source (2)'!D157</f>
        <v>0</v>
      </c>
      <c r="Q161" s="2">
        <f>'Reels From Source (2)'!E157</f>
        <v>0</v>
      </c>
      <c r="R161" s="2">
        <f>'Reels From Source (2)'!F157</f>
        <v>0</v>
      </c>
      <c r="S161"/>
      <c r="T161"/>
      <c r="U161"/>
    </row>
    <row r="162" spans="12:21" x14ac:dyDescent="0.2">
      <c r="L162" s="32"/>
      <c r="M162" s="2">
        <f>'Reels From Source (2)'!A158</f>
        <v>0</v>
      </c>
      <c r="N162" s="2">
        <f>'Reels From Source (2)'!B158</f>
        <v>0</v>
      </c>
      <c r="O162" s="2">
        <f>'Reels From Source (2)'!C158</f>
        <v>0</v>
      </c>
      <c r="P162" s="2">
        <f>'Reels From Source (2)'!D158</f>
        <v>0</v>
      </c>
      <c r="Q162" s="2">
        <f>'Reels From Source (2)'!E158</f>
        <v>0</v>
      </c>
      <c r="R162" s="2">
        <f>'Reels From Source (2)'!F158</f>
        <v>0</v>
      </c>
      <c r="S162"/>
      <c r="T162"/>
      <c r="U162"/>
    </row>
    <row r="163" spans="12:21" x14ac:dyDescent="0.2">
      <c r="L163" s="32"/>
      <c r="M163" s="2">
        <f>'Reels From Source (2)'!A159</f>
        <v>0</v>
      </c>
      <c r="N163" s="2">
        <f>'Reels From Source (2)'!B159</f>
        <v>0</v>
      </c>
      <c r="O163" s="2">
        <f>'Reels From Source (2)'!C159</f>
        <v>0</v>
      </c>
      <c r="P163" s="2">
        <f>'Reels From Source (2)'!D159</f>
        <v>0</v>
      </c>
      <c r="Q163" s="2">
        <f>'Reels From Source (2)'!E159</f>
        <v>0</v>
      </c>
      <c r="R163" s="2">
        <f>'Reels From Source (2)'!F159</f>
        <v>0</v>
      </c>
      <c r="S163"/>
      <c r="T163"/>
      <c r="U163"/>
    </row>
    <row r="164" spans="12:21" x14ac:dyDescent="0.2">
      <c r="L164" s="32"/>
      <c r="M164" s="2">
        <f>'Reels From Source (2)'!A160</f>
        <v>0</v>
      </c>
      <c r="N164" s="2">
        <f>'Reels From Source (2)'!B160</f>
        <v>0</v>
      </c>
      <c r="O164" s="2">
        <f>'Reels From Source (2)'!C160</f>
        <v>0</v>
      </c>
      <c r="P164" s="2">
        <f>'Reels From Source (2)'!D160</f>
        <v>0</v>
      </c>
      <c r="Q164" s="2">
        <f>'Reels From Source (2)'!E160</f>
        <v>0</v>
      </c>
      <c r="R164" s="2">
        <f>'Reels From Source (2)'!F160</f>
        <v>0</v>
      </c>
      <c r="S164"/>
      <c r="T164"/>
      <c r="U164"/>
    </row>
    <row r="165" spans="12:21" x14ac:dyDescent="0.2">
      <c r="L165" s="32"/>
      <c r="M165" s="2">
        <f>'Reels From Source (2)'!A161</f>
        <v>0</v>
      </c>
      <c r="N165" s="2">
        <f>'Reels From Source (2)'!B161</f>
        <v>0</v>
      </c>
      <c r="O165" s="2">
        <f>'Reels From Source (2)'!C161</f>
        <v>0</v>
      </c>
      <c r="P165" s="2">
        <f>'Reels From Source (2)'!D161</f>
        <v>0</v>
      </c>
      <c r="Q165" s="2">
        <f>'Reels From Source (2)'!E161</f>
        <v>0</v>
      </c>
      <c r="R165" s="2">
        <f>'Reels From Source (2)'!F161</f>
        <v>0</v>
      </c>
      <c r="S165"/>
      <c r="T165"/>
      <c r="U165"/>
    </row>
    <row r="166" spans="12:21" x14ac:dyDescent="0.2">
      <c r="L166" s="32"/>
      <c r="M166" s="2">
        <f>'Reels From Source (2)'!A162</f>
        <v>0</v>
      </c>
      <c r="N166" s="2">
        <f>'Reels From Source (2)'!B162</f>
        <v>0</v>
      </c>
      <c r="O166" s="2">
        <f>'Reels From Source (2)'!C162</f>
        <v>0</v>
      </c>
      <c r="P166" s="2">
        <f>'Reels From Source (2)'!D162</f>
        <v>0</v>
      </c>
      <c r="Q166" s="2">
        <f>'Reels From Source (2)'!E162</f>
        <v>0</v>
      </c>
      <c r="R166" s="2">
        <f>'Reels From Source (2)'!F162</f>
        <v>0</v>
      </c>
      <c r="S166"/>
      <c r="T166"/>
      <c r="U166"/>
    </row>
    <row r="167" spans="12:21" x14ac:dyDescent="0.2">
      <c r="L167" s="32"/>
      <c r="M167" s="2">
        <f>'Reels From Source (2)'!A163</f>
        <v>0</v>
      </c>
      <c r="N167" s="2">
        <f>'Reels From Source (2)'!B163</f>
        <v>0</v>
      </c>
      <c r="O167" s="2">
        <f>'Reels From Source (2)'!C163</f>
        <v>0</v>
      </c>
      <c r="P167" s="2">
        <f>'Reels From Source (2)'!D163</f>
        <v>0</v>
      </c>
      <c r="Q167" s="2">
        <f>'Reels From Source (2)'!E163</f>
        <v>0</v>
      </c>
      <c r="R167" s="2">
        <f>'Reels From Source (2)'!F163</f>
        <v>0</v>
      </c>
      <c r="S167"/>
      <c r="T167"/>
      <c r="U167"/>
    </row>
    <row r="168" spans="12:21" x14ac:dyDescent="0.2">
      <c r="L168" s="32"/>
      <c r="M168" s="2">
        <f>'Reels From Source (2)'!A164</f>
        <v>0</v>
      </c>
      <c r="N168" s="2">
        <f>'Reels From Source (2)'!B164</f>
        <v>0</v>
      </c>
      <c r="O168" s="2">
        <f>'Reels From Source (2)'!C164</f>
        <v>0</v>
      </c>
      <c r="P168" s="2">
        <f>'Reels From Source (2)'!D164</f>
        <v>0</v>
      </c>
      <c r="Q168" s="2">
        <f>'Reels From Source (2)'!E164</f>
        <v>0</v>
      </c>
      <c r="R168" s="2">
        <f>'Reels From Source (2)'!F164</f>
        <v>0</v>
      </c>
      <c r="S168"/>
      <c r="T168"/>
      <c r="U168"/>
    </row>
    <row r="169" spans="12:21" x14ac:dyDescent="0.2">
      <c r="M169" s="2">
        <f>'Reels From Source (2)'!A165</f>
        <v>0</v>
      </c>
      <c r="N169" s="2">
        <f>'Reels From Source (2)'!B165</f>
        <v>0</v>
      </c>
      <c r="O169" s="2">
        <f>'Reels From Source (2)'!C165</f>
        <v>0</v>
      </c>
      <c r="P169" s="2">
        <f>'Reels From Source (2)'!D165</f>
        <v>0</v>
      </c>
      <c r="Q169" s="2">
        <f>'Reels From Source (2)'!E165</f>
        <v>0</v>
      </c>
      <c r="R169" s="2">
        <f>'Reels From Source (2)'!F165</f>
        <v>0</v>
      </c>
      <c r="S169"/>
      <c r="T169"/>
      <c r="U169"/>
    </row>
    <row r="170" spans="12:21" x14ac:dyDescent="0.2">
      <c r="M170" s="2">
        <f>'Reels From Source (2)'!A166</f>
        <v>0</v>
      </c>
      <c r="N170" s="2">
        <f>'Reels From Source (2)'!B166</f>
        <v>0</v>
      </c>
      <c r="O170" s="2">
        <f>'Reels From Source (2)'!C166</f>
        <v>0</v>
      </c>
      <c r="P170" s="2">
        <f>'Reels From Source (2)'!D166</f>
        <v>0</v>
      </c>
      <c r="Q170" s="2">
        <f>'Reels From Source (2)'!E166</f>
        <v>0</v>
      </c>
      <c r="R170" s="2">
        <f>'Reels From Source (2)'!F166</f>
        <v>0</v>
      </c>
      <c r="S170"/>
      <c r="T170"/>
      <c r="U170"/>
    </row>
    <row r="171" spans="12:21" x14ac:dyDescent="0.2">
      <c r="M171" s="2">
        <f>'Reels From Source (2)'!A167</f>
        <v>0</v>
      </c>
      <c r="N171" s="2">
        <f>'Reels From Source (2)'!B167</f>
        <v>0</v>
      </c>
      <c r="O171" s="2">
        <f>'Reels From Source (2)'!C167</f>
        <v>0</v>
      </c>
      <c r="P171" s="2">
        <f>'Reels From Source (2)'!D167</f>
        <v>0</v>
      </c>
      <c r="Q171" s="2">
        <f>'Reels From Source (2)'!E167</f>
        <v>0</v>
      </c>
      <c r="R171" s="2">
        <f>'Reels From Source (2)'!F167</f>
        <v>0</v>
      </c>
      <c r="S171"/>
      <c r="T171"/>
      <c r="U171"/>
    </row>
    <row r="172" spans="12:21" x14ac:dyDescent="0.2">
      <c r="M172" s="2">
        <f>'Reels From Source (2)'!A168</f>
        <v>0</v>
      </c>
      <c r="N172" s="2">
        <f>'Reels From Source (2)'!B168</f>
        <v>0</v>
      </c>
      <c r="O172" s="2">
        <f>'Reels From Source (2)'!C168</f>
        <v>0</v>
      </c>
      <c r="P172" s="2">
        <f>'Reels From Source (2)'!D168</f>
        <v>0</v>
      </c>
      <c r="Q172" s="2">
        <f>'Reels From Source (2)'!E168</f>
        <v>0</v>
      </c>
      <c r="R172" s="2">
        <f>'Reels From Source (2)'!F168</f>
        <v>0</v>
      </c>
      <c r="S172"/>
      <c r="T172"/>
      <c r="U172"/>
    </row>
    <row r="173" spans="12:21" x14ac:dyDescent="0.2">
      <c r="M173" s="2">
        <f>'Reels From Source (2)'!A169</f>
        <v>0</v>
      </c>
      <c r="N173" s="2">
        <f>'Reels From Source (2)'!B169</f>
        <v>0</v>
      </c>
      <c r="O173" s="2">
        <f>'Reels From Source (2)'!C169</f>
        <v>0</v>
      </c>
      <c r="P173" s="2">
        <f>'Reels From Source (2)'!D169</f>
        <v>0</v>
      </c>
      <c r="Q173" s="2">
        <f>'Reels From Source (2)'!E169</f>
        <v>0</v>
      </c>
      <c r="R173" s="2">
        <f>'Reels From Source (2)'!F169</f>
        <v>0</v>
      </c>
      <c r="S173"/>
      <c r="T173"/>
      <c r="U173"/>
    </row>
    <row r="174" spans="12:21" x14ac:dyDescent="0.2">
      <c r="M174" s="2">
        <f>'Reels From Source (2)'!A170</f>
        <v>0</v>
      </c>
      <c r="N174" s="2">
        <f>'Reels From Source (2)'!B170</f>
        <v>0</v>
      </c>
      <c r="O174" s="2">
        <f>'Reels From Source (2)'!C170</f>
        <v>0</v>
      </c>
      <c r="P174" s="2">
        <f>'Reels From Source (2)'!D170</f>
        <v>0</v>
      </c>
      <c r="Q174" s="2">
        <f>'Reels From Source (2)'!E170</f>
        <v>0</v>
      </c>
      <c r="R174" s="2">
        <f>'Reels From Source (2)'!F170</f>
        <v>0</v>
      </c>
      <c r="S174"/>
      <c r="T174"/>
      <c r="U174"/>
    </row>
    <row r="175" spans="12:21" x14ac:dyDescent="0.2">
      <c r="M175" s="2">
        <f>'Reels From Source (2)'!A171</f>
        <v>0</v>
      </c>
      <c r="N175" s="2">
        <f>'Reels From Source (2)'!B171</f>
        <v>0</v>
      </c>
      <c r="O175" s="2">
        <f>'Reels From Source (2)'!C171</f>
        <v>0</v>
      </c>
      <c r="P175" s="2">
        <f>'Reels From Source (2)'!D171</f>
        <v>0</v>
      </c>
      <c r="Q175" s="2">
        <f>'Reels From Source (2)'!E171</f>
        <v>0</v>
      </c>
      <c r="R175" s="2">
        <f>'Reels From Source (2)'!F171</f>
        <v>0</v>
      </c>
      <c r="S175"/>
      <c r="T175"/>
      <c r="U175"/>
    </row>
    <row r="176" spans="12:21" x14ac:dyDescent="0.2">
      <c r="M176" s="2">
        <f>'Reels From Source (2)'!A172</f>
        <v>0</v>
      </c>
      <c r="N176" s="2">
        <f>'Reels From Source (2)'!B172</f>
        <v>0</v>
      </c>
      <c r="O176" s="2">
        <f>'Reels From Source (2)'!C172</f>
        <v>0</v>
      </c>
      <c r="P176" s="2">
        <f>'Reels From Source (2)'!D172</f>
        <v>0</v>
      </c>
      <c r="Q176" s="2">
        <f>'Reels From Source (2)'!E172</f>
        <v>0</v>
      </c>
      <c r="R176" s="2">
        <f>'Reels From Source (2)'!F172</f>
        <v>0</v>
      </c>
      <c r="S176"/>
      <c r="T176"/>
      <c r="U176"/>
    </row>
    <row r="177" spans="12:21" x14ac:dyDescent="0.2">
      <c r="M177" s="2">
        <f>'Reels From Source (2)'!A173</f>
        <v>0</v>
      </c>
      <c r="N177" s="2">
        <f>'Reels From Source (2)'!B173</f>
        <v>0</v>
      </c>
      <c r="O177" s="2">
        <f>'Reels From Source (2)'!C173</f>
        <v>0</v>
      </c>
      <c r="P177" s="2">
        <f>'Reels From Source (2)'!D173</f>
        <v>0</v>
      </c>
      <c r="Q177" s="2">
        <f>'Reels From Source (2)'!E173</f>
        <v>0</v>
      </c>
      <c r="R177" s="2">
        <f>'Reels From Source (2)'!F173</f>
        <v>0</v>
      </c>
      <c r="S177"/>
      <c r="T177"/>
      <c r="U177"/>
    </row>
    <row r="178" spans="12:21" x14ac:dyDescent="0.2">
      <c r="M178" s="2">
        <f>'Reels From Source (2)'!A174</f>
        <v>0</v>
      </c>
      <c r="N178" s="2">
        <f>'Reels From Source (2)'!B174</f>
        <v>0</v>
      </c>
      <c r="O178" s="2">
        <f>'Reels From Source (2)'!C174</f>
        <v>0</v>
      </c>
      <c r="P178" s="2">
        <f>'Reels From Source (2)'!D174</f>
        <v>0</v>
      </c>
      <c r="Q178" s="2">
        <f>'Reels From Source (2)'!E174</f>
        <v>0</v>
      </c>
      <c r="R178" s="2">
        <f>'Reels From Source (2)'!F174</f>
        <v>0</v>
      </c>
      <c r="S178"/>
      <c r="T178"/>
      <c r="U178"/>
    </row>
    <row r="179" spans="12:21" x14ac:dyDescent="0.2">
      <c r="M179" s="2">
        <f>'Reels From Source (2)'!A175</f>
        <v>0</v>
      </c>
      <c r="N179" s="2">
        <f>'Reels From Source (2)'!B175</f>
        <v>0</v>
      </c>
      <c r="O179" s="2">
        <f>'Reels From Source (2)'!C175</f>
        <v>0</v>
      </c>
      <c r="P179" s="2">
        <f>'Reels From Source (2)'!D175</f>
        <v>0</v>
      </c>
      <c r="Q179" s="2">
        <f>'Reels From Source (2)'!E175</f>
        <v>0</v>
      </c>
      <c r="R179" s="2">
        <f>'Reels From Source (2)'!F175</f>
        <v>0</v>
      </c>
      <c r="S179"/>
      <c r="T179"/>
      <c r="U179"/>
    </row>
    <row r="180" spans="12:21" x14ac:dyDescent="0.2">
      <c r="L180" s="16" t="s">
        <v>33</v>
      </c>
      <c r="M180" s="2">
        <f>'Reels From Source (2)'!A176</f>
        <v>0</v>
      </c>
      <c r="N180" s="2">
        <f>'Reels From Source (2)'!B176</f>
        <v>0</v>
      </c>
      <c r="O180" s="2">
        <f>'Reels From Source (2)'!C176</f>
        <v>0</v>
      </c>
      <c r="P180" s="2">
        <f>'Reels From Source (2)'!D176</f>
        <v>0</v>
      </c>
      <c r="Q180" s="2">
        <f>'Reels From Source (2)'!E176</f>
        <v>0</v>
      </c>
      <c r="R180" s="2">
        <f>'Reels From Source (2)'!F176</f>
        <v>0</v>
      </c>
      <c r="S180"/>
      <c r="T180"/>
      <c r="U180"/>
    </row>
    <row r="181" spans="12:21" x14ac:dyDescent="0.2">
      <c r="M181" s="2">
        <f>'Reels From Source (2)'!A177</f>
        <v>0</v>
      </c>
      <c r="N181" s="2">
        <f>'Reels From Source (2)'!B177</f>
        <v>0</v>
      </c>
      <c r="O181" s="2">
        <f>'Reels From Source (2)'!C177</f>
        <v>0</v>
      </c>
      <c r="P181" s="2">
        <f>'Reels From Source (2)'!D177</f>
        <v>0</v>
      </c>
      <c r="Q181" s="2">
        <f>'Reels From Source (2)'!E177</f>
        <v>0</v>
      </c>
      <c r="R181" s="2">
        <f>'Reels From Source (2)'!F177</f>
        <v>0</v>
      </c>
      <c r="S181"/>
      <c r="T181"/>
      <c r="U181"/>
    </row>
    <row r="182" spans="12:21" x14ac:dyDescent="0.2">
      <c r="M182" s="2">
        <f>'Reels From Source (2)'!A178</f>
        <v>0</v>
      </c>
      <c r="N182" s="2">
        <f>'Reels From Source (2)'!B178</f>
        <v>0</v>
      </c>
      <c r="O182" s="2">
        <f>'Reels From Source (2)'!C178</f>
        <v>0</v>
      </c>
      <c r="P182" s="2">
        <f>'Reels From Source (2)'!D178</f>
        <v>0</v>
      </c>
      <c r="Q182" s="2">
        <f>'Reels From Source (2)'!E178</f>
        <v>0</v>
      </c>
      <c r="R182" s="2">
        <f>'Reels From Source (2)'!F178</f>
        <v>0</v>
      </c>
      <c r="S182"/>
      <c r="T182"/>
      <c r="U182"/>
    </row>
    <row r="183" spans="12:21" x14ac:dyDescent="0.2">
      <c r="M183" s="2">
        <f>'Reels From Source (2)'!A179</f>
        <v>0</v>
      </c>
      <c r="N183" s="2">
        <f>'Reels From Source (2)'!B179</f>
        <v>0</v>
      </c>
      <c r="O183" s="2">
        <f>'Reels From Source (2)'!C179</f>
        <v>0</v>
      </c>
      <c r="P183" s="2">
        <f>'Reels From Source (2)'!D179</f>
        <v>0</v>
      </c>
      <c r="Q183" s="2">
        <f>'Reels From Source (2)'!E179</f>
        <v>0</v>
      </c>
      <c r="R183" s="2">
        <f>'Reels From Source (2)'!F179</f>
        <v>0</v>
      </c>
      <c r="S183"/>
      <c r="T183"/>
      <c r="U183"/>
    </row>
    <row r="184" spans="12:21" x14ac:dyDescent="0.2">
      <c r="M184" s="2">
        <f>'Reels From Source (2)'!A180</f>
        <v>0</v>
      </c>
      <c r="N184" s="2">
        <f>'Reels From Source (2)'!B180</f>
        <v>0</v>
      </c>
      <c r="O184" s="2">
        <f>'Reels From Source (2)'!C180</f>
        <v>0</v>
      </c>
      <c r="P184" s="2">
        <f>'Reels From Source (2)'!D180</f>
        <v>0</v>
      </c>
      <c r="Q184" s="2">
        <f>'Reels From Source (2)'!E180</f>
        <v>0</v>
      </c>
      <c r="R184" s="2">
        <f>'Reels From Source (2)'!F180</f>
        <v>0</v>
      </c>
      <c r="S184"/>
      <c r="T184"/>
      <c r="U184"/>
    </row>
    <row r="185" spans="12:21" x14ac:dyDescent="0.2">
      <c r="M185" s="2">
        <f>'Reels From Source (2)'!A181</f>
        <v>0</v>
      </c>
      <c r="N185" s="2">
        <f>'Reels From Source (2)'!B181</f>
        <v>0</v>
      </c>
      <c r="O185" s="2">
        <f>'Reels From Source (2)'!C181</f>
        <v>0</v>
      </c>
      <c r="P185" s="2">
        <f>'Reels From Source (2)'!D181</f>
        <v>0</v>
      </c>
      <c r="Q185" s="2">
        <f>'Reels From Source (2)'!E181</f>
        <v>0</v>
      </c>
      <c r="R185" s="2">
        <f>'Reels From Source (2)'!F181</f>
        <v>0</v>
      </c>
      <c r="S185"/>
      <c r="T185"/>
      <c r="U185"/>
    </row>
    <row r="186" spans="12:21" x14ac:dyDescent="0.2">
      <c r="M186" s="2">
        <f>'Reels From Source (2)'!A182</f>
        <v>0</v>
      </c>
      <c r="N186" s="2">
        <f>'Reels From Source (2)'!B182</f>
        <v>0</v>
      </c>
      <c r="O186" s="2">
        <f>'Reels From Source (2)'!C182</f>
        <v>0</v>
      </c>
      <c r="P186" s="2">
        <f>'Reels From Source (2)'!D182</f>
        <v>0</v>
      </c>
      <c r="Q186" s="2">
        <f>'Reels From Source (2)'!E182</f>
        <v>0</v>
      </c>
      <c r="R186" s="2">
        <f>'Reels From Source (2)'!F182</f>
        <v>0</v>
      </c>
      <c r="S186"/>
      <c r="T186"/>
      <c r="U186"/>
    </row>
    <row r="187" spans="12:21" x14ac:dyDescent="0.2">
      <c r="M187" s="2">
        <f>'Reels From Source (2)'!A183</f>
        <v>0</v>
      </c>
      <c r="N187" s="2">
        <f>'Reels From Source (2)'!B183</f>
        <v>0</v>
      </c>
      <c r="O187" s="2">
        <f>'Reels From Source (2)'!C183</f>
        <v>0</v>
      </c>
      <c r="P187" s="2">
        <f>'Reels From Source (2)'!D183</f>
        <v>0</v>
      </c>
      <c r="Q187" s="2">
        <f>'Reels From Source (2)'!E183</f>
        <v>0</v>
      </c>
      <c r="R187" s="2">
        <f>'Reels From Source (2)'!F183</f>
        <v>0</v>
      </c>
      <c r="S187"/>
      <c r="T187"/>
      <c r="U187"/>
    </row>
    <row r="188" spans="12:21" x14ac:dyDescent="0.2">
      <c r="M188" s="2">
        <f>'Reels From Source (2)'!A184</f>
        <v>0</v>
      </c>
      <c r="N188" s="2">
        <f>'Reels From Source (2)'!B184</f>
        <v>0</v>
      </c>
      <c r="O188" s="2">
        <f>'Reels From Source (2)'!C184</f>
        <v>0</v>
      </c>
      <c r="P188" s="2">
        <f>'Reels From Source (2)'!D184</f>
        <v>0</v>
      </c>
      <c r="Q188" s="2">
        <f>'Reels From Source (2)'!E184</f>
        <v>0</v>
      </c>
      <c r="R188" s="2">
        <f>'Reels From Source (2)'!F184</f>
        <v>0</v>
      </c>
      <c r="S188"/>
      <c r="T188"/>
      <c r="U188"/>
    </row>
    <row r="189" spans="12:21" x14ac:dyDescent="0.2">
      <c r="M189" s="2">
        <f>'Reels From Source (2)'!A185</f>
        <v>0</v>
      </c>
      <c r="N189" s="2">
        <f>'Reels From Source (2)'!B185</f>
        <v>0</v>
      </c>
      <c r="O189" s="2">
        <f>'Reels From Source (2)'!C185</f>
        <v>0</v>
      </c>
      <c r="P189" s="2">
        <f>'Reels From Source (2)'!D185</f>
        <v>0</v>
      </c>
      <c r="Q189" s="2">
        <f>'Reels From Source (2)'!E185</f>
        <v>0</v>
      </c>
      <c r="R189" s="2">
        <f>'Reels From Source (2)'!F185</f>
        <v>0</v>
      </c>
      <c r="S189"/>
      <c r="T189"/>
      <c r="U189"/>
    </row>
    <row r="190" spans="12:21" x14ac:dyDescent="0.2">
      <c r="M190" s="2">
        <f>'Reels From Source (2)'!A186</f>
        <v>0</v>
      </c>
      <c r="N190" s="2">
        <f>'Reels From Source (2)'!B186</f>
        <v>0</v>
      </c>
      <c r="O190" s="2">
        <f>'Reels From Source (2)'!C186</f>
        <v>0</v>
      </c>
      <c r="P190" s="2">
        <f>'Reels From Source (2)'!D186</f>
        <v>0</v>
      </c>
      <c r="Q190" s="2">
        <f>'Reels From Source (2)'!E186</f>
        <v>0</v>
      </c>
      <c r="R190" s="2">
        <f>'Reels From Source (2)'!F186</f>
        <v>0</v>
      </c>
      <c r="S190"/>
      <c r="T190"/>
      <c r="U190"/>
    </row>
    <row r="191" spans="12:21" x14ac:dyDescent="0.2">
      <c r="M191" s="2">
        <f>'Reels From Source (2)'!A187</f>
        <v>0</v>
      </c>
      <c r="N191" s="2">
        <f>'Reels From Source (2)'!B187</f>
        <v>0</v>
      </c>
      <c r="O191" s="2">
        <f>'Reels From Source (2)'!C187</f>
        <v>0</v>
      </c>
      <c r="P191" s="2">
        <f>'Reels From Source (2)'!D187</f>
        <v>0</v>
      </c>
      <c r="Q191" s="2">
        <f>'Reels From Source (2)'!E187</f>
        <v>0</v>
      </c>
      <c r="R191" s="2">
        <f>'Reels From Source (2)'!F187</f>
        <v>0</v>
      </c>
      <c r="S191"/>
      <c r="T191"/>
      <c r="U191"/>
    </row>
    <row r="192" spans="12:21" x14ac:dyDescent="0.2">
      <c r="M192" s="2">
        <f>'Reels From Source (2)'!A188</f>
        <v>0</v>
      </c>
      <c r="N192" s="2">
        <f>'Reels From Source (2)'!B188</f>
        <v>0</v>
      </c>
      <c r="O192" s="2">
        <f>'Reels From Source (2)'!C188</f>
        <v>0</v>
      </c>
      <c r="P192" s="2">
        <f>'Reels From Source (2)'!D188</f>
        <v>0</v>
      </c>
      <c r="Q192" s="2">
        <f>'Reels From Source (2)'!E188</f>
        <v>0</v>
      </c>
      <c r="R192" s="2">
        <f>'Reels From Source (2)'!F188</f>
        <v>0</v>
      </c>
      <c r="S192"/>
      <c r="T192"/>
      <c r="U192"/>
    </row>
    <row r="193" spans="12:21" x14ac:dyDescent="0.2">
      <c r="M193" s="2">
        <f>'Reels From Source (2)'!A189</f>
        <v>0</v>
      </c>
      <c r="N193" s="2">
        <f>'Reels From Source (2)'!B189</f>
        <v>0</v>
      </c>
      <c r="O193" s="2">
        <f>'Reels From Source (2)'!C189</f>
        <v>0</v>
      </c>
      <c r="P193" s="2">
        <f>'Reels From Source (2)'!D189</f>
        <v>0</v>
      </c>
      <c r="Q193" s="2">
        <f>'Reels From Source (2)'!E189</f>
        <v>0</v>
      </c>
      <c r="R193" s="2">
        <f>'Reels From Source (2)'!F189</f>
        <v>0</v>
      </c>
      <c r="S193"/>
      <c r="T193"/>
      <c r="U193"/>
    </row>
    <row r="194" spans="12:21" x14ac:dyDescent="0.2">
      <c r="M194" s="2">
        <f>'Reels From Source (2)'!A190</f>
        <v>0</v>
      </c>
      <c r="N194" s="2">
        <f>'Reels From Source (2)'!B190</f>
        <v>0</v>
      </c>
      <c r="O194" s="2">
        <f>'Reels From Source (2)'!C190</f>
        <v>0</v>
      </c>
      <c r="P194" s="2">
        <f>'Reels From Source (2)'!D190</f>
        <v>0</v>
      </c>
      <c r="Q194" s="2">
        <f>'Reels From Source (2)'!E190</f>
        <v>0</v>
      </c>
      <c r="R194" s="2">
        <f>'Reels From Source (2)'!F190</f>
        <v>0</v>
      </c>
      <c r="S194"/>
      <c r="T194"/>
      <c r="U194"/>
    </row>
    <row r="195" spans="12:21" x14ac:dyDescent="0.2">
      <c r="M195" s="2">
        <f>'Reels From Source (2)'!A191</f>
        <v>0</v>
      </c>
      <c r="N195" s="2">
        <f>'Reels From Source (2)'!B191</f>
        <v>0</v>
      </c>
      <c r="O195" s="2">
        <f>'Reels From Source (2)'!C191</f>
        <v>0</v>
      </c>
      <c r="P195" s="2">
        <f>'Reels From Source (2)'!D191</f>
        <v>0</v>
      </c>
      <c r="Q195" s="2">
        <f>'Reels From Source (2)'!E191</f>
        <v>0</v>
      </c>
      <c r="R195" s="2">
        <f>'Reels From Source (2)'!F191</f>
        <v>0</v>
      </c>
      <c r="S195"/>
      <c r="T195"/>
      <c r="U195"/>
    </row>
    <row r="196" spans="12:21" x14ac:dyDescent="0.2">
      <c r="M196" s="2">
        <f>'Reels From Source (2)'!A192</f>
        <v>0</v>
      </c>
      <c r="N196" s="2">
        <f>'Reels From Source (2)'!B192</f>
        <v>0</v>
      </c>
      <c r="O196" s="2">
        <f>'Reels From Source (2)'!C192</f>
        <v>0</v>
      </c>
      <c r="P196" s="2">
        <f>'Reels From Source (2)'!D192</f>
        <v>0</v>
      </c>
      <c r="Q196" s="2">
        <f>'Reels From Source (2)'!E192</f>
        <v>0</v>
      </c>
      <c r="R196" s="2">
        <f>'Reels From Source (2)'!F192</f>
        <v>0</v>
      </c>
      <c r="S196"/>
      <c r="T196"/>
      <c r="U196"/>
    </row>
    <row r="197" spans="12:21" x14ac:dyDescent="0.2">
      <c r="M197" s="2">
        <f>'Reels From Source (2)'!A193</f>
        <v>0</v>
      </c>
      <c r="N197" s="2">
        <f>'Reels From Source (2)'!B193</f>
        <v>0</v>
      </c>
      <c r="O197" s="2">
        <f>'Reels From Source (2)'!C193</f>
        <v>0</v>
      </c>
      <c r="P197" s="2">
        <f>'Reels From Source (2)'!D193</f>
        <v>0</v>
      </c>
      <c r="Q197" s="2">
        <f>'Reels From Source (2)'!E193</f>
        <v>0</v>
      </c>
      <c r="R197" s="2">
        <f>'Reels From Source (2)'!F193</f>
        <v>0</v>
      </c>
      <c r="S197"/>
      <c r="T197"/>
      <c r="U197"/>
    </row>
    <row r="198" spans="12:21" x14ac:dyDescent="0.2">
      <c r="M198" s="2">
        <f>'Reels From Source (2)'!A194</f>
        <v>0</v>
      </c>
      <c r="N198" s="2">
        <f>'Reels From Source (2)'!B194</f>
        <v>0</v>
      </c>
      <c r="O198" s="2">
        <f>'Reels From Source (2)'!C194</f>
        <v>0</v>
      </c>
      <c r="P198" s="2">
        <f>'Reels From Source (2)'!D194</f>
        <v>0</v>
      </c>
      <c r="Q198" s="2">
        <f>'Reels From Source (2)'!E194</f>
        <v>0</v>
      </c>
      <c r="R198" s="2">
        <f>'Reels From Source (2)'!F194</f>
        <v>0</v>
      </c>
      <c r="S198"/>
      <c r="T198"/>
      <c r="U198"/>
    </row>
    <row r="199" spans="12:21" x14ac:dyDescent="0.2">
      <c r="M199" s="2">
        <f>'Reels From Source (2)'!A195</f>
        <v>0</v>
      </c>
      <c r="N199" s="2">
        <f>'Reels From Source (2)'!B195</f>
        <v>0</v>
      </c>
      <c r="O199" s="2">
        <f>'Reels From Source (2)'!C195</f>
        <v>0</v>
      </c>
      <c r="P199" s="2">
        <f>'Reels From Source (2)'!D195</f>
        <v>0</v>
      </c>
      <c r="Q199" s="2">
        <f>'Reels From Source (2)'!E195</f>
        <v>0</v>
      </c>
      <c r="R199" s="2">
        <f>'Reels From Source (2)'!F195</f>
        <v>0</v>
      </c>
      <c r="S199"/>
      <c r="T199"/>
      <c r="U199"/>
    </row>
    <row r="200" spans="12:21" x14ac:dyDescent="0.2">
      <c r="M200" s="2">
        <f>'Reels From Source (2)'!A196</f>
        <v>0</v>
      </c>
      <c r="N200" s="2">
        <f>'Reels From Source (2)'!B196</f>
        <v>0</v>
      </c>
      <c r="O200" s="2">
        <f>'Reels From Source (2)'!C196</f>
        <v>0</v>
      </c>
      <c r="P200" s="2">
        <f>'Reels From Source (2)'!D196</f>
        <v>0</v>
      </c>
      <c r="Q200" s="2">
        <f>'Reels From Source (2)'!E196</f>
        <v>0</v>
      </c>
      <c r="R200" s="2">
        <f>'Reels From Source (2)'!F196</f>
        <v>0</v>
      </c>
      <c r="S200"/>
      <c r="T200"/>
      <c r="U200"/>
    </row>
    <row r="201" spans="12:21" x14ac:dyDescent="0.2">
      <c r="M201" s="2">
        <f>'Reels From Source (2)'!A197</f>
        <v>0</v>
      </c>
      <c r="N201" s="2">
        <f>'Reels From Source (2)'!B197</f>
        <v>0</v>
      </c>
      <c r="O201" s="2">
        <f>'Reels From Source (2)'!C197</f>
        <v>0</v>
      </c>
      <c r="P201" s="2">
        <f>'Reels From Source (2)'!D197</f>
        <v>0</v>
      </c>
      <c r="Q201" s="2">
        <f>'Reels From Source (2)'!E197</f>
        <v>0</v>
      </c>
      <c r="R201" s="2">
        <f>'Reels From Source (2)'!F197</f>
        <v>0</v>
      </c>
      <c r="S201"/>
      <c r="T201"/>
      <c r="U201"/>
    </row>
    <row r="202" spans="12:21" x14ac:dyDescent="0.2">
      <c r="M202" s="2">
        <f>'Reels From Source (2)'!A198</f>
        <v>0</v>
      </c>
      <c r="N202" s="2">
        <f>'Reels From Source (2)'!B198</f>
        <v>0</v>
      </c>
      <c r="O202" s="2">
        <f>'Reels From Source (2)'!C198</f>
        <v>0</v>
      </c>
      <c r="P202" s="2">
        <f>'Reels From Source (2)'!D198</f>
        <v>0</v>
      </c>
      <c r="Q202" s="2">
        <f>'Reels From Source (2)'!E198</f>
        <v>0</v>
      </c>
      <c r="R202" s="2">
        <f>'Reels From Source (2)'!F198</f>
        <v>0</v>
      </c>
      <c r="S202"/>
      <c r="T202"/>
      <c r="U202"/>
    </row>
    <row r="203" spans="12:21" x14ac:dyDescent="0.2">
      <c r="M203" s="2">
        <f>'Reels From Source (2)'!A199</f>
        <v>0</v>
      </c>
      <c r="N203" s="2">
        <f>'Reels From Source (2)'!B199</f>
        <v>0</v>
      </c>
      <c r="O203" s="2">
        <f>'Reels From Source (2)'!C199</f>
        <v>0</v>
      </c>
      <c r="P203" s="2">
        <f>'Reels From Source (2)'!D199</f>
        <v>0</v>
      </c>
      <c r="Q203" s="2">
        <f>'Reels From Source (2)'!E199</f>
        <v>0</v>
      </c>
      <c r="R203" s="2">
        <f>'Reels From Source (2)'!F199</f>
        <v>0</v>
      </c>
      <c r="S203"/>
      <c r="T203"/>
      <c r="U203"/>
    </row>
    <row r="204" spans="12:21" x14ac:dyDescent="0.2">
      <c r="M204" s="2">
        <f>'Reels From Source (2)'!A200</f>
        <v>0</v>
      </c>
      <c r="N204" s="2">
        <f>'Reels From Source (2)'!B200</f>
        <v>0</v>
      </c>
      <c r="O204" s="2">
        <f>'Reels From Source (2)'!C200</f>
        <v>0</v>
      </c>
      <c r="P204" s="2">
        <f>'Reels From Source (2)'!D200</f>
        <v>0</v>
      </c>
      <c r="Q204" s="2">
        <f>'Reels From Source (2)'!E200</f>
        <v>0</v>
      </c>
      <c r="R204" s="2">
        <f>'Reels From Source (2)'!F200</f>
        <v>0</v>
      </c>
      <c r="S204"/>
      <c r="T204"/>
      <c r="U204"/>
    </row>
    <row r="205" spans="12:21" x14ac:dyDescent="0.2">
      <c r="L205" s="16" t="s">
        <v>34</v>
      </c>
      <c r="M205" s="2">
        <f>'Reels From Source (2)'!A201</f>
        <v>0</v>
      </c>
      <c r="N205" s="2">
        <f>'Reels From Source (2)'!B201</f>
        <v>0</v>
      </c>
      <c r="O205" s="2">
        <f>'Reels From Source (2)'!C201</f>
        <v>0</v>
      </c>
      <c r="P205" s="2">
        <f>'Reels From Source (2)'!D201</f>
        <v>0</v>
      </c>
      <c r="Q205" s="2">
        <f>'Reels From Source (2)'!E201</f>
        <v>0</v>
      </c>
      <c r="R205" s="2">
        <f>'Reels From Source (2)'!F201</f>
        <v>0</v>
      </c>
      <c r="S205"/>
      <c r="T205"/>
      <c r="U205"/>
    </row>
    <row r="206" spans="12:21" x14ac:dyDescent="0.2">
      <c r="M206" s="2">
        <f>'Reels From Source (2)'!A202</f>
        <v>0</v>
      </c>
      <c r="N206" s="2">
        <f>'Reels From Source (2)'!B202</f>
        <v>0</v>
      </c>
      <c r="O206" s="2">
        <f>'Reels From Source (2)'!C202</f>
        <v>0</v>
      </c>
      <c r="P206" s="2">
        <f>'Reels From Source (2)'!D202</f>
        <v>0</v>
      </c>
      <c r="Q206" s="2">
        <f>'Reels From Source (2)'!E202</f>
        <v>0</v>
      </c>
      <c r="R206" s="2">
        <f>'Reels From Source (2)'!F202</f>
        <v>0</v>
      </c>
      <c r="S206"/>
      <c r="T206"/>
      <c r="U206"/>
    </row>
    <row r="207" spans="12:21" x14ac:dyDescent="0.2">
      <c r="L207" s="32"/>
      <c r="M207" s="2">
        <f>'Reels From Source (2)'!A203</f>
        <v>0</v>
      </c>
      <c r="N207" s="2">
        <f>'Reels From Source (2)'!B203</f>
        <v>0</v>
      </c>
      <c r="O207" s="2">
        <f>'Reels From Source (2)'!C203</f>
        <v>0</v>
      </c>
      <c r="P207" s="2">
        <f>'Reels From Source (2)'!D203</f>
        <v>0</v>
      </c>
      <c r="Q207" s="2">
        <f>'Reels From Source (2)'!E203</f>
        <v>0</v>
      </c>
      <c r="R207" s="2">
        <f>'Reels From Source (2)'!F203</f>
        <v>0</v>
      </c>
      <c r="S207"/>
      <c r="T207"/>
      <c r="U207"/>
    </row>
    <row r="208" spans="12:21" x14ac:dyDescent="0.2">
      <c r="L208" s="32"/>
      <c r="M208" s="2">
        <f>'Reels From Source (2)'!A204</f>
        <v>0</v>
      </c>
      <c r="N208" s="2">
        <f>'Reels From Source (2)'!B204</f>
        <v>0</v>
      </c>
      <c r="O208" s="2">
        <f>'Reels From Source (2)'!C204</f>
        <v>0</v>
      </c>
      <c r="P208" s="2">
        <f>'Reels From Source (2)'!D204</f>
        <v>0</v>
      </c>
      <c r="Q208" s="2">
        <f>'Reels From Source (2)'!E204</f>
        <v>0</v>
      </c>
      <c r="R208" s="2">
        <f>'Reels From Source (2)'!F204</f>
        <v>0</v>
      </c>
      <c r="S208"/>
      <c r="T208"/>
      <c r="U208"/>
    </row>
    <row r="209" spans="12:22" x14ac:dyDescent="0.2">
      <c r="L209" s="32"/>
      <c r="M209" s="2">
        <f>'Reels From Source (2)'!A205</f>
        <v>0</v>
      </c>
      <c r="N209" s="2">
        <f>'Reels From Source (2)'!B205</f>
        <v>0</v>
      </c>
      <c r="O209" s="2">
        <f>'Reels From Source (2)'!C205</f>
        <v>0</v>
      </c>
      <c r="P209" s="2">
        <f>'Reels From Source (2)'!D205</f>
        <v>0</v>
      </c>
      <c r="Q209" s="2">
        <f>'Reels From Source (2)'!E205</f>
        <v>0</v>
      </c>
      <c r="R209" s="2">
        <f>'Reels From Source (2)'!F205</f>
        <v>0</v>
      </c>
      <c r="S209"/>
      <c r="T209"/>
      <c r="U209"/>
    </row>
    <row r="210" spans="12:22" x14ac:dyDescent="0.2">
      <c r="L210" s="32"/>
      <c r="M210" s="2">
        <f>'Reels From Source (2)'!A206</f>
        <v>0</v>
      </c>
      <c r="N210" s="2">
        <f>'Reels From Source (2)'!B206</f>
        <v>0</v>
      </c>
      <c r="O210" s="2">
        <f>'Reels From Source (2)'!C206</f>
        <v>0</v>
      </c>
      <c r="P210" s="2">
        <f>'Reels From Source (2)'!D206</f>
        <v>0</v>
      </c>
      <c r="Q210" s="2">
        <f>'Reels From Source (2)'!E206</f>
        <v>0</v>
      </c>
      <c r="R210" s="2">
        <f>'Reels From Source (2)'!F206</f>
        <v>0</v>
      </c>
      <c r="S210"/>
      <c r="T210"/>
      <c r="U210"/>
    </row>
    <row r="211" spans="12:22" x14ac:dyDescent="0.2">
      <c r="L211" s="32"/>
      <c r="M211" s="2">
        <f>'Reels From Source (2)'!A207</f>
        <v>0</v>
      </c>
      <c r="N211" s="2">
        <f>'Reels From Source (2)'!B207</f>
        <v>0</v>
      </c>
      <c r="O211" s="2">
        <f>'Reels From Source (2)'!C207</f>
        <v>0</v>
      </c>
      <c r="P211" s="2">
        <f>'Reels From Source (2)'!D207</f>
        <v>0</v>
      </c>
      <c r="Q211" s="2">
        <f>'Reels From Source (2)'!E207</f>
        <v>0</v>
      </c>
      <c r="R211" s="2">
        <f>'Reels From Source (2)'!F207</f>
        <v>0</v>
      </c>
      <c r="S211"/>
      <c r="T211"/>
      <c r="U211"/>
    </row>
    <row r="212" spans="12:22" x14ac:dyDescent="0.2">
      <c r="L212" s="32"/>
      <c r="M212" s="2">
        <f>'Reels From Source (2)'!A208</f>
        <v>0</v>
      </c>
      <c r="N212" s="2">
        <f>'Reels From Source (2)'!B208</f>
        <v>0</v>
      </c>
      <c r="O212" s="2">
        <f>'Reels From Source (2)'!C208</f>
        <v>0</v>
      </c>
      <c r="P212" s="2">
        <f>'Reels From Source (2)'!D208</f>
        <v>0</v>
      </c>
      <c r="Q212" s="2">
        <f>'Reels From Source (2)'!E208</f>
        <v>0</v>
      </c>
      <c r="R212" s="2">
        <f>'Reels From Source (2)'!F208</f>
        <v>0</v>
      </c>
      <c r="S212"/>
      <c r="T212"/>
      <c r="U212"/>
    </row>
    <row r="213" spans="12:22" x14ac:dyDescent="0.2">
      <c r="L213" s="32"/>
      <c r="M213" s="2">
        <f>'Reels From Source (2)'!A209</f>
        <v>0</v>
      </c>
      <c r="N213" s="2">
        <f>'Reels From Source (2)'!B209</f>
        <v>0</v>
      </c>
      <c r="O213" s="2">
        <f>'Reels From Source (2)'!C209</f>
        <v>0</v>
      </c>
      <c r="P213" s="2">
        <f>'Reels From Source (2)'!D209</f>
        <v>0</v>
      </c>
      <c r="Q213" s="2">
        <f>'Reels From Source (2)'!E209</f>
        <v>0</v>
      </c>
      <c r="R213" s="2">
        <f>'Reels From Source (2)'!F209</f>
        <v>0</v>
      </c>
      <c r="S213"/>
      <c r="T213"/>
      <c r="U213"/>
    </row>
    <row r="214" spans="12:22" x14ac:dyDescent="0.2">
      <c r="L214" s="32"/>
      <c r="M214" s="2">
        <f>'Reels From Source (2)'!A210</f>
        <v>0</v>
      </c>
      <c r="N214" s="2">
        <f>'Reels From Source (2)'!B210</f>
        <v>0</v>
      </c>
      <c r="O214" s="2">
        <f>'Reels From Source (2)'!C210</f>
        <v>0</v>
      </c>
      <c r="P214" s="2">
        <f>'Reels From Source (2)'!D210</f>
        <v>0</v>
      </c>
      <c r="Q214" s="2">
        <f>'Reels From Source (2)'!E210</f>
        <v>0</v>
      </c>
      <c r="R214" s="2">
        <f>'Reels From Source (2)'!F210</f>
        <v>0</v>
      </c>
      <c r="S214"/>
      <c r="T214"/>
      <c r="U214"/>
    </row>
    <row r="215" spans="12:22" x14ac:dyDescent="0.2">
      <c r="L215" s="32"/>
      <c r="M215" s="2">
        <f>'Reels From Source (2)'!A211</f>
        <v>0</v>
      </c>
      <c r="N215" s="2">
        <f>'Reels From Source (2)'!B211</f>
        <v>0</v>
      </c>
      <c r="O215" s="2">
        <f>'Reels From Source (2)'!C211</f>
        <v>0</v>
      </c>
      <c r="P215" s="2">
        <f>'Reels From Source (2)'!D211</f>
        <v>0</v>
      </c>
      <c r="Q215" s="2">
        <f>'Reels From Source (2)'!E211</f>
        <v>0</v>
      </c>
      <c r="R215" s="2">
        <f>'Reels From Source (2)'!F211</f>
        <v>0</v>
      </c>
      <c r="S215"/>
      <c r="T215"/>
      <c r="U215"/>
    </row>
    <row r="216" spans="12:22" x14ac:dyDescent="0.2">
      <c r="L216" s="32"/>
      <c r="M216" s="2">
        <f>'Reels From Source (2)'!A212</f>
        <v>0</v>
      </c>
      <c r="N216" s="2">
        <f>'Reels From Source (2)'!B212</f>
        <v>0</v>
      </c>
      <c r="O216" s="2">
        <f>'Reels From Source (2)'!C212</f>
        <v>0</v>
      </c>
      <c r="P216" s="2">
        <f>'Reels From Source (2)'!D212</f>
        <v>0</v>
      </c>
      <c r="Q216" s="2">
        <f>'Reels From Source (2)'!E212</f>
        <v>0</v>
      </c>
      <c r="R216" s="2">
        <f>'Reels From Source (2)'!F212</f>
        <v>0</v>
      </c>
      <c r="S216"/>
      <c r="T216"/>
      <c r="U216"/>
      <c r="V216"/>
    </row>
    <row r="217" spans="12:22" x14ac:dyDescent="0.2">
      <c r="L217" s="32"/>
      <c r="M217" s="2">
        <f>'Reels From Source (2)'!A213</f>
        <v>0</v>
      </c>
      <c r="N217" s="2">
        <f>'Reels From Source (2)'!B213</f>
        <v>0</v>
      </c>
      <c r="O217" s="2">
        <f>'Reels From Source (2)'!C213</f>
        <v>0</v>
      </c>
      <c r="P217" s="2">
        <f>'Reels From Source (2)'!D213</f>
        <v>0</v>
      </c>
      <c r="Q217" s="2">
        <f>'Reels From Source (2)'!E213</f>
        <v>0</v>
      </c>
      <c r="R217" s="2">
        <f>'Reels From Source (2)'!F213</f>
        <v>0</v>
      </c>
      <c r="S217"/>
      <c r="T217"/>
      <c r="U217"/>
    </row>
    <row r="218" spans="12:22" x14ac:dyDescent="0.2">
      <c r="L218" s="32"/>
      <c r="M218" s="2">
        <f>'Reels From Source (2)'!A214</f>
        <v>0</v>
      </c>
      <c r="N218" s="2">
        <f>'Reels From Source (2)'!B214</f>
        <v>0</v>
      </c>
      <c r="O218" s="2">
        <f>'Reels From Source (2)'!C214</f>
        <v>0</v>
      </c>
      <c r="P218" s="2">
        <f>'Reels From Source (2)'!D214</f>
        <v>0</v>
      </c>
      <c r="Q218" s="2">
        <f>'Reels From Source (2)'!E214</f>
        <v>0</v>
      </c>
      <c r="R218" s="2">
        <f>'Reels From Source (2)'!F214</f>
        <v>0</v>
      </c>
      <c r="S218"/>
      <c r="T218"/>
      <c r="U218"/>
    </row>
    <row r="219" spans="12:22" x14ac:dyDescent="0.2">
      <c r="M219" s="2">
        <f>'Reels From Source (2)'!A215</f>
        <v>0</v>
      </c>
      <c r="N219" s="2">
        <f>'Reels From Source (2)'!B215</f>
        <v>0</v>
      </c>
      <c r="O219" s="2">
        <f>'Reels From Source (2)'!C215</f>
        <v>0</v>
      </c>
      <c r="P219" s="2">
        <f>'Reels From Source (2)'!D215</f>
        <v>0</v>
      </c>
      <c r="Q219" s="2">
        <f>'Reels From Source (2)'!E215</f>
        <v>0</v>
      </c>
      <c r="R219" s="2">
        <f>'Reels From Source (2)'!F215</f>
        <v>0</v>
      </c>
      <c r="S219"/>
      <c r="T219"/>
      <c r="U219"/>
    </row>
    <row r="220" spans="12:22" x14ac:dyDescent="0.2">
      <c r="M220" s="2">
        <f>'Reels From Source (2)'!A216</f>
        <v>0</v>
      </c>
      <c r="N220" s="2">
        <f>'Reels From Source (2)'!B216</f>
        <v>0</v>
      </c>
      <c r="O220" s="2">
        <f>'Reels From Source (2)'!C216</f>
        <v>0</v>
      </c>
      <c r="P220" s="2">
        <f>'Reels From Source (2)'!D216</f>
        <v>0</v>
      </c>
      <c r="Q220" s="2">
        <f>'Reels From Source (2)'!E216</f>
        <v>0</v>
      </c>
      <c r="R220" s="2">
        <f>'Reels From Source (2)'!F216</f>
        <v>0</v>
      </c>
      <c r="S220"/>
      <c r="T220"/>
      <c r="U220"/>
    </row>
    <row r="221" spans="12:22" x14ac:dyDescent="0.2">
      <c r="M221" s="2">
        <f>'Reels From Source (2)'!A217</f>
        <v>0</v>
      </c>
      <c r="N221" s="2">
        <f>'Reels From Source (2)'!B217</f>
        <v>0</v>
      </c>
      <c r="O221" s="2">
        <f>'Reels From Source (2)'!C217</f>
        <v>0</v>
      </c>
      <c r="P221" s="2">
        <f>'Reels From Source (2)'!D217</f>
        <v>0</v>
      </c>
      <c r="Q221" s="2">
        <f>'Reels From Source (2)'!E217</f>
        <v>0</v>
      </c>
      <c r="R221" s="2">
        <f>'Reels From Source (2)'!F217</f>
        <v>0</v>
      </c>
      <c r="S221"/>
      <c r="T221"/>
      <c r="U221"/>
    </row>
    <row r="222" spans="12:22" x14ac:dyDescent="0.2">
      <c r="M222" s="2">
        <f>'Reels From Source (2)'!A218</f>
        <v>0</v>
      </c>
      <c r="N222" s="2">
        <f>'Reels From Source (2)'!B218</f>
        <v>0</v>
      </c>
      <c r="O222" s="2">
        <f>'Reels From Source (2)'!C218</f>
        <v>0</v>
      </c>
      <c r="P222" s="2">
        <f>'Reels From Source (2)'!D218</f>
        <v>0</v>
      </c>
      <c r="Q222" s="2">
        <f>'Reels From Source (2)'!E218</f>
        <v>0</v>
      </c>
      <c r="R222" s="2">
        <f>'Reels From Source (2)'!F218</f>
        <v>0</v>
      </c>
      <c r="S222"/>
      <c r="T222"/>
      <c r="U222"/>
    </row>
    <row r="223" spans="12:22" x14ac:dyDescent="0.2">
      <c r="M223" s="2">
        <f>'Reels From Source (2)'!A219</f>
        <v>0</v>
      </c>
      <c r="N223" s="2">
        <f>'Reels From Source (2)'!B219</f>
        <v>0</v>
      </c>
      <c r="O223" s="2">
        <f>'Reels From Source (2)'!C219</f>
        <v>0</v>
      </c>
      <c r="P223" s="2">
        <f>'Reels From Source (2)'!D219</f>
        <v>0</v>
      </c>
      <c r="Q223" s="2">
        <f>'Reels From Source (2)'!E219</f>
        <v>0</v>
      </c>
      <c r="R223" s="2">
        <f>'Reels From Source (2)'!F219</f>
        <v>0</v>
      </c>
      <c r="S223"/>
      <c r="T223"/>
      <c r="U223"/>
    </row>
    <row r="224" spans="12:22" x14ac:dyDescent="0.2">
      <c r="M224" s="2">
        <f>'Reels From Source (2)'!A220</f>
        <v>0</v>
      </c>
      <c r="N224" s="2">
        <f>'Reels From Source (2)'!B220</f>
        <v>0</v>
      </c>
      <c r="O224" s="2">
        <f>'Reels From Source (2)'!C220</f>
        <v>0</v>
      </c>
      <c r="P224" s="2">
        <f>'Reels From Source (2)'!D220</f>
        <v>0</v>
      </c>
      <c r="Q224" s="2">
        <f>'Reels From Source (2)'!E220</f>
        <v>0</v>
      </c>
      <c r="R224" s="2">
        <f>'Reels From Source (2)'!F220</f>
        <v>0</v>
      </c>
      <c r="S224"/>
      <c r="T224"/>
      <c r="U224"/>
    </row>
    <row r="225" spans="12:21" x14ac:dyDescent="0.2">
      <c r="M225" s="2">
        <f>'Reels From Source (2)'!A221</f>
        <v>0</v>
      </c>
      <c r="N225" s="2">
        <f>'Reels From Source (2)'!B221</f>
        <v>0</v>
      </c>
      <c r="O225" s="2">
        <f>'Reels From Source (2)'!C221</f>
        <v>0</v>
      </c>
      <c r="P225" s="2">
        <f>'Reels From Source (2)'!D221</f>
        <v>0</v>
      </c>
      <c r="Q225" s="2">
        <f>'Reels From Source (2)'!E221</f>
        <v>0</v>
      </c>
      <c r="R225" s="2">
        <f>'Reels From Source (2)'!F221</f>
        <v>0</v>
      </c>
      <c r="S225"/>
      <c r="T225"/>
      <c r="U225"/>
    </row>
    <row r="226" spans="12:21" x14ac:dyDescent="0.2">
      <c r="M226" s="2">
        <f>'Reels From Source (2)'!A222</f>
        <v>0</v>
      </c>
      <c r="N226" s="2">
        <f>'Reels From Source (2)'!B222</f>
        <v>0</v>
      </c>
      <c r="O226" s="2">
        <f>'Reels From Source (2)'!C222</f>
        <v>0</v>
      </c>
      <c r="P226" s="2">
        <f>'Reels From Source (2)'!D222</f>
        <v>0</v>
      </c>
      <c r="Q226" s="2">
        <f>'Reels From Source (2)'!E222</f>
        <v>0</v>
      </c>
      <c r="R226" s="2">
        <f>'Reels From Source (2)'!F222</f>
        <v>0</v>
      </c>
      <c r="S226"/>
      <c r="T226"/>
      <c r="U226"/>
    </row>
    <row r="227" spans="12:21" x14ac:dyDescent="0.2">
      <c r="M227" s="2">
        <f>'Reels From Source (2)'!A223</f>
        <v>0</v>
      </c>
      <c r="N227" s="2">
        <f>'Reels From Source (2)'!B223</f>
        <v>0</v>
      </c>
      <c r="O227" s="2">
        <f>'Reels From Source (2)'!C223</f>
        <v>0</v>
      </c>
      <c r="P227" s="2">
        <f>'Reels From Source (2)'!D223</f>
        <v>0</v>
      </c>
      <c r="Q227" s="2">
        <f>'Reels From Source (2)'!E223</f>
        <v>0</v>
      </c>
      <c r="R227" s="2">
        <f>'Reels From Source (2)'!F223</f>
        <v>0</v>
      </c>
      <c r="S227"/>
      <c r="T227"/>
      <c r="U227"/>
    </row>
    <row r="228" spans="12:21" x14ac:dyDescent="0.2">
      <c r="M228" s="2">
        <f>'Reels From Source (2)'!A224</f>
        <v>0</v>
      </c>
      <c r="N228" s="2">
        <f>'Reels From Source (2)'!B224</f>
        <v>0</v>
      </c>
      <c r="O228" s="2">
        <f>'Reels From Source (2)'!C224</f>
        <v>0</v>
      </c>
      <c r="P228" s="2">
        <f>'Reels From Source (2)'!D224</f>
        <v>0</v>
      </c>
      <c r="Q228" s="2">
        <f>'Reels From Source (2)'!E224</f>
        <v>0</v>
      </c>
      <c r="R228" s="2">
        <f>'Reels From Source (2)'!F224</f>
        <v>0</v>
      </c>
      <c r="S228"/>
      <c r="T228"/>
      <c r="U228"/>
    </row>
    <row r="229" spans="12:21" x14ac:dyDescent="0.2">
      <c r="M229" s="2">
        <f>'Reels From Source (2)'!A225</f>
        <v>0</v>
      </c>
      <c r="N229" s="2">
        <f>'Reels From Source (2)'!B225</f>
        <v>0</v>
      </c>
      <c r="O229" s="2">
        <f>'Reels From Source (2)'!C225</f>
        <v>0</v>
      </c>
      <c r="P229" s="2">
        <f>'Reels From Source (2)'!D225</f>
        <v>0</v>
      </c>
      <c r="Q229" s="2">
        <f>'Reels From Source (2)'!E225</f>
        <v>0</v>
      </c>
      <c r="R229" s="2">
        <f>'Reels From Source (2)'!F225</f>
        <v>0</v>
      </c>
      <c r="S229"/>
      <c r="T229"/>
      <c r="U229"/>
    </row>
    <row r="230" spans="12:21" x14ac:dyDescent="0.2">
      <c r="L230" s="16" t="s">
        <v>35</v>
      </c>
      <c r="M230" s="2">
        <f>'Reels From Source (2)'!A226</f>
        <v>0</v>
      </c>
      <c r="N230" s="2">
        <f>'Reels From Source (2)'!B226</f>
        <v>0</v>
      </c>
      <c r="O230" s="2">
        <f>'Reels From Source (2)'!C226</f>
        <v>0</v>
      </c>
      <c r="P230" s="2">
        <f>'Reels From Source (2)'!D226</f>
        <v>0</v>
      </c>
      <c r="Q230" s="2">
        <f>'Reels From Source (2)'!E226</f>
        <v>0</v>
      </c>
      <c r="R230" s="2">
        <f>'Reels From Source (2)'!F226</f>
        <v>0</v>
      </c>
      <c r="S230"/>
      <c r="T230"/>
      <c r="U230"/>
    </row>
    <row r="231" spans="12:21" x14ac:dyDescent="0.2">
      <c r="M231" s="2">
        <f>'Reels From Source (2)'!A227</f>
        <v>0</v>
      </c>
      <c r="N231" s="2">
        <f>'Reels From Source (2)'!B227</f>
        <v>0</v>
      </c>
      <c r="O231" s="2">
        <f>'Reels From Source (2)'!C227</f>
        <v>0</v>
      </c>
      <c r="P231" s="2">
        <f>'Reels From Source (2)'!D227</f>
        <v>0</v>
      </c>
      <c r="Q231" s="2">
        <f>'Reels From Source (2)'!E227</f>
        <v>0</v>
      </c>
      <c r="R231" s="2">
        <f>'Reels From Source (2)'!F227</f>
        <v>0</v>
      </c>
      <c r="S231"/>
      <c r="T231"/>
      <c r="U231"/>
    </row>
    <row r="232" spans="12:21" x14ac:dyDescent="0.2">
      <c r="M232" s="2">
        <f>'Reels From Source (2)'!A228</f>
        <v>0</v>
      </c>
      <c r="N232" s="2">
        <f>'Reels From Source (2)'!B228</f>
        <v>0</v>
      </c>
      <c r="O232" s="2">
        <f>'Reels From Source (2)'!C228</f>
        <v>0</v>
      </c>
      <c r="P232" s="2">
        <f>'Reels From Source (2)'!D228</f>
        <v>0</v>
      </c>
      <c r="Q232" s="2">
        <f>'Reels From Source (2)'!E228</f>
        <v>0</v>
      </c>
      <c r="R232" s="2">
        <f>'Reels From Source (2)'!F228</f>
        <v>0</v>
      </c>
      <c r="S232"/>
      <c r="T232"/>
      <c r="U232"/>
    </row>
    <row r="233" spans="12:21" x14ac:dyDescent="0.2">
      <c r="M233" s="2">
        <f>'Reels From Source (2)'!A229</f>
        <v>0</v>
      </c>
      <c r="N233" s="2">
        <f>'Reels From Source (2)'!B229</f>
        <v>0</v>
      </c>
      <c r="O233" s="2">
        <f>'Reels From Source (2)'!C229</f>
        <v>0</v>
      </c>
      <c r="P233" s="2">
        <f>'Reels From Source (2)'!D229</f>
        <v>0</v>
      </c>
      <c r="Q233" s="2">
        <f>'Reels From Source (2)'!E229</f>
        <v>0</v>
      </c>
      <c r="R233" s="2">
        <f>'Reels From Source (2)'!F229</f>
        <v>0</v>
      </c>
      <c r="S233"/>
      <c r="T233"/>
      <c r="U233"/>
    </row>
    <row r="234" spans="12:21" x14ac:dyDescent="0.2">
      <c r="M234" s="2">
        <f>'Reels From Source (2)'!A230</f>
        <v>0</v>
      </c>
      <c r="N234" s="2">
        <f>'Reels From Source (2)'!B230</f>
        <v>0</v>
      </c>
      <c r="O234" s="2">
        <f>'Reels From Source (2)'!C230</f>
        <v>0</v>
      </c>
      <c r="P234" s="2">
        <f>'Reels From Source (2)'!D230</f>
        <v>0</v>
      </c>
      <c r="Q234" s="2">
        <f>'Reels From Source (2)'!E230</f>
        <v>0</v>
      </c>
      <c r="R234" s="2">
        <f>'Reels From Source (2)'!F230</f>
        <v>0</v>
      </c>
      <c r="S234"/>
      <c r="T234"/>
      <c r="U234"/>
    </row>
    <row r="235" spans="12:21" x14ac:dyDescent="0.2">
      <c r="M235" s="2">
        <f>'Reels From Source (2)'!A231</f>
        <v>0</v>
      </c>
      <c r="N235" s="2">
        <f>'Reels From Source (2)'!B231</f>
        <v>0</v>
      </c>
      <c r="O235" s="2">
        <f>'Reels From Source (2)'!C231</f>
        <v>0</v>
      </c>
      <c r="P235" s="2">
        <f>'Reels From Source (2)'!D231</f>
        <v>0</v>
      </c>
      <c r="Q235" s="2">
        <f>'Reels From Source (2)'!E231</f>
        <v>0</v>
      </c>
      <c r="R235" s="2">
        <f>'Reels From Source (2)'!F231</f>
        <v>0</v>
      </c>
      <c r="S235"/>
      <c r="T235"/>
      <c r="U235"/>
    </row>
    <row r="236" spans="12:21" x14ac:dyDescent="0.2">
      <c r="M236" s="2">
        <f>'Reels From Source (2)'!A232</f>
        <v>0</v>
      </c>
      <c r="N236" s="2">
        <f>'Reels From Source (2)'!B232</f>
        <v>0</v>
      </c>
      <c r="O236" s="2">
        <f>'Reels From Source (2)'!C232</f>
        <v>0</v>
      </c>
      <c r="P236" s="2">
        <f>'Reels From Source (2)'!D232</f>
        <v>0</v>
      </c>
      <c r="Q236" s="2">
        <f>'Reels From Source (2)'!E232</f>
        <v>0</v>
      </c>
      <c r="R236" s="2">
        <f>'Reels From Source (2)'!F232</f>
        <v>0</v>
      </c>
      <c r="S236"/>
      <c r="T236"/>
      <c r="U236"/>
    </row>
    <row r="237" spans="12:21" x14ac:dyDescent="0.2">
      <c r="M237" s="2">
        <f>'Reels From Source (2)'!A233</f>
        <v>0</v>
      </c>
      <c r="N237" s="2">
        <f>'Reels From Source (2)'!B233</f>
        <v>0</v>
      </c>
      <c r="O237" s="2">
        <f>'Reels From Source (2)'!C233</f>
        <v>0</v>
      </c>
      <c r="P237" s="2">
        <f>'Reels From Source (2)'!D233</f>
        <v>0</v>
      </c>
      <c r="Q237" s="2">
        <f>'Reels From Source (2)'!E233</f>
        <v>0</v>
      </c>
      <c r="R237" s="2">
        <f>'Reels From Source (2)'!F233</f>
        <v>0</v>
      </c>
      <c r="S237"/>
      <c r="T237"/>
      <c r="U237"/>
    </row>
    <row r="238" spans="12:21" x14ac:dyDescent="0.2">
      <c r="M238" s="2">
        <f>'Reels From Source (2)'!A234</f>
        <v>0</v>
      </c>
      <c r="N238" s="2">
        <f>'Reels From Source (2)'!B234</f>
        <v>0</v>
      </c>
      <c r="O238" s="2">
        <f>'Reels From Source (2)'!C234</f>
        <v>0</v>
      </c>
      <c r="P238" s="2">
        <f>'Reels From Source (2)'!D234</f>
        <v>0</v>
      </c>
      <c r="Q238" s="2">
        <f>'Reels From Source (2)'!E234</f>
        <v>0</v>
      </c>
      <c r="R238" s="2">
        <f>'Reels From Source (2)'!F234</f>
        <v>0</v>
      </c>
      <c r="S238"/>
      <c r="T238"/>
      <c r="U238"/>
    </row>
    <row r="239" spans="12:21" x14ac:dyDescent="0.2">
      <c r="M239" s="2">
        <f>'Reels From Source (2)'!A235</f>
        <v>0</v>
      </c>
      <c r="N239" s="2">
        <f>'Reels From Source (2)'!B235</f>
        <v>0</v>
      </c>
      <c r="O239" s="2">
        <f>'Reels From Source (2)'!C235</f>
        <v>0</v>
      </c>
      <c r="P239" s="2">
        <f>'Reels From Source (2)'!D235</f>
        <v>0</v>
      </c>
      <c r="Q239" s="2">
        <f>'Reels From Source (2)'!E235</f>
        <v>0</v>
      </c>
      <c r="R239" s="2">
        <f>'Reels From Source (2)'!F235</f>
        <v>0</v>
      </c>
      <c r="S239"/>
      <c r="T239"/>
      <c r="U239"/>
    </row>
    <row r="240" spans="12:21" x14ac:dyDescent="0.2">
      <c r="M240" s="2">
        <f>'Reels From Source (2)'!A236</f>
        <v>0</v>
      </c>
      <c r="N240" s="2">
        <f>'Reels From Source (2)'!B236</f>
        <v>0</v>
      </c>
      <c r="O240" s="2">
        <f>'Reels From Source (2)'!C236</f>
        <v>0</v>
      </c>
      <c r="P240" s="2">
        <f>'Reels From Source (2)'!D236</f>
        <v>0</v>
      </c>
      <c r="Q240" s="2">
        <f>'Reels From Source (2)'!E236</f>
        <v>0</v>
      </c>
      <c r="R240" s="2">
        <f>'Reels From Source (2)'!F236</f>
        <v>0</v>
      </c>
      <c r="S240"/>
      <c r="T240"/>
      <c r="U240"/>
    </row>
    <row r="241" spans="12:21" x14ac:dyDescent="0.2">
      <c r="M241" s="2">
        <f>'Reels From Source (2)'!A237</f>
        <v>0</v>
      </c>
      <c r="N241" s="2">
        <f>'Reels From Source (2)'!B237</f>
        <v>0</v>
      </c>
      <c r="O241" s="2">
        <f>'Reels From Source (2)'!C237</f>
        <v>0</v>
      </c>
      <c r="P241" s="2">
        <f>'Reels From Source (2)'!D237</f>
        <v>0</v>
      </c>
      <c r="Q241" s="2">
        <f>'Reels From Source (2)'!E237</f>
        <v>0</v>
      </c>
      <c r="R241" s="2">
        <f>'Reels From Source (2)'!F237</f>
        <v>0</v>
      </c>
      <c r="S241"/>
      <c r="T241"/>
      <c r="U241"/>
    </row>
    <row r="242" spans="12:21" x14ac:dyDescent="0.2">
      <c r="M242" s="2">
        <f>'Reels From Source (2)'!A238</f>
        <v>0</v>
      </c>
      <c r="N242" s="2">
        <f>'Reels From Source (2)'!B238</f>
        <v>0</v>
      </c>
      <c r="O242" s="2">
        <f>'Reels From Source (2)'!C238</f>
        <v>0</v>
      </c>
      <c r="P242" s="2">
        <f>'Reels From Source (2)'!D238</f>
        <v>0</v>
      </c>
      <c r="Q242" s="2">
        <f>'Reels From Source (2)'!E238</f>
        <v>0</v>
      </c>
      <c r="R242" s="2">
        <f>'Reels From Source (2)'!F238</f>
        <v>0</v>
      </c>
      <c r="S242"/>
      <c r="T242"/>
      <c r="U242"/>
    </row>
    <row r="243" spans="12:21" x14ac:dyDescent="0.2">
      <c r="M243" s="2">
        <f>'Reels From Source (2)'!A239</f>
        <v>0</v>
      </c>
      <c r="N243" s="2">
        <f>'Reels From Source (2)'!B239</f>
        <v>0</v>
      </c>
      <c r="O243" s="2">
        <f>'Reels From Source (2)'!C239</f>
        <v>0</v>
      </c>
      <c r="P243" s="2">
        <f>'Reels From Source (2)'!D239</f>
        <v>0</v>
      </c>
      <c r="Q243" s="2">
        <f>'Reels From Source (2)'!E239</f>
        <v>0</v>
      </c>
      <c r="R243" s="2">
        <f>'Reels From Source (2)'!F239</f>
        <v>0</v>
      </c>
      <c r="S243"/>
      <c r="T243"/>
      <c r="U243"/>
    </row>
    <row r="244" spans="12:21" x14ac:dyDescent="0.2">
      <c r="M244" s="2">
        <f>'Reels From Source (2)'!A240</f>
        <v>0</v>
      </c>
      <c r="N244" s="2">
        <f>'Reels From Source (2)'!B240</f>
        <v>0</v>
      </c>
      <c r="O244" s="2">
        <f>'Reels From Source (2)'!C240</f>
        <v>0</v>
      </c>
      <c r="P244" s="2">
        <f>'Reels From Source (2)'!D240</f>
        <v>0</v>
      </c>
      <c r="Q244" s="2">
        <f>'Reels From Source (2)'!E240</f>
        <v>0</v>
      </c>
      <c r="R244" s="2">
        <f>'Reels From Source (2)'!F240</f>
        <v>0</v>
      </c>
      <c r="S244"/>
      <c r="T244"/>
      <c r="U244"/>
    </row>
    <row r="245" spans="12:21" x14ac:dyDescent="0.2">
      <c r="M245" s="2">
        <f>'Reels From Source (2)'!A241</f>
        <v>0</v>
      </c>
      <c r="N245" s="2">
        <f>'Reels From Source (2)'!B241</f>
        <v>0</v>
      </c>
      <c r="O245" s="2">
        <f>'Reels From Source (2)'!C241</f>
        <v>0</v>
      </c>
      <c r="P245" s="2">
        <f>'Reels From Source (2)'!D241</f>
        <v>0</v>
      </c>
      <c r="Q245" s="2">
        <f>'Reels From Source (2)'!E241</f>
        <v>0</v>
      </c>
      <c r="R245" s="2">
        <f>'Reels From Source (2)'!F241</f>
        <v>0</v>
      </c>
      <c r="S245"/>
      <c r="T245"/>
      <c r="U245"/>
    </row>
    <row r="246" spans="12:21" x14ac:dyDescent="0.2">
      <c r="M246" s="2">
        <f>'Reels From Source (2)'!A242</f>
        <v>0</v>
      </c>
      <c r="N246" s="2">
        <f>'Reels From Source (2)'!B242</f>
        <v>0</v>
      </c>
      <c r="O246" s="2">
        <f>'Reels From Source (2)'!C242</f>
        <v>0</v>
      </c>
      <c r="P246" s="2">
        <f>'Reels From Source (2)'!D242</f>
        <v>0</v>
      </c>
      <c r="Q246" s="2">
        <f>'Reels From Source (2)'!E242</f>
        <v>0</v>
      </c>
      <c r="R246" s="2">
        <f>'Reels From Source (2)'!F242</f>
        <v>0</v>
      </c>
      <c r="S246"/>
      <c r="T246"/>
      <c r="U246"/>
    </row>
    <row r="247" spans="12:21" x14ac:dyDescent="0.2">
      <c r="M247" s="2">
        <f>'Reels From Source (2)'!A243</f>
        <v>0</v>
      </c>
      <c r="N247" s="2">
        <f>'Reels From Source (2)'!B243</f>
        <v>0</v>
      </c>
      <c r="O247" s="2">
        <f>'Reels From Source (2)'!C243</f>
        <v>0</v>
      </c>
      <c r="P247" s="2">
        <f>'Reels From Source (2)'!D243</f>
        <v>0</v>
      </c>
      <c r="Q247" s="2">
        <f>'Reels From Source (2)'!E243</f>
        <v>0</v>
      </c>
      <c r="R247" s="2">
        <f>'Reels From Source (2)'!F243</f>
        <v>0</v>
      </c>
      <c r="S247"/>
      <c r="T247"/>
      <c r="U247"/>
    </row>
    <row r="248" spans="12:21" x14ac:dyDescent="0.2">
      <c r="M248" s="2">
        <f>'Reels From Source (2)'!A244</f>
        <v>0</v>
      </c>
      <c r="N248" s="2">
        <f>'Reels From Source (2)'!B244</f>
        <v>0</v>
      </c>
      <c r="O248" s="2">
        <f>'Reels From Source (2)'!C244</f>
        <v>0</v>
      </c>
      <c r="P248" s="2">
        <f>'Reels From Source (2)'!D244</f>
        <v>0</v>
      </c>
      <c r="Q248" s="2">
        <f>'Reels From Source (2)'!E244</f>
        <v>0</v>
      </c>
      <c r="R248" s="2">
        <f>'Reels From Source (2)'!F244</f>
        <v>0</v>
      </c>
      <c r="S248"/>
      <c r="T248"/>
      <c r="U248"/>
    </row>
    <row r="249" spans="12:21" x14ac:dyDescent="0.2">
      <c r="M249" s="2">
        <f>'Reels From Source (2)'!A245</f>
        <v>0</v>
      </c>
      <c r="N249" s="2">
        <f>'Reels From Source (2)'!B245</f>
        <v>0</v>
      </c>
      <c r="O249" s="2">
        <f>'Reels From Source (2)'!C245</f>
        <v>0</v>
      </c>
      <c r="P249" s="2">
        <f>'Reels From Source (2)'!D245</f>
        <v>0</v>
      </c>
      <c r="Q249" s="2">
        <f>'Reels From Source (2)'!E245</f>
        <v>0</v>
      </c>
      <c r="R249" s="2">
        <f>'Reels From Source (2)'!F245</f>
        <v>0</v>
      </c>
      <c r="S249"/>
      <c r="T249"/>
      <c r="U249"/>
    </row>
    <row r="250" spans="12:21" x14ac:dyDescent="0.2">
      <c r="M250" s="2">
        <f>'Reels From Source (2)'!A246</f>
        <v>0</v>
      </c>
      <c r="N250" s="2">
        <f>'Reels From Source (2)'!B246</f>
        <v>0</v>
      </c>
      <c r="O250" s="2">
        <f>'Reels From Source (2)'!C246</f>
        <v>0</v>
      </c>
      <c r="P250" s="2">
        <f>'Reels From Source (2)'!D246</f>
        <v>0</v>
      </c>
      <c r="Q250" s="2">
        <f>'Reels From Source (2)'!E246</f>
        <v>0</v>
      </c>
      <c r="R250" s="2">
        <f>'Reels From Source (2)'!F246</f>
        <v>0</v>
      </c>
      <c r="S250"/>
      <c r="T250"/>
      <c r="U250"/>
    </row>
    <row r="251" spans="12:21" x14ac:dyDescent="0.2">
      <c r="M251" s="2">
        <f>'Reels From Source (2)'!A247</f>
        <v>0</v>
      </c>
      <c r="N251" s="2">
        <f>'Reels From Source (2)'!B247</f>
        <v>0</v>
      </c>
      <c r="O251" s="2">
        <f>'Reels From Source (2)'!C247</f>
        <v>0</v>
      </c>
      <c r="P251" s="2">
        <f>'Reels From Source (2)'!D247</f>
        <v>0</v>
      </c>
      <c r="Q251" s="2">
        <f>'Reels From Source (2)'!E247</f>
        <v>0</v>
      </c>
      <c r="R251" s="2">
        <f>'Reels From Source (2)'!F247</f>
        <v>0</v>
      </c>
      <c r="S251"/>
      <c r="T251"/>
      <c r="U251"/>
    </row>
    <row r="252" spans="12:21" x14ac:dyDescent="0.2">
      <c r="M252" s="2">
        <f>'Reels From Source (2)'!A248</f>
        <v>0</v>
      </c>
      <c r="N252" s="2">
        <f>'Reels From Source (2)'!B248</f>
        <v>0</v>
      </c>
      <c r="O252" s="2">
        <f>'Reels From Source (2)'!C248</f>
        <v>0</v>
      </c>
      <c r="P252" s="2">
        <f>'Reels From Source (2)'!D248</f>
        <v>0</v>
      </c>
      <c r="Q252" s="2">
        <f>'Reels From Source (2)'!E248</f>
        <v>0</v>
      </c>
      <c r="R252" s="2">
        <f>'Reels From Source (2)'!F248</f>
        <v>0</v>
      </c>
      <c r="S252"/>
      <c r="T252"/>
      <c r="U252"/>
    </row>
    <row r="253" spans="12:21" x14ac:dyDescent="0.2">
      <c r="M253" s="2">
        <f>'Reels From Source (2)'!A249</f>
        <v>0</v>
      </c>
      <c r="N253" s="2">
        <f>'Reels From Source (2)'!B249</f>
        <v>0</v>
      </c>
      <c r="O253" s="2">
        <f>'Reels From Source (2)'!C249</f>
        <v>0</v>
      </c>
      <c r="P253" s="2">
        <f>'Reels From Source (2)'!D249</f>
        <v>0</v>
      </c>
      <c r="Q253" s="2">
        <f>'Reels From Source (2)'!E249</f>
        <v>0</v>
      </c>
      <c r="R253" s="2">
        <f>'Reels From Source (2)'!F249</f>
        <v>0</v>
      </c>
      <c r="S253"/>
      <c r="T253"/>
      <c r="U253"/>
    </row>
    <row r="254" spans="12:21" x14ac:dyDescent="0.2">
      <c r="M254" s="2">
        <f>'Reels From Source (2)'!A250</f>
        <v>0</v>
      </c>
      <c r="N254" s="2">
        <f>'Reels From Source (2)'!B250</f>
        <v>0</v>
      </c>
      <c r="O254" s="2">
        <f>'Reels From Source (2)'!C250</f>
        <v>0</v>
      </c>
      <c r="P254" s="2">
        <f>'Reels From Source (2)'!D250</f>
        <v>0</v>
      </c>
      <c r="Q254" s="2">
        <f>'Reels From Source (2)'!E250</f>
        <v>0</v>
      </c>
      <c r="R254" s="2">
        <f>'Reels From Source (2)'!F250</f>
        <v>0</v>
      </c>
      <c r="S254"/>
      <c r="T254"/>
      <c r="U254"/>
    </row>
    <row r="255" spans="12:21" x14ac:dyDescent="0.2">
      <c r="L255" s="16" t="s">
        <v>36</v>
      </c>
      <c r="M255" s="2">
        <f>'Reels From Source (2)'!A251</f>
        <v>0</v>
      </c>
      <c r="N255" s="2">
        <f>'Reels From Source (2)'!B251</f>
        <v>0</v>
      </c>
      <c r="O255" s="2">
        <f>'Reels From Source (2)'!C251</f>
        <v>0</v>
      </c>
      <c r="P255" s="2">
        <f>'Reels From Source (2)'!D251</f>
        <v>0</v>
      </c>
      <c r="Q255" s="2">
        <f>'Reels From Source (2)'!E251</f>
        <v>0</v>
      </c>
      <c r="R255" s="2">
        <f>'Reels From Source (2)'!F251</f>
        <v>0</v>
      </c>
      <c r="S255"/>
      <c r="T255"/>
      <c r="U255"/>
    </row>
    <row r="256" spans="12:21" x14ac:dyDescent="0.2">
      <c r="M256" s="2">
        <f>'Reels From Source (2)'!A252</f>
        <v>0</v>
      </c>
      <c r="N256" s="2">
        <f>'Reels From Source (2)'!B252</f>
        <v>0</v>
      </c>
      <c r="O256" s="2">
        <f>'Reels From Source (2)'!C252</f>
        <v>0</v>
      </c>
      <c r="P256" s="2">
        <f>'Reels From Source (2)'!D252</f>
        <v>0</v>
      </c>
      <c r="Q256" s="2">
        <f>'Reels From Source (2)'!E252</f>
        <v>0</v>
      </c>
      <c r="R256" s="2">
        <f>'Reels From Source (2)'!F252</f>
        <v>0</v>
      </c>
      <c r="S256"/>
      <c r="T256"/>
      <c r="U256"/>
    </row>
    <row r="257" spans="12:22" x14ac:dyDescent="0.2">
      <c r="L257" s="32"/>
      <c r="M257" s="2">
        <f>'Reels From Source (2)'!A253</f>
        <v>0</v>
      </c>
      <c r="N257" s="2">
        <f>'Reels From Source (2)'!B253</f>
        <v>0</v>
      </c>
      <c r="O257" s="2">
        <f>'Reels From Source (2)'!C253</f>
        <v>0</v>
      </c>
      <c r="P257" s="2">
        <f>'Reels From Source (2)'!D253</f>
        <v>0</v>
      </c>
      <c r="Q257" s="2">
        <f>'Reels From Source (2)'!E253</f>
        <v>0</v>
      </c>
      <c r="R257" s="2">
        <f>'Reels From Source (2)'!F253</f>
        <v>0</v>
      </c>
      <c r="S257"/>
      <c r="T257"/>
      <c r="U257"/>
    </row>
    <row r="258" spans="12:22" x14ac:dyDescent="0.2">
      <c r="L258" s="32"/>
      <c r="M258" s="2">
        <f>'Reels From Source (2)'!A254</f>
        <v>0</v>
      </c>
      <c r="N258" s="2">
        <f>'Reels From Source (2)'!B254</f>
        <v>0</v>
      </c>
      <c r="O258" s="2">
        <f>'Reels From Source (2)'!C254</f>
        <v>0</v>
      </c>
      <c r="P258" s="2">
        <f>'Reels From Source (2)'!D254</f>
        <v>0</v>
      </c>
      <c r="Q258" s="2">
        <f>'Reels From Source (2)'!E254</f>
        <v>0</v>
      </c>
      <c r="R258" s="2">
        <f>'Reels From Source (2)'!F254</f>
        <v>0</v>
      </c>
      <c r="S258"/>
      <c r="T258"/>
      <c r="U258"/>
    </row>
    <row r="259" spans="12:22" x14ac:dyDescent="0.2">
      <c r="L259" s="32"/>
      <c r="M259" s="2">
        <f>'Reels From Source (2)'!A255</f>
        <v>0</v>
      </c>
      <c r="N259" s="2">
        <f>'Reels From Source (2)'!B255</f>
        <v>0</v>
      </c>
      <c r="O259" s="2">
        <f>'Reels From Source (2)'!C255</f>
        <v>0</v>
      </c>
      <c r="P259" s="2">
        <f>'Reels From Source (2)'!D255</f>
        <v>0</v>
      </c>
      <c r="Q259" s="2">
        <f>'Reels From Source (2)'!E255</f>
        <v>0</v>
      </c>
      <c r="R259" s="2">
        <f>'Reels From Source (2)'!F255</f>
        <v>0</v>
      </c>
      <c r="S259"/>
      <c r="T259"/>
      <c r="U259"/>
    </row>
    <row r="260" spans="12:22" x14ac:dyDescent="0.2">
      <c r="L260" s="32"/>
      <c r="M260" s="2">
        <f>'Reels From Source (2)'!A256</f>
        <v>0</v>
      </c>
      <c r="N260" s="2">
        <f>'Reels From Source (2)'!B256</f>
        <v>0</v>
      </c>
      <c r="O260" s="2">
        <f>'Reels From Source (2)'!C256</f>
        <v>0</v>
      </c>
      <c r="P260" s="2">
        <f>'Reels From Source (2)'!D256</f>
        <v>0</v>
      </c>
      <c r="Q260" s="2">
        <f>'Reels From Source (2)'!E256</f>
        <v>0</v>
      </c>
      <c r="R260" s="2">
        <f>'Reels From Source (2)'!F256</f>
        <v>0</v>
      </c>
      <c r="S260"/>
      <c r="T260"/>
      <c r="U260"/>
    </row>
    <row r="261" spans="12:22" x14ac:dyDescent="0.2">
      <c r="L261" s="32"/>
      <c r="M261" s="2">
        <f>'Reels From Source (2)'!A257</f>
        <v>0</v>
      </c>
      <c r="N261" s="2">
        <f>'Reels From Source (2)'!B257</f>
        <v>0</v>
      </c>
      <c r="O261" s="2">
        <f>'Reels From Source (2)'!C257</f>
        <v>0</v>
      </c>
      <c r="P261" s="2">
        <f>'Reels From Source (2)'!D257</f>
        <v>0</v>
      </c>
      <c r="Q261" s="2">
        <f>'Reels From Source (2)'!E257</f>
        <v>0</v>
      </c>
      <c r="R261" s="2">
        <f>'Reels From Source (2)'!F257</f>
        <v>0</v>
      </c>
      <c r="S261"/>
      <c r="T261"/>
      <c r="U261"/>
    </row>
    <row r="262" spans="12:22" x14ac:dyDescent="0.2">
      <c r="L262" s="32"/>
      <c r="M262" s="2">
        <f>'Reels From Source (2)'!A258</f>
        <v>0</v>
      </c>
      <c r="N262" s="2">
        <f>'Reels From Source (2)'!B258</f>
        <v>0</v>
      </c>
      <c r="O262" s="2">
        <f>'Reels From Source (2)'!C258</f>
        <v>0</v>
      </c>
      <c r="P262" s="2">
        <f>'Reels From Source (2)'!D258</f>
        <v>0</v>
      </c>
      <c r="Q262" s="2">
        <f>'Reels From Source (2)'!E258</f>
        <v>0</v>
      </c>
      <c r="R262" s="2">
        <f>'Reels From Source (2)'!F258</f>
        <v>0</v>
      </c>
      <c r="S262"/>
      <c r="T262"/>
      <c r="U262"/>
    </row>
    <row r="263" spans="12:22" x14ac:dyDescent="0.2">
      <c r="L263" s="32"/>
      <c r="M263" s="2">
        <f>'Reels From Source (2)'!A259</f>
        <v>0</v>
      </c>
      <c r="N263" s="2">
        <f>'Reels From Source (2)'!B259</f>
        <v>0</v>
      </c>
      <c r="O263" s="2">
        <f>'Reels From Source (2)'!C259</f>
        <v>0</v>
      </c>
      <c r="P263" s="2">
        <f>'Reels From Source (2)'!D259</f>
        <v>0</v>
      </c>
      <c r="Q263" s="2">
        <f>'Reels From Source (2)'!E259</f>
        <v>0</v>
      </c>
      <c r="R263" s="2">
        <f>'Reels From Source (2)'!F259</f>
        <v>0</v>
      </c>
      <c r="S263"/>
      <c r="T263"/>
      <c r="U263"/>
    </row>
    <row r="264" spans="12:22" x14ac:dyDescent="0.2">
      <c r="L264" s="32"/>
      <c r="M264" s="2">
        <f>'Reels From Source (2)'!A260</f>
        <v>0</v>
      </c>
      <c r="N264" s="2">
        <f>'Reels From Source (2)'!B260</f>
        <v>0</v>
      </c>
      <c r="O264" s="2">
        <f>'Reels From Source (2)'!C260</f>
        <v>0</v>
      </c>
      <c r="P264" s="2">
        <f>'Reels From Source (2)'!D260</f>
        <v>0</v>
      </c>
      <c r="Q264" s="2">
        <f>'Reels From Source (2)'!E260</f>
        <v>0</v>
      </c>
      <c r="R264" s="2">
        <f>'Reels From Source (2)'!F260</f>
        <v>0</v>
      </c>
      <c r="S264"/>
      <c r="T264"/>
      <c r="U264"/>
    </row>
    <row r="265" spans="12:22" x14ac:dyDescent="0.2">
      <c r="L265" s="32"/>
      <c r="M265" s="2">
        <f>'Reels From Source (2)'!A261</f>
        <v>0</v>
      </c>
      <c r="N265" s="2">
        <f>'Reels From Source (2)'!B261</f>
        <v>0</v>
      </c>
      <c r="O265" s="2">
        <f>'Reels From Source (2)'!C261</f>
        <v>0</v>
      </c>
      <c r="P265" s="2">
        <f>'Reels From Source (2)'!D261</f>
        <v>0</v>
      </c>
      <c r="Q265" s="2">
        <f>'Reels From Source (2)'!E261</f>
        <v>0</v>
      </c>
      <c r="R265" s="2">
        <f>'Reels From Source (2)'!F261</f>
        <v>0</v>
      </c>
      <c r="S265"/>
      <c r="T265"/>
      <c r="U265"/>
    </row>
    <row r="266" spans="12:22" x14ac:dyDescent="0.2">
      <c r="L266" s="32"/>
      <c r="M266" s="2">
        <f>'Reels From Source (2)'!A262</f>
        <v>0</v>
      </c>
      <c r="N266" s="2">
        <f>'Reels From Source (2)'!B262</f>
        <v>0</v>
      </c>
      <c r="O266" s="2">
        <f>'Reels From Source (2)'!C262</f>
        <v>0</v>
      </c>
      <c r="P266" s="2">
        <f>'Reels From Source (2)'!D262</f>
        <v>0</v>
      </c>
      <c r="Q266" s="2">
        <f>'Reels From Source (2)'!E262</f>
        <v>0</v>
      </c>
      <c r="R266" s="2">
        <f>'Reels From Source (2)'!F262</f>
        <v>0</v>
      </c>
      <c r="S266"/>
      <c r="T266"/>
      <c r="U266"/>
    </row>
    <row r="267" spans="12:22" x14ac:dyDescent="0.2">
      <c r="L267" s="32"/>
      <c r="M267" s="2">
        <f>'Reels From Source (2)'!A263</f>
        <v>0</v>
      </c>
      <c r="N267" s="2">
        <f>'Reels From Source (2)'!B263</f>
        <v>0</v>
      </c>
      <c r="O267" s="2">
        <f>'Reels From Source (2)'!C263</f>
        <v>0</v>
      </c>
      <c r="P267" s="2">
        <f>'Reels From Source (2)'!D263</f>
        <v>0</v>
      </c>
      <c r="Q267" s="2">
        <f>'Reels From Source (2)'!E263</f>
        <v>0</v>
      </c>
      <c r="R267" s="2">
        <f>'Reels From Source (2)'!F263</f>
        <v>0</v>
      </c>
      <c r="S267"/>
      <c r="T267"/>
      <c r="U267"/>
    </row>
    <row r="268" spans="12:22" x14ac:dyDescent="0.2">
      <c r="L268" s="32"/>
      <c r="M268" s="2">
        <f>'Reels From Source (2)'!A264</f>
        <v>0</v>
      </c>
      <c r="N268" s="2">
        <f>'Reels From Source (2)'!B264</f>
        <v>0</v>
      </c>
      <c r="O268" s="2">
        <f>'Reels From Source (2)'!C264</f>
        <v>0</v>
      </c>
      <c r="P268" s="2">
        <f>'Reels From Source (2)'!D264</f>
        <v>0</v>
      </c>
      <c r="Q268" s="2">
        <f>'Reels From Source (2)'!E264</f>
        <v>0</v>
      </c>
      <c r="R268" s="2">
        <f>'Reels From Source (2)'!F264</f>
        <v>0</v>
      </c>
      <c r="S268"/>
      <c r="T268"/>
      <c r="U268"/>
    </row>
    <row r="269" spans="12:22" x14ac:dyDescent="0.2">
      <c r="M269" s="2">
        <f>'Reels From Source (2)'!A265</f>
        <v>0</v>
      </c>
      <c r="N269" s="2">
        <f>'Reels From Source (2)'!B265</f>
        <v>0</v>
      </c>
      <c r="O269" s="2">
        <f>'Reels From Source (2)'!C265</f>
        <v>0</v>
      </c>
      <c r="P269" s="2">
        <f>'Reels From Source (2)'!D265</f>
        <v>0</v>
      </c>
      <c r="Q269" s="2">
        <f>'Reels From Source (2)'!E265</f>
        <v>0</v>
      </c>
      <c r="R269" s="2">
        <f>'Reels From Source (2)'!F265</f>
        <v>0</v>
      </c>
      <c r="S269"/>
      <c r="T269"/>
      <c r="U269"/>
    </row>
    <row r="270" spans="12:22" x14ac:dyDescent="0.2">
      <c r="M270" s="2">
        <f>'Reels From Source (2)'!A266</f>
        <v>0</v>
      </c>
      <c r="N270" s="2">
        <f>'Reels From Source (2)'!B266</f>
        <v>0</v>
      </c>
      <c r="O270" s="2">
        <f>'Reels From Source (2)'!C266</f>
        <v>0</v>
      </c>
      <c r="P270" s="2">
        <f>'Reels From Source (2)'!D266</f>
        <v>0</v>
      </c>
      <c r="Q270" s="2">
        <f>'Reels From Source (2)'!E266</f>
        <v>0</v>
      </c>
      <c r="R270" s="2">
        <f>'Reels From Source (2)'!F266</f>
        <v>0</v>
      </c>
      <c r="S270"/>
      <c r="T270"/>
      <c r="U270"/>
    </row>
    <row r="271" spans="12:22" x14ac:dyDescent="0.2">
      <c r="M271" s="2">
        <f>'Reels From Source (2)'!A267</f>
        <v>0</v>
      </c>
      <c r="N271" s="2">
        <f>'Reels From Source (2)'!B267</f>
        <v>0</v>
      </c>
      <c r="O271" s="2">
        <f>'Reels From Source (2)'!C267</f>
        <v>0</v>
      </c>
      <c r="P271" s="2">
        <f>'Reels From Source (2)'!D267</f>
        <v>0</v>
      </c>
      <c r="Q271" s="2">
        <f>'Reels From Source (2)'!E267</f>
        <v>0</v>
      </c>
      <c r="R271" s="2">
        <f>'Reels From Source (2)'!F267</f>
        <v>0</v>
      </c>
      <c r="S271"/>
      <c r="T271"/>
      <c r="U271"/>
      <c r="V271"/>
    </row>
    <row r="272" spans="12:22" x14ac:dyDescent="0.2">
      <c r="M272" s="2">
        <f>'Reels From Source (2)'!A268</f>
        <v>0</v>
      </c>
      <c r="N272" s="2">
        <f>'Reels From Source (2)'!B268</f>
        <v>0</v>
      </c>
      <c r="O272" s="2">
        <f>'Reels From Source (2)'!C268</f>
        <v>0</v>
      </c>
      <c r="P272" s="2">
        <f>'Reels From Source (2)'!D268</f>
        <v>0</v>
      </c>
      <c r="Q272" s="2">
        <f>'Reels From Source (2)'!E268</f>
        <v>0</v>
      </c>
      <c r="R272" s="2">
        <f>'Reels From Source (2)'!F268</f>
        <v>0</v>
      </c>
      <c r="S272"/>
      <c r="T272"/>
      <c r="U272"/>
    </row>
    <row r="273" spans="12:21" x14ac:dyDescent="0.2">
      <c r="M273" s="2">
        <f>'Reels From Source (2)'!A269</f>
        <v>0</v>
      </c>
      <c r="N273" s="2">
        <f>'Reels From Source (2)'!B269</f>
        <v>0</v>
      </c>
      <c r="O273" s="2">
        <f>'Reels From Source (2)'!C269</f>
        <v>0</v>
      </c>
      <c r="P273" s="2">
        <f>'Reels From Source (2)'!D269</f>
        <v>0</v>
      </c>
      <c r="Q273" s="2">
        <f>'Reels From Source (2)'!E269</f>
        <v>0</v>
      </c>
      <c r="R273" s="2">
        <f>'Reels From Source (2)'!F269</f>
        <v>0</v>
      </c>
      <c r="S273"/>
      <c r="T273"/>
      <c r="U273"/>
    </row>
    <row r="274" spans="12:21" x14ac:dyDescent="0.2">
      <c r="M274" s="2">
        <f>'Reels From Source (2)'!A270</f>
        <v>0</v>
      </c>
      <c r="N274" s="2">
        <f>'Reels From Source (2)'!B270</f>
        <v>0</v>
      </c>
      <c r="O274" s="2">
        <f>'Reels From Source (2)'!C270</f>
        <v>0</v>
      </c>
      <c r="P274" s="2">
        <f>'Reels From Source (2)'!D270</f>
        <v>0</v>
      </c>
      <c r="Q274" s="2">
        <f>'Reels From Source (2)'!E270</f>
        <v>0</v>
      </c>
      <c r="R274" s="2">
        <f>'Reels From Source (2)'!F270</f>
        <v>0</v>
      </c>
      <c r="S274"/>
      <c r="T274"/>
      <c r="U274"/>
    </row>
    <row r="275" spans="12:21" x14ac:dyDescent="0.2">
      <c r="M275" s="2">
        <f>'Reels From Source (2)'!A271</f>
        <v>0</v>
      </c>
      <c r="N275" s="2">
        <f>'Reels From Source (2)'!B271</f>
        <v>0</v>
      </c>
      <c r="O275" s="2">
        <f>'Reels From Source (2)'!C271</f>
        <v>0</v>
      </c>
      <c r="P275" s="2">
        <f>'Reels From Source (2)'!D271</f>
        <v>0</v>
      </c>
      <c r="Q275" s="2">
        <f>'Reels From Source (2)'!E271</f>
        <v>0</v>
      </c>
      <c r="R275" s="2">
        <f>'Reels From Source (2)'!F271</f>
        <v>0</v>
      </c>
      <c r="S275"/>
      <c r="T275"/>
      <c r="U275"/>
    </row>
    <row r="276" spans="12:21" x14ac:dyDescent="0.2">
      <c r="M276" s="2">
        <f>'Reels From Source (2)'!A272</f>
        <v>0</v>
      </c>
      <c r="N276" s="2">
        <f>'Reels From Source (2)'!B272</f>
        <v>0</v>
      </c>
      <c r="O276" s="2">
        <f>'Reels From Source (2)'!C272</f>
        <v>0</v>
      </c>
      <c r="P276" s="2">
        <f>'Reels From Source (2)'!D272</f>
        <v>0</v>
      </c>
      <c r="Q276" s="2">
        <f>'Reels From Source (2)'!E272</f>
        <v>0</v>
      </c>
      <c r="R276" s="2">
        <f>'Reels From Source (2)'!F272</f>
        <v>0</v>
      </c>
      <c r="S276"/>
      <c r="T276"/>
      <c r="U276"/>
    </row>
    <row r="277" spans="12:21" x14ac:dyDescent="0.2">
      <c r="M277" s="2">
        <f>'Reels From Source (2)'!A273</f>
        <v>0</v>
      </c>
      <c r="N277" s="2">
        <f>'Reels From Source (2)'!B273</f>
        <v>0</v>
      </c>
      <c r="O277" s="2">
        <f>'Reels From Source (2)'!C273</f>
        <v>0</v>
      </c>
      <c r="P277" s="2">
        <f>'Reels From Source (2)'!D273</f>
        <v>0</v>
      </c>
      <c r="Q277" s="2">
        <f>'Reels From Source (2)'!E273</f>
        <v>0</v>
      </c>
      <c r="R277" s="2">
        <f>'Reels From Source (2)'!F273</f>
        <v>0</v>
      </c>
      <c r="S277"/>
      <c r="T277"/>
      <c r="U277"/>
    </row>
    <row r="278" spans="12:21" x14ac:dyDescent="0.2">
      <c r="M278" s="2">
        <f>'Reels From Source (2)'!A274</f>
        <v>0</v>
      </c>
      <c r="N278" s="2">
        <f>'Reels From Source (2)'!B274</f>
        <v>0</v>
      </c>
      <c r="O278" s="2">
        <f>'Reels From Source (2)'!C274</f>
        <v>0</v>
      </c>
      <c r="P278" s="2">
        <f>'Reels From Source (2)'!D274</f>
        <v>0</v>
      </c>
      <c r="Q278" s="2">
        <f>'Reels From Source (2)'!E274</f>
        <v>0</v>
      </c>
      <c r="R278" s="2">
        <f>'Reels From Source (2)'!F274</f>
        <v>0</v>
      </c>
      <c r="S278"/>
      <c r="T278"/>
      <c r="U278"/>
    </row>
    <row r="279" spans="12:21" x14ac:dyDescent="0.2">
      <c r="M279" s="2">
        <f>'Reels From Source (2)'!A275</f>
        <v>0</v>
      </c>
      <c r="N279" s="2">
        <f>'Reels From Source (2)'!B275</f>
        <v>0</v>
      </c>
      <c r="O279" s="2">
        <f>'Reels From Source (2)'!C275</f>
        <v>0</v>
      </c>
      <c r="P279" s="2">
        <f>'Reels From Source (2)'!D275</f>
        <v>0</v>
      </c>
      <c r="Q279" s="2">
        <f>'Reels From Source (2)'!E275</f>
        <v>0</v>
      </c>
      <c r="R279" s="2">
        <f>'Reels From Source (2)'!F275</f>
        <v>0</v>
      </c>
      <c r="S279"/>
      <c r="T279"/>
      <c r="U279"/>
    </row>
    <row r="280" spans="12:21" x14ac:dyDescent="0.2">
      <c r="L280" s="16" t="s">
        <v>37</v>
      </c>
      <c r="M280" s="2">
        <f>'Reels From Source (2)'!A276</f>
        <v>0</v>
      </c>
      <c r="N280" s="2">
        <f>'Reels From Source (2)'!B276</f>
        <v>0</v>
      </c>
      <c r="O280" s="2">
        <f>'Reels From Source (2)'!C276</f>
        <v>0</v>
      </c>
      <c r="P280" s="2">
        <f>'Reels From Source (2)'!D276</f>
        <v>0</v>
      </c>
      <c r="Q280" s="2">
        <f>'Reels From Source (2)'!E276</f>
        <v>0</v>
      </c>
      <c r="R280" s="2">
        <f>'Reels From Source (2)'!F276</f>
        <v>0</v>
      </c>
      <c r="S280"/>
      <c r="T280"/>
      <c r="U280"/>
    </row>
    <row r="281" spans="12:21" x14ac:dyDescent="0.2">
      <c r="M281" s="2">
        <f>'Reels From Source (2)'!A277</f>
        <v>0</v>
      </c>
      <c r="N281" s="2">
        <f>'Reels From Source (2)'!B277</f>
        <v>0</v>
      </c>
      <c r="O281" s="2">
        <f>'Reels From Source (2)'!C277</f>
        <v>0</v>
      </c>
      <c r="P281" s="2">
        <f>'Reels From Source (2)'!D277</f>
        <v>0</v>
      </c>
      <c r="Q281" s="2">
        <f>'Reels From Source (2)'!E277</f>
        <v>0</v>
      </c>
      <c r="R281" s="2">
        <f>'Reels From Source (2)'!F277</f>
        <v>0</v>
      </c>
      <c r="S281"/>
      <c r="T281"/>
      <c r="U281"/>
    </row>
    <row r="282" spans="12:21" x14ac:dyDescent="0.2">
      <c r="M282" s="2">
        <f>'Reels From Source (2)'!A278</f>
        <v>0</v>
      </c>
      <c r="N282" s="2">
        <f>'Reels From Source (2)'!B278</f>
        <v>0</v>
      </c>
      <c r="O282" s="2">
        <f>'Reels From Source (2)'!C278</f>
        <v>0</v>
      </c>
      <c r="P282" s="2">
        <f>'Reels From Source (2)'!D278</f>
        <v>0</v>
      </c>
      <c r="Q282" s="2">
        <f>'Reels From Source (2)'!E278</f>
        <v>0</v>
      </c>
      <c r="R282" s="2">
        <f>'Reels From Source (2)'!F278</f>
        <v>0</v>
      </c>
      <c r="S282"/>
      <c r="T282"/>
      <c r="U282"/>
    </row>
    <row r="283" spans="12:21" x14ac:dyDescent="0.2">
      <c r="M283" s="2">
        <f>'Reels From Source (2)'!A279</f>
        <v>0</v>
      </c>
      <c r="N283" s="2">
        <f>'Reels From Source (2)'!B279</f>
        <v>0</v>
      </c>
      <c r="O283" s="2">
        <f>'Reels From Source (2)'!C279</f>
        <v>0</v>
      </c>
      <c r="P283" s="2">
        <f>'Reels From Source (2)'!D279</f>
        <v>0</v>
      </c>
      <c r="Q283" s="2">
        <f>'Reels From Source (2)'!E279</f>
        <v>0</v>
      </c>
      <c r="R283" s="2">
        <f>'Reels From Source (2)'!F279</f>
        <v>0</v>
      </c>
      <c r="S283"/>
      <c r="T283"/>
      <c r="U283"/>
    </row>
    <row r="284" spans="12:21" x14ac:dyDescent="0.2">
      <c r="M284" s="2">
        <f>'Reels From Source (2)'!A280</f>
        <v>0</v>
      </c>
      <c r="N284" s="2">
        <f>'Reels From Source (2)'!B280</f>
        <v>0</v>
      </c>
      <c r="O284" s="2">
        <f>'Reels From Source (2)'!C280</f>
        <v>0</v>
      </c>
      <c r="P284" s="2">
        <f>'Reels From Source (2)'!D280</f>
        <v>0</v>
      </c>
      <c r="Q284" s="2">
        <f>'Reels From Source (2)'!E280</f>
        <v>0</v>
      </c>
      <c r="R284" s="2">
        <f>'Reels From Source (2)'!F280</f>
        <v>0</v>
      </c>
      <c r="S284"/>
      <c r="T284"/>
      <c r="U284"/>
    </row>
    <row r="285" spans="12:21" x14ac:dyDescent="0.2">
      <c r="M285" s="2">
        <f>'Reels From Source (2)'!A281</f>
        <v>0</v>
      </c>
      <c r="N285" s="2">
        <f>'Reels From Source (2)'!B281</f>
        <v>0</v>
      </c>
      <c r="O285" s="2">
        <f>'Reels From Source (2)'!C281</f>
        <v>0</v>
      </c>
      <c r="P285" s="2">
        <f>'Reels From Source (2)'!D281</f>
        <v>0</v>
      </c>
      <c r="Q285" s="2">
        <f>'Reels From Source (2)'!E281</f>
        <v>0</v>
      </c>
      <c r="R285" s="2">
        <f>'Reels From Source (2)'!F281</f>
        <v>0</v>
      </c>
      <c r="S285"/>
      <c r="T285"/>
      <c r="U285"/>
    </row>
    <row r="286" spans="12:21" x14ac:dyDescent="0.2">
      <c r="M286" s="2">
        <f>'Reels From Source (2)'!A282</f>
        <v>0</v>
      </c>
      <c r="N286" s="2">
        <f>'Reels From Source (2)'!B282</f>
        <v>0</v>
      </c>
      <c r="O286" s="2">
        <f>'Reels From Source (2)'!C282</f>
        <v>0</v>
      </c>
      <c r="P286" s="2">
        <f>'Reels From Source (2)'!D282</f>
        <v>0</v>
      </c>
      <c r="Q286" s="2">
        <f>'Reels From Source (2)'!E282</f>
        <v>0</v>
      </c>
      <c r="R286" s="2">
        <f>'Reels From Source (2)'!F282</f>
        <v>0</v>
      </c>
      <c r="S286"/>
      <c r="T286"/>
      <c r="U286"/>
    </row>
    <row r="287" spans="12:21" x14ac:dyDescent="0.2">
      <c r="M287" s="2">
        <f>'Reels From Source (2)'!A283</f>
        <v>0</v>
      </c>
      <c r="N287" s="2">
        <f>'Reels From Source (2)'!B283</f>
        <v>0</v>
      </c>
      <c r="O287" s="2">
        <f>'Reels From Source (2)'!C283</f>
        <v>0</v>
      </c>
      <c r="P287" s="2">
        <f>'Reels From Source (2)'!D283</f>
        <v>0</v>
      </c>
      <c r="Q287" s="2">
        <f>'Reels From Source (2)'!E283</f>
        <v>0</v>
      </c>
      <c r="R287" s="2">
        <f>'Reels From Source (2)'!F283</f>
        <v>0</v>
      </c>
      <c r="S287"/>
      <c r="T287"/>
      <c r="U287"/>
    </row>
    <row r="288" spans="12:21" x14ac:dyDescent="0.2">
      <c r="M288" s="2">
        <f>'Reels From Source (2)'!A284</f>
        <v>0</v>
      </c>
      <c r="N288" s="2">
        <f>'Reels From Source (2)'!B284</f>
        <v>0</v>
      </c>
      <c r="O288" s="2">
        <f>'Reels From Source (2)'!C284</f>
        <v>0</v>
      </c>
      <c r="P288" s="2">
        <f>'Reels From Source (2)'!D284</f>
        <v>0</v>
      </c>
      <c r="Q288" s="2">
        <f>'Reels From Source (2)'!E284</f>
        <v>0</v>
      </c>
      <c r="R288" s="2">
        <f>'Reels From Source (2)'!F284</f>
        <v>0</v>
      </c>
      <c r="S288"/>
      <c r="T288"/>
      <c r="U288"/>
    </row>
    <row r="289" spans="13:22" x14ac:dyDescent="0.2">
      <c r="M289" s="2">
        <f>'Reels From Source (2)'!A285</f>
        <v>0</v>
      </c>
      <c r="N289" s="2">
        <f>'Reels From Source (2)'!B285</f>
        <v>0</v>
      </c>
      <c r="O289" s="2">
        <f>'Reels From Source (2)'!C285</f>
        <v>0</v>
      </c>
      <c r="P289" s="2">
        <f>'Reels From Source (2)'!D285</f>
        <v>0</v>
      </c>
      <c r="Q289" s="2">
        <f>'Reels From Source (2)'!E285</f>
        <v>0</v>
      </c>
      <c r="R289" s="2">
        <f>'Reels From Source (2)'!F285</f>
        <v>0</v>
      </c>
      <c r="S289"/>
      <c r="T289"/>
      <c r="U289"/>
    </row>
    <row r="290" spans="13:22" x14ac:dyDescent="0.2">
      <c r="M290" s="2">
        <f>'Reels From Source (2)'!A286</f>
        <v>0</v>
      </c>
      <c r="N290" s="2">
        <f>'Reels From Source (2)'!B286</f>
        <v>0</v>
      </c>
      <c r="O290" s="2">
        <f>'Reels From Source (2)'!C286</f>
        <v>0</v>
      </c>
      <c r="P290" s="2">
        <f>'Reels From Source (2)'!D286</f>
        <v>0</v>
      </c>
      <c r="Q290" s="2">
        <f>'Reels From Source (2)'!E286</f>
        <v>0</v>
      </c>
      <c r="R290" s="2">
        <f>'Reels From Source (2)'!F286</f>
        <v>0</v>
      </c>
      <c r="S290"/>
      <c r="T290"/>
      <c r="U290"/>
    </row>
    <row r="291" spans="13:22" x14ac:dyDescent="0.2">
      <c r="M291" s="2">
        <f>'Reels From Source (2)'!A287</f>
        <v>0</v>
      </c>
      <c r="N291" s="2">
        <f>'Reels From Source (2)'!B287</f>
        <v>0</v>
      </c>
      <c r="O291" s="2">
        <f>'Reels From Source (2)'!C287</f>
        <v>0</v>
      </c>
      <c r="P291" s="2">
        <f>'Reels From Source (2)'!D287</f>
        <v>0</v>
      </c>
      <c r="Q291" s="2">
        <f>'Reels From Source (2)'!E287</f>
        <v>0</v>
      </c>
      <c r="R291" s="2">
        <f>'Reels From Source (2)'!F287</f>
        <v>0</v>
      </c>
      <c r="S291"/>
      <c r="T291"/>
      <c r="U291"/>
    </row>
    <row r="292" spans="13:22" x14ac:dyDescent="0.2">
      <c r="M292" s="2">
        <f>'Reels From Source (2)'!A288</f>
        <v>0</v>
      </c>
      <c r="N292" s="2">
        <f>'Reels From Source (2)'!B288</f>
        <v>0</v>
      </c>
      <c r="O292" s="2">
        <f>'Reels From Source (2)'!C288</f>
        <v>0</v>
      </c>
      <c r="P292" s="2">
        <f>'Reels From Source (2)'!D288</f>
        <v>0</v>
      </c>
      <c r="Q292" s="2">
        <f>'Reels From Source (2)'!E288</f>
        <v>0</v>
      </c>
      <c r="R292" s="2">
        <f>'Reels From Source (2)'!F288</f>
        <v>0</v>
      </c>
      <c r="S292"/>
      <c r="T292"/>
      <c r="U292"/>
    </row>
    <row r="293" spans="13:22" x14ac:dyDescent="0.2">
      <c r="M293" s="2">
        <f>'Reels From Source (2)'!A289</f>
        <v>0</v>
      </c>
      <c r="N293" s="2">
        <f>'Reels From Source (2)'!B289</f>
        <v>0</v>
      </c>
      <c r="O293" s="2">
        <f>'Reels From Source (2)'!C289</f>
        <v>0</v>
      </c>
      <c r="P293" s="2">
        <f>'Reels From Source (2)'!D289</f>
        <v>0</v>
      </c>
      <c r="Q293" s="2">
        <f>'Reels From Source (2)'!E289</f>
        <v>0</v>
      </c>
      <c r="R293" s="2">
        <f>'Reels From Source (2)'!F289</f>
        <v>0</v>
      </c>
      <c r="S293"/>
      <c r="T293"/>
      <c r="U293"/>
    </row>
    <row r="294" spans="13:22" x14ac:dyDescent="0.2">
      <c r="M294" s="2">
        <f>'Reels From Source (2)'!A290</f>
        <v>0</v>
      </c>
      <c r="N294" s="2">
        <f>'Reels From Source (2)'!B290</f>
        <v>0</v>
      </c>
      <c r="O294" s="2">
        <f>'Reels From Source (2)'!C290</f>
        <v>0</v>
      </c>
      <c r="P294" s="2">
        <f>'Reels From Source (2)'!D290</f>
        <v>0</v>
      </c>
      <c r="Q294" s="2">
        <f>'Reels From Source (2)'!E290</f>
        <v>0</v>
      </c>
      <c r="R294" s="2">
        <f>'Reels From Source (2)'!F290</f>
        <v>0</v>
      </c>
      <c r="S294"/>
      <c r="T294"/>
      <c r="U294"/>
    </row>
    <row r="295" spans="13:22" x14ac:dyDescent="0.2">
      <c r="M295" s="2">
        <f>'Reels From Source (2)'!A291</f>
        <v>0</v>
      </c>
      <c r="N295" s="2">
        <f>'Reels From Source (2)'!B291</f>
        <v>0</v>
      </c>
      <c r="O295" s="2">
        <f>'Reels From Source (2)'!C291</f>
        <v>0</v>
      </c>
      <c r="P295" s="2">
        <f>'Reels From Source (2)'!D291</f>
        <v>0</v>
      </c>
      <c r="Q295" s="2">
        <f>'Reels From Source (2)'!E291</f>
        <v>0</v>
      </c>
      <c r="R295" s="2">
        <f>'Reels From Source (2)'!F291</f>
        <v>0</v>
      </c>
      <c r="S295"/>
      <c r="T295"/>
      <c r="U295"/>
    </row>
    <row r="296" spans="13:22" x14ac:dyDescent="0.2">
      <c r="M296" s="2">
        <f>'Reels From Source (2)'!A292</f>
        <v>0</v>
      </c>
      <c r="N296" s="2">
        <f>'Reels From Source (2)'!B292</f>
        <v>0</v>
      </c>
      <c r="O296" s="2">
        <f>'Reels From Source (2)'!C292</f>
        <v>0</v>
      </c>
      <c r="P296" s="2">
        <f>'Reels From Source (2)'!D292</f>
        <v>0</v>
      </c>
      <c r="Q296" s="2">
        <f>'Reels From Source (2)'!E292</f>
        <v>0</v>
      </c>
      <c r="R296" s="2">
        <f>'Reels From Source (2)'!F292</f>
        <v>0</v>
      </c>
      <c r="S296"/>
      <c r="T296"/>
      <c r="U296"/>
    </row>
    <row r="297" spans="13:22" x14ac:dyDescent="0.2">
      <c r="M297" s="2">
        <f>'Reels From Source (2)'!A293</f>
        <v>0</v>
      </c>
      <c r="N297" s="2">
        <f>'Reels From Source (2)'!B293</f>
        <v>0</v>
      </c>
      <c r="O297" s="2">
        <f>'Reels From Source (2)'!C293</f>
        <v>0</v>
      </c>
      <c r="P297" s="2">
        <f>'Reels From Source (2)'!D293</f>
        <v>0</v>
      </c>
      <c r="Q297" s="2">
        <f>'Reels From Source (2)'!E293</f>
        <v>0</v>
      </c>
      <c r="R297" s="2">
        <f>'Reels From Source (2)'!F293</f>
        <v>0</v>
      </c>
      <c r="S297"/>
      <c r="T297"/>
      <c r="U297"/>
    </row>
    <row r="298" spans="13:22" x14ac:dyDescent="0.2">
      <c r="M298" s="2">
        <f>'Reels From Source (2)'!A294</f>
        <v>0</v>
      </c>
      <c r="N298" s="2">
        <f>'Reels From Source (2)'!B294</f>
        <v>0</v>
      </c>
      <c r="O298" s="2">
        <f>'Reels From Source (2)'!C294</f>
        <v>0</v>
      </c>
      <c r="P298" s="2">
        <f>'Reels From Source (2)'!D294</f>
        <v>0</v>
      </c>
      <c r="Q298" s="2">
        <f>'Reels From Source (2)'!E294</f>
        <v>0</v>
      </c>
      <c r="R298" s="2">
        <f>'Reels From Source (2)'!F294</f>
        <v>0</v>
      </c>
      <c r="S298"/>
      <c r="T298"/>
      <c r="U298"/>
      <c r="V298"/>
    </row>
    <row r="299" spans="13:22" x14ac:dyDescent="0.2">
      <c r="M299" s="2">
        <f>'Reels From Source (2)'!A295</f>
        <v>0</v>
      </c>
      <c r="N299" s="2">
        <f>'Reels From Source (2)'!B295</f>
        <v>0</v>
      </c>
      <c r="O299" s="2">
        <f>'Reels From Source (2)'!C295</f>
        <v>0</v>
      </c>
      <c r="P299" s="2">
        <f>'Reels From Source (2)'!D295</f>
        <v>0</v>
      </c>
      <c r="Q299" s="2">
        <f>'Reels From Source (2)'!E295</f>
        <v>0</v>
      </c>
      <c r="R299" s="2">
        <f>'Reels From Source (2)'!F295</f>
        <v>0</v>
      </c>
      <c r="S299"/>
      <c r="T299"/>
      <c r="U299"/>
    </row>
    <row r="300" spans="13:22" x14ac:dyDescent="0.2">
      <c r="M300" s="2">
        <f>'Reels From Source (2)'!A296</f>
        <v>0</v>
      </c>
      <c r="N300" s="2">
        <f>'Reels From Source (2)'!B296</f>
        <v>0</v>
      </c>
      <c r="O300" s="2">
        <f>'Reels From Source (2)'!C296</f>
        <v>0</v>
      </c>
      <c r="P300" s="2">
        <f>'Reels From Source (2)'!D296</f>
        <v>0</v>
      </c>
      <c r="Q300" s="2">
        <f>'Reels From Source (2)'!E296</f>
        <v>0</v>
      </c>
      <c r="R300" s="2">
        <f>'Reels From Source (2)'!F296</f>
        <v>0</v>
      </c>
      <c r="S300"/>
      <c r="T300"/>
      <c r="U300"/>
    </row>
    <row r="301" spans="13:22" x14ac:dyDescent="0.2">
      <c r="M301" s="2">
        <f>'Reels From Source (2)'!A297</f>
        <v>0</v>
      </c>
      <c r="N301" s="2">
        <f>'Reels From Source (2)'!B297</f>
        <v>0</v>
      </c>
      <c r="O301" s="2">
        <f>'Reels From Source (2)'!C297</f>
        <v>0</v>
      </c>
      <c r="P301" s="2">
        <f>'Reels From Source (2)'!D297</f>
        <v>0</v>
      </c>
      <c r="Q301" s="2">
        <f>'Reels From Source (2)'!E297</f>
        <v>0</v>
      </c>
      <c r="R301" s="2">
        <f>'Reels From Source (2)'!F297</f>
        <v>0</v>
      </c>
      <c r="S301"/>
      <c r="T301"/>
      <c r="U301"/>
    </row>
    <row r="302" spans="13:22" x14ac:dyDescent="0.2">
      <c r="M302" s="2">
        <f>'Reels From Source (2)'!A298</f>
        <v>0</v>
      </c>
      <c r="N302" s="2">
        <f>'Reels From Source (2)'!B298</f>
        <v>0</v>
      </c>
      <c r="O302" s="2">
        <f>'Reels From Source (2)'!C298</f>
        <v>0</v>
      </c>
      <c r="P302" s="2">
        <f>'Reels From Source (2)'!D298</f>
        <v>0</v>
      </c>
      <c r="Q302" s="2">
        <f>'Reels From Source (2)'!E298</f>
        <v>0</v>
      </c>
      <c r="R302" s="2">
        <f>'Reels From Source (2)'!F298</f>
        <v>0</v>
      </c>
      <c r="S302"/>
      <c r="T302"/>
      <c r="U302"/>
    </row>
    <row r="303" spans="13:22" x14ac:dyDescent="0.2">
      <c r="M303" s="2">
        <f>'Reels From Source (2)'!A299</f>
        <v>0</v>
      </c>
      <c r="N303" s="2">
        <f>'Reels From Source (2)'!B299</f>
        <v>0</v>
      </c>
      <c r="O303" s="2">
        <f>'Reels From Source (2)'!C299</f>
        <v>0</v>
      </c>
      <c r="P303" s="2">
        <f>'Reels From Source (2)'!D299</f>
        <v>0</v>
      </c>
      <c r="Q303" s="2">
        <f>'Reels From Source (2)'!E299</f>
        <v>0</v>
      </c>
      <c r="R303" s="2">
        <f>'Reels From Source (2)'!F299</f>
        <v>0</v>
      </c>
      <c r="S303"/>
      <c r="T303"/>
      <c r="U303"/>
    </row>
    <row r="304" spans="13:22" x14ac:dyDescent="0.2">
      <c r="M304" s="2">
        <f>'Reels From Source (2)'!A300</f>
        <v>0</v>
      </c>
      <c r="N304" s="2">
        <f>'Reels From Source (2)'!B300</f>
        <v>0</v>
      </c>
      <c r="O304" s="2">
        <f>'Reels From Source (2)'!C300</f>
        <v>0</v>
      </c>
      <c r="P304" s="2">
        <f>'Reels From Source (2)'!D300</f>
        <v>0</v>
      </c>
      <c r="Q304" s="2">
        <f>'Reels From Source (2)'!E300</f>
        <v>0</v>
      </c>
      <c r="R304" s="2">
        <f>'Reels From Source (2)'!F300</f>
        <v>0</v>
      </c>
      <c r="S304"/>
      <c r="T304"/>
      <c r="U304"/>
    </row>
    <row r="305" spans="12:21" x14ac:dyDescent="0.2">
      <c r="L305" s="16" t="s">
        <v>38</v>
      </c>
      <c r="M305" s="2">
        <f>'Reels From Source (2)'!A301</f>
        <v>0</v>
      </c>
      <c r="N305" s="2">
        <f>'Reels From Source (2)'!B301</f>
        <v>0</v>
      </c>
      <c r="O305" s="2">
        <f>'Reels From Source (2)'!C301</f>
        <v>0</v>
      </c>
      <c r="P305" s="2">
        <f>'Reels From Source (2)'!D301</f>
        <v>0</v>
      </c>
      <c r="Q305" s="2">
        <f>'Reels From Source (2)'!E301</f>
        <v>0</v>
      </c>
      <c r="R305" s="2">
        <f>'Reels From Source (2)'!F301</f>
        <v>0</v>
      </c>
      <c r="S305"/>
      <c r="T305"/>
      <c r="U305"/>
    </row>
    <row r="306" spans="12:21" x14ac:dyDescent="0.2">
      <c r="M306" s="2">
        <f>'Reels From Source (2)'!A302</f>
        <v>0</v>
      </c>
      <c r="N306" s="2">
        <f>'Reels From Source (2)'!B302</f>
        <v>0</v>
      </c>
      <c r="O306" s="2">
        <f>'Reels From Source (2)'!C302</f>
        <v>0</v>
      </c>
      <c r="P306" s="2">
        <f>'Reels From Source (2)'!D302</f>
        <v>0</v>
      </c>
      <c r="Q306" s="2">
        <f>'Reels From Source (2)'!E302</f>
        <v>0</v>
      </c>
      <c r="R306" s="2">
        <f>'Reels From Source (2)'!F302</f>
        <v>0</v>
      </c>
      <c r="S306"/>
      <c r="T306"/>
      <c r="U306"/>
    </row>
    <row r="307" spans="12:21" x14ac:dyDescent="0.2">
      <c r="L307" s="32"/>
      <c r="M307" s="2">
        <f>'Reels From Source (2)'!A303</f>
        <v>0</v>
      </c>
      <c r="N307" s="2">
        <f>'Reels From Source (2)'!B303</f>
        <v>0</v>
      </c>
      <c r="O307" s="2">
        <f>'Reels From Source (2)'!C303</f>
        <v>0</v>
      </c>
      <c r="P307" s="2">
        <f>'Reels From Source (2)'!D303</f>
        <v>0</v>
      </c>
      <c r="Q307" s="2">
        <f>'Reels From Source (2)'!E303</f>
        <v>0</v>
      </c>
      <c r="R307" s="2">
        <f>'Reels From Source (2)'!F303</f>
        <v>0</v>
      </c>
      <c r="S307"/>
      <c r="T307"/>
      <c r="U307"/>
    </row>
    <row r="308" spans="12:21" x14ac:dyDescent="0.2">
      <c r="L308" s="32"/>
      <c r="M308" s="2">
        <f>'Reels From Source (2)'!A304</f>
        <v>0</v>
      </c>
      <c r="N308" s="2">
        <f>'Reels From Source (2)'!B304</f>
        <v>0</v>
      </c>
      <c r="O308" s="2">
        <f>'Reels From Source (2)'!C304</f>
        <v>0</v>
      </c>
      <c r="P308" s="2">
        <f>'Reels From Source (2)'!D304</f>
        <v>0</v>
      </c>
      <c r="Q308" s="2">
        <f>'Reels From Source (2)'!E304</f>
        <v>0</v>
      </c>
      <c r="R308" s="2">
        <f>'Reels From Source (2)'!F304</f>
        <v>0</v>
      </c>
      <c r="S308"/>
      <c r="T308"/>
      <c r="U308"/>
    </row>
    <row r="309" spans="12:21" x14ac:dyDescent="0.2">
      <c r="L309" s="32"/>
      <c r="M309" s="2">
        <f>'Reels From Source (2)'!A305</f>
        <v>0</v>
      </c>
      <c r="N309" s="2">
        <f>'Reels From Source (2)'!B305</f>
        <v>0</v>
      </c>
      <c r="O309" s="2">
        <f>'Reels From Source (2)'!C305</f>
        <v>0</v>
      </c>
      <c r="P309" s="2">
        <f>'Reels From Source (2)'!D305</f>
        <v>0</v>
      </c>
      <c r="Q309" s="2">
        <f>'Reels From Source (2)'!E305</f>
        <v>0</v>
      </c>
      <c r="R309" s="2">
        <f>'Reels From Source (2)'!F305</f>
        <v>0</v>
      </c>
      <c r="S309"/>
      <c r="T309"/>
      <c r="U309"/>
    </row>
    <row r="310" spans="12:21" x14ac:dyDescent="0.2">
      <c r="L310" s="32"/>
      <c r="M310" s="2">
        <f>'Reels From Source (2)'!A306</f>
        <v>0</v>
      </c>
      <c r="N310" s="2">
        <f>'Reels From Source (2)'!B306</f>
        <v>0</v>
      </c>
      <c r="O310" s="2">
        <f>'Reels From Source (2)'!C306</f>
        <v>0</v>
      </c>
      <c r="P310" s="2">
        <f>'Reels From Source (2)'!D306</f>
        <v>0</v>
      </c>
      <c r="Q310" s="2">
        <f>'Reels From Source (2)'!E306</f>
        <v>0</v>
      </c>
      <c r="R310" s="2">
        <f>'Reels From Source (2)'!F306</f>
        <v>0</v>
      </c>
      <c r="S310"/>
      <c r="T310"/>
      <c r="U310"/>
    </row>
    <row r="311" spans="12:21" x14ac:dyDescent="0.2">
      <c r="L311" s="32"/>
      <c r="M311" s="2">
        <f>'Reels From Source (2)'!A307</f>
        <v>0</v>
      </c>
      <c r="N311" s="2">
        <f>'Reels From Source (2)'!B307</f>
        <v>0</v>
      </c>
      <c r="O311" s="2">
        <f>'Reels From Source (2)'!C307</f>
        <v>0</v>
      </c>
      <c r="P311" s="2">
        <f>'Reels From Source (2)'!D307</f>
        <v>0</v>
      </c>
      <c r="Q311" s="2">
        <f>'Reels From Source (2)'!E307</f>
        <v>0</v>
      </c>
      <c r="R311" s="2">
        <f>'Reels From Source (2)'!F307</f>
        <v>0</v>
      </c>
      <c r="S311"/>
      <c r="T311"/>
      <c r="U311"/>
    </row>
    <row r="312" spans="12:21" x14ac:dyDescent="0.2">
      <c r="L312" s="32"/>
      <c r="M312" s="2">
        <f>'Reels From Source (2)'!A308</f>
        <v>0</v>
      </c>
      <c r="N312" s="2">
        <f>'Reels From Source (2)'!B308</f>
        <v>0</v>
      </c>
      <c r="O312" s="2">
        <f>'Reels From Source (2)'!C308</f>
        <v>0</v>
      </c>
      <c r="P312" s="2">
        <f>'Reels From Source (2)'!D308</f>
        <v>0</v>
      </c>
      <c r="Q312" s="2">
        <f>'Reels From Source (2)'!E308</f>
        <v>0</v>
      </c>
      <c r="R312" s="2">
        <f>'Reels From Source (2)'!F308</f>
        <v>0</v>
      </c>
      <c r="S312"/>
      <c r="T312"/>
      <c r="U312"/>
    </row>
    <row r="313" spans="12:21" x14ac:dyDescent="0.2">
      <c r="L313" s="32"/>
      <c r="M313" s="2">
        <f>'Reels From Source (2)'!A309</f>
        <v>0</v>
      </c>
      <c r="N313" s="2">
        <f>'Reels From Source (2)'!B309</f>
        <v>0</v>
      </c>
      <c r="O313" s="2">
        <f>'Reels From Source (2)'!C309</f>
        <v>0</v>
      </c>
      <c r="P313" s="2">
        <f>'Reels From Source (2)'!D309</f>
        <v>0</v>
      </c>
      <c r="Q313" s="2">
        <f>'Reels From Source (2)'!E309</f>
        <v>0</v>
      </c>
      <c r="R313" s="2">
        <f>'Reels From Source (2)'!F309</f>
        <v>0</v>
      </c>
      <c r="S313"/>
      <c r="T313"/>
      <c r="U313"/>
    </row>
    <row r="314" spans="12:21" x14ac:dyDescent="0.2">
      <c r="L314" s="32"/>
      <c r="M314" s="2">
        <f>'Reels From Source (2)'!A310</f>
        <v>0</v>
      </c>
      <c r="N314" s="2">
        <f>'Reels From Source (2)'!B310</f>
        <v>0</v>
      </c>
      <c r="O314" s="2">
        <f>'Reels From Source (2)'!C310</f>
        <v>0</v>
      </c>
      <c r="P314" s="2">
        <f>'Reels From Source (2)'!D310</f>
        <v>0</v>
      </c>
      <c r="Q314" s="2">
        <f>'Reels From Source (2)'!E310</f>
        <v>0</v>
      </c>
      <c r="R314" s="2">
        <f>'Reels From Source (2)'!F310</f>
        <v>0</v>
      </c>
      <c r="S314"/>
      <c r="T314"/>
      <c r="U314"/>
    </row>
    <row r="315" spans="12:21" x14ac:dyDescent="0.2">
      <c r="L315" s="32"/>
      <c r="M315" s="2">
        <f>'Reels From Source (2)'!A311</f>
        <v>0</v>
      </c>
      <c r="N315" s="2">
        <f>'Reels From Source (2)'!B311</f>
        <v>0</v>
      </c>
      <c r="O315" s="2">
        <f>'Reels From Source (2)'!C311</f>
        <v>0</v>
      </c>
      <c r="P315" s="2">
        <f>'Reels From Source (2)'!D311</f>
        <v>0</v>
      </c>
      <c r="Q315" s="2">
        <f>'Reels From Source (2)'!E311</f>
        <v>0</v>
      </c>
      <c r="R315" s="2">
        <f>'Reels From Source (2)'!F311</f>
        <v>0</v>
      </c>
      <c r="S315"/>
      <c r="T315"/>
      <c r="U315"/>
    </row>
    <row r="316" spans="12:21" x14ac:dyDescent="0.2">
      <c r="L316" s="32"/>
      <c r="M316" s="2">
        <f>'Reels From Source (2)'!A312</f>
        <v>0</v>
      </c>
      <c r="N316" s="2">
        <f>'Reels From Source (2)'!B312</f>
        <v>0</v>
      </c>
      <c r="O316" s="2">
        <f>'Reels From Source (2)'!C312</f>
        <v>0</v>
      </c>
      <c r="P316" s="2">
        <f>'Reels From Source (2)'!D312</f>
        <v>0</v>
      </c>
      <c r="Q316" s="2">
        <f>'Reels From Source (2)'!E312</f>
        <v>0</v>
      </c>
      <c r="R316" s="2">
        <f>'Reels From Source (2)'!F312</f>
        <v>0</v>
      </c>
      <c r="S316"/>
      <c r="T316"/>
      <c r="U316"/>
    </row>
    <row r="317" spans="12:21" x14ac:dyDescent="0.2">
      <c r="L317" s="32"/>
      <c r="M317" s="2">
        <f>'Reels From Source (2)'!A313</f>
        <v>0</v>
      </c>
      <c r="N317" s="2">
        <f>'Reels From Source (2)'!B313</f>
        <v>0</v>
      </c>
      <c r="O317" s="2">
        <f>'Reels From Source (2)'!C313</f>
        <v>0</v>
      </c>
      <c r="P317" s="2">
        <f>'Reels From Source (2)'!D313</f>
        <v>0</v>
      </c>
      <c r="Q317" s="2">
        <f>'Reels From Source (2)'!E313</f>
        <v>0</v>
      </c>
      <c r="R317" s="2">
        <f>'Reels From Source (2)'!F313</f>
        <v>0</v>
      </c>
      <c r="S317"/>
      <c r="T317"/>
      <c r="U317"/>
    </row>
    <row r="318" spans="12:21" x14ac:dyDescent="0.2">
      <c r="L318" s="32"/>
      <c r="M318" s="2">
        <f>'Reels From Source (2)'!A314</f>
        <v>0</v>
      </c>
      <c r="N318" s="2">
        <f>'Reels From Source (2)'!B314</f>
        <v>0</v>
      </c>
      <c r="O318" s="2">
        <f>'Reels From Source (2)'!C314</f>
        <v>0</v>
      </c>
      <c r="P318" s="2">
        <f>'Reels From Source (2)'!D314</f>
        <v>0</v>
      </c>
      <c r="Q318" s="2">
        <f>'Reels From Source (2)'!E314</f>
        <v>0</v>
      </c>
      <c r="R318" s="2">
        <f>'Reels From Source (2)'!F314</f>
        <v>0</v>
      </c>
      <c r="S318"/>
      <c r="T318"/>
      <c r="U318"/>
    </row>
    <row r="319" spans="12:21" x14ac:dyDescent="0.2">
      <c r="M319" s="2">
        <f>'Reels From Source (2)'!A315</f>
        <v>0</v>
      </c>
      <c r="N319" s="2">
        <f>'Reels From Source (2)'!B315</f>
        <v>0</v>
      </c>
      <c r="O319" s="2">
        <f>'Reels From Source (2)'!C315</f>
        <v>0</v>
      </c>
      <c r="P319" s="2">
        <f>'Reels From Source (2)'!D315</f>
        <v>0</v>
      </c>
      <c r="Q319" s="2">
        <f>'Reels From Source (2)'!E315</f>
        <v>0</v>
      </c>
      <c r="R319" s="2">
        <f>'Reels From Source (2)'!F315</f>
        <v>0</v>
      </c>
      <c r="S319"/>
      <c r="T319"/>
      <c r="U319"/>
    </row>
    <row r="320" spans="12:21" x14ac:dyDescent="0.2">
      <c r="M320" s="2">
        <f>'Reels From Source (2)'!A316</f>
        <v>0</v>
      </c>
      <c r="N320" s="2">
        <f>'Reels From Source (2)'!B316</f>
        <v>0</v>
      </c>
      <c r="O320" s="2">
        <f>'Reels From Source (2)'!C316</f>
        <v>0</v>
      </c>
      <c r="P320" s="2">
        <f>'Reels From Source (2)'!D316</f>
        <v>0</v>
      </c>
      <c r="Q320" s="2">
        <f>'Reels From Source (2)'!E316</f>
        <v>0</v>
      </c>
      <c r="R320" s="2">
        <f>'Reels From Source (2)'!F316</f>
        <v>0</v>
      </c>
      <c r="S320"/>
      <c r="T320"/>
      <c r="U320"/>
    </row>
    <row r="321" spans="12:22" x14ac:dyDescent="0.2">
      <c r="M321" s="2">
        <f>'Reels From Source (2)'!A317</f>
        <v>0</v>
      </c>
      <c r="N321" s="2">
        <f>'Reels From Source (2)'!B317</f>
        <v>0</v>
      </c>
      <c r="O321" s="2">
        <f>'Reels From Source (2)'!C317</f>
        <v>0</v>
      </c>
      <c r="P321" s="2">
        <f>'Reels From Source (2)'!D317</f>
        <v>0</v>
      </c>
      <c r="Q321" s="2">
        <f>'Reels From Source (2)'!E317</f>
        <v>0</v>
      </c>
      <c r="R321" s="2">
        <f>'Reels From Source (2)'!F317</f>
        <v>0</v>
      </c>
      <c r="S321"/>
      <c r="T321"/>
      <c r="U321"/>
    </row>
    <row r="322" spans="12:22" x14ac:dyDescent="0.2">
      <c r="M322" s="2">
        <f>'Reels From Source (2)'!A318</f>
        <v>0</v>
      </c>
      <c r="N322" s="2">
        <f>'Reels From Source (2)'!B318</f>
        <v>0</v>
      </c>
      <c r="O322" s="2">
        <f>'Reels From Source (2)'!C318</f>
        <v>0</v>
      </c>
      <c r="P322" s="2">
        <f>'Reels From Source (2)'!D318</f>
        <v>0</v>
      </c>
      <c r="Q322" s="2">
        <f>'Reels From Source (2)'!E318</f>
        <v>0</v>
      </c>
      <c r="R322" s="2">
        <f>'Reels From Source (2)'!F318</f>
        <v>0</v>
      </c>
      <c r="S322"/>
      <c r="T322"/>
      <c r="U322"/>
    </row>
    <row r="323" spans="12:22" x14ac:dyDescent="0.2">
      <c r="M323" s="2">
        <f>'Reels From Source (2)'!A319</f>
        <v>0</v>
      </c>
      <c r="N323" s="2">
        <f>'Reels From Source (2)'!B319</f>
        <v>0</v>
      </c>
      <c r="O323" s="2">
        <f>'Reels From Source (2)'!C319</f>
        <v>0</v>
      </c>
      <c r="P323" s="2">
        <f>'Reels From Source (2)'!D319</f>
        <v>0</v>
      </c>
      <c r="Q323" s="2">
        <f>'Reels From Source (2)'!E319</f>
        <v>0</v>
      </c>
      <c r="R323" s="2">
        <f>'Reels From Source (2)'!F319</f>
        <v>0</v>
      </c>
      <c r="S323"/>
      <c r="T323"/>
      <c r="U323"/>
    </row>
    <row r="324" spans="12:22" x14ac:dyDescent="0.2">
      <c r="M324" s="2">
        <f>'Reels From Source (2)'!A320</f>
        <v>0</v>
      </c>
      <c r="N324" s="2">
        <f>'Reels From Source (2)'!B320</f>
        <v>0</v>
      </c>
      <c r="O324" s="2">
        <f>'Reels From Source (2)'!C320</f>
        <v>0</v>
      </c>
      <c r="P324" s="2">
        <f>'Reels From Source (2)'!D320</f>
        <v>0</v>
      </c>
      <c r="Q324" s="2">
        <f>'Reels From Source (2)'!E320</f>
        <v>0</v>
      </c>
      <c r="R324" s="2">
        <f>'Reels From Source (2)'!F320</f>
        <v>0</v>
      </c>
      <c r="S324"/>
      <c r="T324"/>
      <c r="U324"/>
      <c r="V324"/>
    </row>
    <row r="325" spans="12:22" x14ac:dyDescent="0.2">
      <c r="M325" s="2">
        <f>'Reels From Source (2)'!A321</f>
        <v>0</v>
      </c>
      <c r="N325" s="2">
        <f>'Reels From Source (2)'!B321</f>
        <v>0</v>
      </c>
      <c r="O325" s="2">
        <f>'Reels From Source (2)'!C321</f>
        <v>0</v>
      </c>
      <c r="P325" s="2">
        <f>'Reels From Source (2)'!D321</f>
        <v>0</v>
      </c>
      <c r="Q325" s="2">
        <f>'Reels From Source (2)'!E321</f>
        <v>0</v>
      </c>
      <c r="R325" s="2">
        <f>'Reels From Source (2)'!F321</f>
        <v>0</v>
      </c>
      <c r="S325"/>
      <c r="T325"/>
      <c r="U325"/>
    </row>
    <row r="326" spans="12:22" x14ac:dyDescent="0.2">
      <c r="M326" s="2">
        <f>'Reels From Source (2)'!A322</f>
        <v>0</v>
      </c>
      <c r="N326" s="2">
        <f>'Reels From Source (2)'!B322</f>
        <v>0</v>
      </c>
      <c r="O326" s="2">
        <f>'Reels From Source (2)'!C322</f>
        <v>0</v>
      </c>
      <c r="P326" s="2">
        <f>'Reels From Source (2)'!D322</f>
        <v>0</v>
      </c>
      <c r="Q326" s="2">
        <f>'Reels From Source (2)'!E322</f>
        <v>0</v>
      </c>
      <c r="R326" s="2">
        <f>'Reels From Source (2)'!F322</f>
        <v>0</v>
      </c>
      <c r="S326"/>
      <c r="T326"/>
      <c r="U326"/>
    </row>
    <row r="327" spans="12:22" x14ac:dyDescent="0.2">
      <c r="M327" s="2">
        <f>'Reels From Source (2)'!A323</f>
        <v>0</v>
      </c>
      <c r="N327" s="2">
        <f>'Reels From Source (2)'!B323</f>
        <v>0</v>
      </c>
      <c r="O327" s="2">
        <f>'Reels From Source (2)'!C323</f>
        <v>0</v>
      </c>
      <c r="P327" s="2">
        <f>'Reels From Source (2)'!D323</f>
        <v>0</v>
      </c>
      <c r="Q327" s="2">
        <f>'Reels From Source (2)'!E323</f>
        <v>0</v>
      </c>
      <c r="R327" s="2">
        <f>'Reels From Source (2)'!F323</f>
        <v>0</v>
      </c>
      <c r="S327"/>
      <c r="T327"/>
      <c r="U327"/>
    </row>
    <row r="328" spans="12:22" x14ac:dyDescent="0.2">
      <c r="M328" s="2">
        <f>'Reels From Source (2)'!A324</f>
        <v>0</v>
      </c>
      <c r="N328" s="2">
        <f>'Reels From Source (2)'!B324</f>
        <v>0</v>
      </c>
      <c r="O328" s="2">
        <f>'Reels From Source (2)'!C324</f>
        <v>0</v>
      </c>
      <c r="P328" s="2">
        <f>'Reels From Source (2)'!D324</f>
        <v>0</v>
      </c>
      <c r="Q328" s="2">
        <f>'Reels From Source (2)'!E324</f>
        <v>0</v>
      </c>
      <c r="R328" s="2">
        <f>'Reels From Source (2)'!F324</f>
        <v>0</v>
      </c>
      <c r="S328"/>
      <c r="T328"/>
      <c r="U328"/>
    </row>
    <row r="329" spans="12:22" x14ac:dyDescent="0.2">
      <c r="M329" s="2">
        <f>'Reels From Source (2)'!A325</f>
        <v>0</v>
      </c>
      <c r="N329" s="2">
        <f>'Reels From Source (2)'!B325</f>
        <v>0</v>
      </c>
      <c r="O329" s="2">
        <f>'Reels From Source (2)'!C325</f>
        <v>0</v>
      </c>
      <c r="P329" s="2">
        <f>'Reels From Source (2)'!D325</f>
        <v>0</v>
      </c>
      <c r="Q329" s="2">
        <f>'Reels From Source (2)'!E325</f>
        <v>0</v>
      </c>
      <c r="R329" s="2">
        <f>'Reels From Source (2)'!F325</f>
        <v>0</v>
      </c>
      <c r="S329"/>
      <c r="T329"/>
      <c r="U329"/>
    </row>
    <row r="330" spans="12:22" x14ac:dyDescent="0.2">
      <c r="L330" s="16" t="s">
        <v>39</v>
      </c>
      <c r="M330" s="2">
        <f>'Reels From Source (2)'!A326</f>
        <v>0</v>
      </c>
      <c r="N330" s="2">
        <f>'Reels From Source (2)'!B326</f>
        <v>0</v>
      </c>
      <c r="O330" s="2">
        <f>'Reels From Source (2)'!C326</f>
        <v>0</v>
      </c>
      <c r="P330" s="2">
        <f>'Reels From Source (2)'!D326</f>
        <v>0</v>
      </c>
      <c r="Q330" s="2">
        <f>'Reels From Source (2)'!E326</f>
        <v>0</v>
      </c>
      <c r="R330" s="2">
        <f>'Reels From Source (2)'!F326</f>
        <v>0</v>
      </c>
      <c r="S330"/>
      <c r="T330"/>
      <c r="U330"/>
    </row>
    <row r="331" spans="12:22" x14ac:dyDescent="0.2">
      <c r="M331" s="2">
        <f>'Reels From Source (2)'!A327</f>
        <v>0</v>
      </c>
      <c r="N331" s="2">
        <f>'Reels From Source (2)'!B327</f>
        <v>0</v>
      </c>
      <c r="O331" s="2">
        <f>'Reels From Source (2)'!C327</f>
        <v>0</v>
      </c>
      <c r="P331" s="2">
        <f>'Reels From Source (2)'!D327</f>
        <v>0</v>
      </c>
      <c r="Q331" s="2">
        <f>'Reels From Source (2)'!E327</f>
        <v>0</v>
      </c>
      <c r="R331" s="2">
        <f>'Reels From Source (2)'!F327</f>
        <v>0</v>
      </c>
      <c r="S331"/>
      <c r="T331"/>
      <c r="U331"/>
    </row>
    <row r="332" spans="12:22" x14ac:dyDescent="0.2">
      <c r="M332" s="2">
        <f>'Reels From Source (2)'!A328</f>
        <v>0</v>
      </c>
      <c r="N332" s="2">
        <f>'Reels From Source (2)'!B328</f>
        <v>0</v>
      </c>
      <c r="O332" s="2">
        <f>'Reels From Source (2)'!C328</f>
        <v>0</v>
      </c>
      <c r="P332" s="2">
        <f>'Reels From Source (2)'!D328</f>
        <v>0</v>
      </c>
      <c r="Q332" s="2">
        <f>'Reels From Source (2)'!E328</f>
        <v>0</v>
      </c>
      <c r="R332" s="2">
        <f>'Reels From Source (2)'!F328</f>
        <v>0</v>
      </c>
      <c r="S332"/>
      <c r="T332"/>
      <c r="U332"/>
    </row>
    <row r="333" spans="12:22" x14ac:dyDescent="0.2">
      <c r="M333" s="2">
        <f>'Reels From Source (2)'!A329</f>
        <v>0</v>
      </c>
      <c r="N333" s="2">
        <f>'Reels From Source (2)'!B329</f>
        <v>0</v>
      </c>
      <c r="O333" s="2">
        <f>'Reels From Source (2)'!C329</f>
        <v>0</v>
      </c>
      <c r="P333" s="2">
        <f>'Reels From Source (2)'!D329</f>
        <v>0</v>
      </c>
      <c r="Q333" s="2">
        <f>'Reels From Source (2)'!E329</f>
        <v>0</v>
      </c>
      <c r="R333" s="2">
        <f>'Reels From Source (2)'!F329</f>
        <v>0</v>
      </c>
      <c r="S333"/>
      <c r="T333"/>
      <c r="U333"/>
    </row>
    <row r="334" spans="12:22" x14ac:dyDescent="0.2">
      <c r="M334" s="2">
        <f>'Reels From Source (2)'!A330</f>
        <v>0</v>
      </c>
      <c r="N334" s="2">
        <f>'Reels From Source (2)'!B330</f>
        <v>0</v>
      </c>
      <c r="O334" s="2">
        <f>'Reels From Source (2)'!C330</f>
        <v>0</v>
      </c>
      <c r="P334" s="2">
        <f>'Reels From Source (2)'!D330</f>
        <v>0</v>
      </c>
      <c r="Q334" s="2">
        <f>'Reels From Source (2)'!E330</f>
        <v>0</v>
      </c>
      <c r="R334" s="2">
        <f>'Reels From Source (2)'!F330</f>
        <v>0</v>
      </c>
      <c r="S334"/>
      <c r="T334"/>
      <c r="U334"/>
    </row>
    <row r="335" spans="12:22" x14ac:dyDescent="0.2">
      <c r="M335" s="2">
        <f>'Reels From Source (2)'!A331</f>
        <v>0</v>
      </c>
      <c r="N335" s="2">
        <f>'Reels From Source (2)'!B331</f>
        <v>0</v>
      </c>
      <c r="O335" s="2">
        <f>'Reels From Source (2)'!C331</f>
        <v>0</v>
      </c>
      <c r="P335" s="2">
        <f>'Reels From Source (2)'!D331</f>
        <v>0</v>
      </c>
      <c r="Q335" s="2">
        <f>'Reels From Source (2)'!E331</f>
        <v>0</v>
      </c>
      <c r="R335" s="2">
        <f>'Reels From Source (2)'!F331</f>
        <v>0</v>
      </c>
      <c r="S335"/>
      <c r="T335"/>
      <c r="U335"/>
    </row>
    <row r="336" spans="12:22" x14ac:dyDescent="0.2">
      <c r="M336" s="2">
        <f>'Reels From Source (2)'!A332</f>
        <v>0</v>
      </c>
      <c r="N336" s="2">
        <f>'Reels From Source (2)'!B332</f>
        <v>0</v>
      </c>
      <c r="O336" s="2">
        <f>'Reels From Source (2)'!C332</f>
        <v>0</v>
      </c>
      <c r="P336" s="2">
        <f>'Reels From Source (2)'!D332</f>
        <v>0</v>
      </c>
      <c r="Q336" s="2">
        <f>'Reels From Source (2)'!E332</f>
        <v>0</v>
      </c>
      <c r="R336" s="2">
        <f>'Reels From Source (2)'!F332</f>
        <v>0</v>
      </c>
      <c r="S336"/>
      <c r="T336"/>
      <c r="U336"/>
    </row>
    <row r="337" spans="13:22" x14ac:dyDescent="0.2">
      <c r="M337" s="2">
        <f>'Reels From Source (2)'!A333</f>
        <v>0</v>
      </c>
      <c r="N337" s="2">
        <f>'Reels From Source (2)'!B333</f>
        <v>0</v>
      </c>
      <c r="O337" s="2">
        <f>'Reels From Source (2)'!C333</f>
        <v>0</v>
      </c>
      <c r="P337" s="2">
        <f>'Reels From Source (2)'!D333</f>
        <v>0</v>
      </c>
      <c r="Q337" s="2">
        <f>'Reels From Source (2)'!E333</f>
        <v>0</v>
      </c>
      <c r="R337" s="2">
        <f>'Reels From Source (2)'!F333</f>
        <v>0</v>
      </c>
      <c r="S337"/>
      <c r="T337"/>
      <c r="U337"/>
    </row>
    <row r="338" spans="13:22" x14ac:dyDescent="0.2">
      <c r="M338" s="2">
        <f>'Reels From Source (2)'!A334</f>
        <v>0</v>
      </c>
      <c r="N338" s="2">
        <f>'Reels From Source (2)'!B334</f>
        <v>0</v>
      </c>
      <c r="O338" s="2">
        <f>'Reels From Source (2)'!C334</f>
        <v>0</v>
      </c>
      <c r="P338" s="2">
        <f>'Reels From Source (2)'!D334</f>
        <v>0</v>
      </c>
      <c r="Q338" s="2">
        <f>'Reels From Source (2)'!E334</f>
        <v>0</v>
      </c>
      <c r="R338" s="2">
        <f>'Reels From Source (2)'!F334</f>
        <v>0</v>
      </c>
      <c r="S338"/>
      <c r="T338"/>
      <c r="U338"/>
    </row>
    <row r="339" spans="13:22" x14ac:dyDescent="0.2">
      <c r="M339" s="2">
        <f>'Reels From Source (2)'!A335</f>
        <v>0</v>
      </c>
      <c r="N339" s="2">
        <f>'Reels From Source (2)'!B335</f>
        <v>0</v>
      </c>
      <c r="O339" s="2">
        <f>'Reels From Source (2)'!C335</f>
        <v>0</v>
      </c>
      <c r="P339" s="2">
        <f>'Reels From Source (2)'!D335</f>
        <v>0</v>
      </c>
      <c r="Q339" s="2">
        <f>'Reels From Source (2)'!E335</f>
        <v>0</v>
      </c>
      <c r="R339" s="2">
        <f>'Reels From Source (2)'!F335</f>
        <v>0</v>
      </c>
      <c r="S339"/>
      <c r="T339"/>
      <c r="U339"/>
    </row>
    <row r="340" spans="13:22" x14ac:dyDescent="0.2">
      <c r="M340" s="2">
        <f>'Reels From Source (2)'!A336</f>
        <v>0</v>
      </c>
      <c r="N340" s="2">
        <f>'Reels From Source (2)'!B336</f>
        <v>0</v>
      </c>
      <c r="O340" s="2">
        <f>'Reels From Source (2)'!C336</f>
        <v>0</v>
      </c>
      <c r="P340" s="2">
        <f>'Reels From Source (2)'!D336</f>
        <v>0</v>
      </c>
      <c r="Q340" s="2">
        <f>'Reels From Source (2)'!E336</f>
        <v>0</v>
      </c>
      <c r="R340" s="2">
        <f>'Reels From Source (2)'!F336</f>
        <v>0</v>
      </c>
      <c r="S340"/>
      <c r="T340"/>
      <c r="U340"/>
    </row>
    <row r="341" spans="13:22" x14ac:dyDescent="0.2">
      <c r="M341" s="2">
        <f>'Reels From Source (2)'!A337</f>
        <v>0</v>
      </c>
      <c r="N341" s="2">
        <f>'Reels From Source (2)'!B337</f>
        <v>0</v>
      </c>
      <c r="O341" s="2">
        <f>'Reels From Source (2)'!C337</f>
        <v>0</v>
      </c>
      <c r="P341" s="2">
        <f>'Reels From Source (2)'!D337</f>
        <v>0</v>
      </c>
      <c r="Q341" s="2">
        <f>'Reels From Source (2)'!E337</f>
        <v>0</v>
      </c>
      <c r="R341" s="2">
        <f>'Reels From Source (2)'!F337</f>
        <v>0</v>
      </c>
      <c r="S341"/>
      <c r="T341"/>
      <c r="U341"/>
    </row>
    <row r="342" spans="13:22" x14ac:dyDescent="0.2">
      <c r="M342" s="2">
        <f>'Reels From Source (2)'!A338</f>
        <v>0</v>
      </c>
      <c r="N342" s="2">
        <f>'Reels From Source (2)'!B338</f>
        <v>0</v>
      </c>
      <c r="O342" s="2">
        <f>'Reels From Source (2)'!C338</f>
        <v>0</v>
      </c>
      <c r="P342" s="2">
        <f>'Reels From Source (2)'!D338</f>
        <v>0</v>
      </c>
      <c r="Q342" s="2">
        <f>'Reels From Source (2)'!E338</f>
        <v>0</v>
      </c>
      <c r="R342" s="2">
        <f>'Reels From Source (2)'!F338</f>
        <v>0</v>
      </c>
      <c r="S342"/>
      <c r="T342"/>
      <c r="U342"/>
    </row>
    <row r="343" spans="13:22" x14ac:dyDescent="0.2">
      <c r="M343" s="2">
        <f>'Reels From Source (2)'!A339</f>
        <v>0</v>
      </c>
      <c r="N343" s="2">
        <f>'Reels From Source (2)'!B339</f>
        <v>0</v>
      </c>
      <c r="O343" s="2">
        <f>'Reels From Source (2)'!C339</f>
        <v>0</v>
      </c>
      <c r="P343" s="2">
        <f>'Reels From Source (2)'!D339</f>
        <v>0</v>
      </c>
      <c r="Q343" s="2">
        <f>'Reels From Source (2)'!E339</f>
        <v>0</v>
      </c>
      <c r="R343" s="2">
        <f>'Reels From Source (2)'!F339</f>
        <v>0</v>
      </c>
      <c r="S343"/>
      <c r="T343"/>
      <c r="U343"/>
    </row>
    <row r="344" spans="13:22" x14ac:dyDescent="0.2">
      <c r="M344" s="2">
        <f>'Reels From Source (2)'!A340</f>
        <v>0</v>
      </c>
      <c r="N344" s="2">
        <f>'Reels From Source (2)'!B340</f>
        <v>0</v>
      </c>
      <c r="O344" s="2">
        <f>'Reels From Source (2)'!C340</f>
        <v>0</v>
      </c>
      <c r="P344" s="2">
        <f>'Reels From Source (2)'!D340</f>
        <v>0</v>
      </c>
      <c r="Q344" s="2">
        <f>'Reels From Source (2)'!E340</f>
        <v>0</v>
      </c>
      <c r="R344" s="2">
        <f>'Reels From Source (2)'!F340</f>
        <v>0</v>
      </c>
      <c r="S344"/>
      <c r="T344"/>
      <c r="U344"/>
    </row>
    <row r="345" spans="13:22" x14ac:dyDescent="0.2">
      <c r="M345" s="2">
        <f>'Reels From Source (2)'!A341</f>
        <v>0</v>
      </c>
      <c r="N345" s="2">
        <f>'Reels From Source (2)'!B341</f>
        <v>0</v>
      </c>
      <c r="O345" s="2">
        <f>'Reels From Source (2)'!C341</f>
        <v>0</v>
      </c>
      <c r="P345" s="2">
        <f>'Reels From Source (2)'!D341</f>
        <v>0</v>
      </c>
      <c r="Q345" s="2">
        <f>'Reels From Source (2)'!E341</f>
        <v>0</v>
      </c>
      <c r="R345" s="2">
        <f>'Reels From Source (2)'!F341</f>
        <v>0</v>
      </c>
      <c r="S345"/>
      <c r="T345"/>
      <c r="U345"/>
    </row>
    <row r="346" spans="13:22" x14ac:dyDescent="0.2">
      <c r="M346" s="2">
        <f>'Reels From Source (2)'!A342</f>
        <v>0</v>
      </c>
      <c r="N346" s="2">
        <f>'Reels From Source (2)'!B342</f>
        <v>0</v>
      </c>
      <c r="O346" s="2">
        <f>'Reels From Source (2)'!C342</f>
        <v>0</v>
      </c>
      <c r="P346" s="2">
        <f>'Reels From Source (2)'!D342</f>
        <v>0</v>
      </c>
      <c r="Q346" s="2">
        <f>'Reels From Source (2)'!E342</f>
        <v>0</v>
      </c>
      <c r="R346" s="2">
        <f>'Reels From Source (2)'!F342</f>
        <v>0</v>
      </c>
      <c r="S346"/>
      <c r="T346"/>
      <c r="U346"/>
    </row>
    <row r="347" spans="13:22" x14ac:dyDescent="0.2">
      <c r="M347" s="2">
        <f>'Reels From Source (2)'!A343</f>
        <v>0</v>
      </c>
      <c r="N347" s="2">
        <f>'Reels From Source (2)'!B343</f>
        <v>0</v>
      </c>
      <c r="O347" s="2">
        <f>'Reels From Source (2)'!C343</f>
        <v>0</v>
      </c>
      <c r="P347" s="2">
        <f>'Reels From Source (2)'!D343</f>
        <v>0</v>
      </c>
      <c r="Q347" s="2">
        <f>'Reels From Source (2)'!E343</f>
        <v>0</v>
      </c>
      <c r="R347" s="2">
        <f>'Reels From Source (2)'!F343</f>
        <v>0</v>
      </c>
      <c r="S347"/>
      <c r="T347"/>
      <c r="U347"/>
    </row>
    <row r="348" spans="13:22" x14ac:dyDescent="0.2">
      <c r="M348" s="2">
        <f>'Reels From Source (2)'!A344</f>
        <v>0</v>
      </c>
      <c r="N348" s="2">
        <f>'Reels From Source (2)'!B344</f>
        <v>0</v>
      </c>
      <c r="O348" s="2">
        <f>'Reels From Source (2)'!C344</f>
        <v>0</v>
      </c>
      <c r="P348" s="2">
        <f>'Reels From Source (2)'!D344</f>
        <v>0</v>
      </c>
      <c r="Q348" s="2">
        <f>'Reels From Source (2)'!E344</f>
        <v>0</v>
      </c>
      <c r="R348" s="2">
        <f>'Reels From Source (2)'!F344</f>
        <v>0</v>
      </c>
      <c r="S348"/>
      <c r="T348"/>
      <c r="U348"/>
    </row>
    <row r="349" spans="13:22" x14ac:dyDescent="0.2">
      <c r="M349" s="2">
        <f>'Reels From Source (2)'!A345</f>
        <v>0</v>
      </c>
      <c r="N349" s="2">
        <f>'Reels From Source (2)'!B345</f>
        <v>0</v>
      </c>
      <c r="O349" s="2">
        <f>'Reels From Source (2)'!C345</f>
        <v>0</v>
      </c>
      <c r="P349" s="2">
        <f>'Reels From Source (2)'!D345</f>
        <v>0</v>
      </c>
      <c r="Q349" s="2">
        <f>'Reels From Source (2)'!E345</f>
        <v>0</v>
      </c>
      <c r="R349" s="2">
        <f>'Reels From Source (2)'!F345</f>
        <v>0</v>
      </c>
      <c r="S349"/>
      <c r="T349"/>
      <c r="U349"/>
      <c r="V349"/>
    </row>
    <row r="350" spans="13:22" x14ac:dyDescent="0.2">
      <c r="M350" s="2">
        <f>'Reels From Source (2)'!A346</f>
        <v>0</v>
      </c>
      <c r="N350" s="2">
        <f>'Reels From Source (2)'!B346</f>
        <v>0</v>
      </c>
      <c r="O350" s="2">
        <f>'Reels From Source (2)'!C346</f>
        <v>0</v>
      </c>
      <c r="P350" s="2">
        <f>'Reels From Source (2)'!D346</f>
        <v>0</v>
      </c>
      <c r="Q350" s="2">
        <f>'Reels From Source (2)'!E346</f>
        <v>0</v>
      </c>
      <c r="R350" s="2">
        <f>'Reels From Source (2)'!F346</f>
        <v>0</v>
      </c>
      <c r="S350"/>
      <c r="T350"/>
      <c r="U350"/>
    </row>
    <row r="351" spans="13:22" x14ac:dyDescent="0.2">
      <c r="M351" s="2">
        <f>'Reels From Source (2)'!A347</f>
        <v>0</v>
      </c>
      <c r="N351" s="2">
        <f>'Reels From Source (2)'!B347</f>
        <v>0</v>
      </c>
      <c r="O351" s="2">
        <f>'Reels From Source (2)'!C347</f>
        <v>0</v>
      </c>
      <c r="P351" s="2">
        <f>'Reels From Source (2)'!D347</f>
        <v>0</v>
      </c>
      <c r="Q351" s="2">
        <f>'Reels From Source (2)'!E347</f>
        <v>0</v>
      </c>
      <c r="R351" s="2">
        <f>'Reels From Source (2)'!F347</f>
        <v>0</v>
      </c>
      <c r="S351"/>
      <c r="T351"/>
      <c r="U351"/>
    </row>
    <row r="352" spans="13:22" x14ac:dyDescent="0.2">
      <c r="M352" s="2">
        <f>'Reels From Source (2)'!A348</f>
        <v>0</v>
      </c>
      <c r="N352" s="2">
        <f>'Reels From Source (2)'!B348</f>
        <v>0</v>
      </c>
      <c r="O352" s="2">
        <f>'Reels From Source (2)'!C348</f>
        <v>0</v>
      </c>
      <c r="P352" s="2">
        <f>'Reels From Source (2)'!D348</f>
        <v>0</v>
      </c>
      <c r="Q352" s="2">
        <f>'Reels From Source (2)'!E348</f>
        <v>0</v>
      </c>
      <c r="R352" s="2">
        <f>'Reels From Source (2)'!F348</f>
        <v>0</v>
      </c>
      <c r="S352"/>
      <c r="T352"/>
      <c r="U352"/>
    </row>
    <row r="353" spans="12:21" x14ac:dyDescent="0.2">
      <c r="M353" s="2">
        <f>'Reels From Source (2)'!A349</f>
        <v>0</v>
      </c>
      <c r="N353" s="2">
        <f>'Reels From Source (2)'!B349</f>
        <v>0</v>
      </c>
      <c r="O353" s="2">
        <f>'Reels From Source (2)'!C349</f>
        <v>0</v>
      </c>
      <c r="P353" s="2">
        <f>'Reels From Source (2)'!D349</f>
        <v>0</v>
      </c>
      <c r="Q353" s="2">
        <f>'Reels From Source (2)'!E349</f>
        <v>0</v>
      </c>
      <c r="R353" s="2">
        <f>'Reels From Source (2)'!F349</f>
        <v>0</v>
      </c>
      <c r="S353"/>
      <c r="T353"/>
      <c r="U353"/>
    </row>
    <row r="354" spans="12:21" x14ac:dyDescent="0.2">
      <c r="M354" s="2">
        <f>'Reels From Source (2)'!A350</f>
        <v>0</v>
      </c>
      <c r="N354" s="2">
        <f>'Reels From Source (2)'!B350</f>
        <v>0</v>
      </c>
      <c r="O354" s="2">
        <f>'Reels From Source (2)'!C350</f>
        <v>0</v>
      </c>
      <c r="P354" s="2">
        <f>'Reels From Source (2)'!D350</f>
        <v>0</v>
      </c>
      <c r="Q354" s="2">
        <f>'Reels From Source (2)'!E350</f>
        <v>0</v>
      </c>
      <c r="R354" s="2">
        <f>'Reels From Source (2)'!F350</f>
        <v>0</v>
      </c>
      <c r="S354"/>
      <c r="T354"/>
      <c r="U354"/>
    </row>
    <row r="355" spans="12:21" x14ac:dyDescent="0.2">
      <c r="L355" s="16" t="s">
        <v>40</v>
      </c>
      <c r="M355" s="2">
        <f>'Reels From Source (2)'!A351</f>
        <v>0</v>
      </c>
      <c r="N355" s="2">
        <f>'Reels From Source (2)'!B351</f>
        <v>0</v>
      </c>
      <c r="O355" s="2">
        <f>'Reels From Source (2)'!C351</f>
        <v>0</v>
      </c>
      <c r="P355" s="2">
        <f>'Reels From Source (2)'!D351</f>
        <v>0</v>
      </c>
      <c r="Q355" s="2">
        <f>'Reels From Source (2)'!E351</f>
        <v>0</v>
      </c>
      <c r="R355" s="2">
        <f>'Reels From Source (2)'!F351</f>
        <v>0</v>
      </c>
      <c r="S355"/>
      <c r="T355"/>
      <c r="U355"/>
    </row>
    <row r="356" spans="12:21" x14ac:dyDescent="0.2">
      <c r="M356" s="2">
        <f>'Reels From Source (2)'!A352</f>
        <v>0</v>
      </c>
      <c r="N356" s="2">
        <f>'Reels From Source (2)'!B352</f>
        <v>0</v>
      </c>
      <c r="O356" s="2">
        <f>'Reels From Source (2)'!C352</f>
        <v>0</v>
      </c>
      <c r="P356" s="2">
        <f>'Reels From Source (2)'!D352</f>
        <v>0</v>
      </c>
      <c r="Q356" s="2">
        <f>'Reels From Source (2)'!E352</f>
        <v>0</v>
      </c>
      <c r="R356" s="2">
        <f>'Reels From Source (2)'!F352</f>
        <v>0</v>
      </c>
      <c r="S356"/>
      <c r="T356"/>
      <c r="U356"/>
    </row>
    <row r="357" spans="12:21" x14ac:dyDescent="0.2">
      <c r="L357" s="32"/>
      <c r="M357" s="2">
        <f>'Reels From Source (2)'!A353</f>
        <v>0</v>
      </c>
      <c r="N357" s="2">
        <f>'Reels From Source (2)'!B353</f>
        <v>0</v>
      </c>
      <c r="O357" s="2">
        <f>'Reels From Source (2)'!C353</f>
        <v>0</v>
      </c>
      <c r="P357" s="2">
        <f>'Reels From Source (2)'!D353</f>
        <v>0</v>
      </c>
      <c r="Q357" s="2">
        <f>'Reels From Source (2)'!E353</f>
        <v>0</v>
      </c>
      <c r="R357" s="2">
        <f>'Reels From Source (2)'!F353</f>
        <v>0</v>
      </c>
      <c r="S357"/>
      <c r="T357"/>
      <c r="U357"/>
    </row>
    <row r="358" spans="12:21" x14ac:dyDescent="0.2">
      <c r="L358" s="32"/>
      <c r="M358" s="2">
        <f>'Reels From Source (2)'!A354</f>
        <v>0</v>
      </c>
      <c r="N358" s="2">
        <f>'Reels From Source (2)'!B354</f>
        <v>0</v>
      </c>
      <c r="O358" s="2">
        <f>'Reels From Source (2)'!C354</f>
        <v>0</v>
      </c>
      <c r="P358" s="2">
        <f>'Reels From Source (2)'!D354</f>
        <v>0</v>
      </c>
      <c r="Q358" s="2">
        <f>'Reels From Source (2)'!E354</f>
        <v>0</v>
      </c>
      <c r="R358" s="2">
        <f>'Reels From Source (2)'!F354</f>
        <v>0</v>
      </c>
      <c r="S358"/>
      <c r="T358"/>
      <c r="U358"/>
    </row>
    <row r="359" spans="12:21" x14ac:dyDescent="0.2">
      <c r="L359" s="32"/>
      <c r="M359" s="2">
        <f>'Reels From Source (2)'!A355</f>
        <v>0</v>
      </c>
      <c r="N359" s="2">
        <f>'Reels From Source (2)'!B355</f>
        <v>0</v>
      </c>
      <c r="O359" s="2">
        <f>'Reels From Source (2)'!C355</f>
        <v>0</v>
      </c>
      <c r="P359" s="2">
        <f>'Reels From Source (2)'!D355</f>
        <v>0</v>
      </c>
      <c r="Q359" s="2">
        <f>'Reels From Source (2)'!E355</f>
        <v>0</v>
      </c>
      <c r="R359" s="2">
        <f>'Reels From Source (2)'!F355</f>
        <v>0</v>
      </c>
      <c r="S359"/>
      <c r="T359"/>
      <c r="U359"/>
    </row>
    <row r="360" spans="12:21" x14ac:dyDescent="0.2">
      <c r="L360" s="32"/>
      <c r="M360" s="2">
        <f>'Reels From Source (2)'!A356</f>
        <v>0</v>
      </c>
      <c r="N360" s="2">
        <f>'Reels From Source (2)'!B356</f>
        <v>0</v>
      </c>
      <c r="O360" s="2">
        <f>'Reels From Source (2)'!C356</f>
        <v>0</v>
      </c>
      <c r="P360" s="2">
        <f>'Reels From Source (2)'!D356</f>
        <v>0</v>
      </c>
      <c r="Q360" s="2">
        <f>'Reels From Source (2)'!E356</f>
        <v>0</v>
      </c>
      <c r="R360" s="2">
        <f>'Reels From Source (2)'!F356</f>
        <v>0</v>
      </c>
      <c r="S360"/>
      <c r="T360"/>
      <c r="U360"/>
    </row>
    <row r="361" spans="12:21" x14ac:dyDescent="0.2">
      <c r="L361" s="32"/>
      <c r="M361" s="2">
        <f>'Reels From Source (2)'!A357</f>
        <v>0</v>
      </c>
      <c r="N361" s="2">
        <f>'Reels From Source (2)'!B357</f>
        <v>0</v>
      </c>
      <c r="O361" s="2">
        <f>'Reels From Source (2)'!C357</f>
        <v>0</v>
      </c>
      <c r="P361" s="2">
        <f>'Reels From Source (2)'!D357</f>
        <v>0</v>
      </c>
      <c r="Q361" s="2">
        <f>'Reels From Source (2)'!E357</f>
        <v>0</v>
      </c>
      <c r="R361" s="2">
        <f>'Reels From Source (2)'!F357</f>
        <v>0</v>
      </c>
      <c r="S361"/>
      <c r="T361"/>
      <c r="U361"/>
    </row>
    <row r="362" spans="12:21" x14ac:dyDescent="0.2">
      <c r="L362" s="32"/>
      <c r="M362" s="2">
        <f>'Reels From Source (2)'!A358</f>
        <v>0</v>
      </c>
      <c r="N362" s="2">
        <f>'Reels From Source (2)'!B358</f>
        <v>0</v>
      </c>
      <c r="O362" s="2">
        <f>'Reels From Source (2)'!C358</f>
        <v>0</v>
      </c>
      <c r="P362" s="2">
        <f>'Reels From Source (2)'!D358</f>
        <v>0</v>
      </c>
      <c r="Q362" s="2">
        <f>'Reels From Source (2)'!E358</f>
        <v>0</v>
      </c>
      <c r="R362" s="2">
        <f>'Reels From Source (2)'!F358</f>
        <v>0</v>
      </c>
      <c r="S362"/>
      <c r="T362"/>
      <c r="U362"/>
    </row>
    <row r="363" spans="12:21" x14ac:dyDescent="0.2">
      <c r="L363" s="32"/>
      <c r="M363" s="2">
        <f>'Reels From Source (2)'!A359</f>
        <v>0</v>
      </c>
      <c r="N363" s="2">
        <f>'Reels From Source (2)'!B359</f>
        <v>0</v>
      </c>
      <c r="O363" s="2">
        <f>'Reels From Source (2)'!C359</f>
        <v>0</v>
      </c>
      <c r="P363" s="2">
        <f>'Reels From Source (2)'!D359</f>
        <v>0</v>
      </c>
      <c r="Q363" s="2">
        <f>'Reels From Source (2)'!E359</f>
        <v>0</v>
      </c>
      <c r="R363" s="2">
        <f>'Reels From Source (2)'!F359</f>
        <v>0</v>
      </c>
      <c r="S363"/>
      <c r="T363"/>
      <c r="U363"/>
    </row>
    <row r="364" spans="12:21" x14ac:dyDescent="0.2">
      <c r="L364" s="32"/>
      <c r="M364" s="2">
        <f>'Reels From Source (2)'!A360</f>
        <v>0</v>
      </c>
      <c r="N364" s="2">
        <f>'Reels From Source (2)'!B360</f>
        <v>0</v>
      </c>
      <c r="O364" s="2">
        <f>'Reels From Source (2)'!C360</f>
        <v>0</v>
      </c>
      <c r="P364" s="2">
        <f>'Reels From Source (2)'!D360</f>
        <v>0</v>
      </c>
      <c r="Q364" s="2">
        <f>'Reels From Source (2)'!E360</f>
        <v>0</v>
      </c>
      <c r="R364" s="2">
        <f>'Reels From Source (2)'!F360</f>
        <v>0</v>
      </c>
      <c r="S364"/>
      <c r="T364"/>
      <c r="U364"/>
    </row>
    <row r="365" spans="12:21" x14ac:dyDescent="0.2">
      <c r="L365" s="32"/>
      <c r="M365" s="2">
        <f>'Reels From Source (2)'!A361</f>
        <v>0</v>
      </c>
      <c r="N365" s="2">
        <f>'Reels From Source (2)'!B361</f>
        <v>0</v>
      </c>
      <c r="O365" s="2">
        <f>'Reels From Source (2)'!C361</f>
        <v>0</v>
      </c>
      <c r="P365" s="2">
        <f>'Reels From Source (2)'!D361</f>
        <v>0</v>
      </c>
      <c r="Q365" s="2">
        <f>'Reels From Source (2)'!E361</f>
        <v>0</v>
      </c>
      <c r="R365" s="2">
        <f>'Reels From Source (2)'!F361</f>
        <v>0</v>
      </c>
      <c r="S365"/>
      <c r="T365"/>
      <c r="U365"/>
    </row>
    <row r="366" spans="12:21" x14ac:dyDescent="0.2">
      <c r="L366" s="32"/>
      <c r="M366" s="2">
        <f>'Reels From Source (2)'!A362</f>
        <v>0</v>
      </c>
      <c r="N366" s="2">
        <f>'Reels From Source (2)'!B362</f>
        <v>0</v>
      </c>
      <c r="O366" s="2">
        <f>'Reels From Source (2)'!C362</f>
        <v>0</v>
      </c>
      <c r="P366" s="2">
        <f>'Reels From Source (2)'!D362</f>
        <v>0</v>
      </c>
      <c r="Q366" s="2">
        <f>'Reels From Source (2)'!E362</f>
        <v>0</v>
      </c>
      <c r="R366" s="2">
        <f>'Reels From Source (2)'!F362</f>
        <v>0</v>
      </c>
      <c r="S366"/>
      <c r="T366"/>
      <c r="U366"/>
    </row>
    <row r="367" spans="12:21" x14ac:dyDescent="0.2">
      <c r="L367" s="32"/>
      <c r="M367" s="2">
        <f>'Reels From Source (2)'!A363</f>
        <v>0</v>
      </c>
      <c r="N367" s="2">
        <f>'Reels From Source (2)'!B363</f>
        <v>0</v>
      </c>
      <c r="O367" s="2">
        <f>'Reels From Source (2)'!C363</f>
        <v>0</v>
      </c>
      <c r="P367" s="2">
        <f>'Reels From Source (2)'!D363</f>
        <v>0</v>
      </c>
      <c r="Q367" s="2">
        <f>'Reels From Source (2)'!E363</f>
        <v>0</v>
      </c>
      <c r="R367" s="2">
        <f>'Reels From Source (2)'!F363</f>
        <v>0</v>
      </c>
      <c r="S367"/>
      <c r="T367"/>
      <c r="U367"/>
    </row>
    <row r="368" spans="12:21" x14ac:dyDescent="0.2">
      <c r="L368" s="32"/>
      <c r="M368" s="2">
        <f>'Reels From Source (2)'!A364</f>
        <v>0</v>
      </c>
      <c r="N368" s="2">
        <f>'Reels From Source (2)'!B364</f>
        <v>0</v>
      </c>
      <c r="O368" s="2">
        <f>'Reels From Source (2)'!C364</f>
        <v>0</v>
      </c>
      <c r="P368" s="2">
        <f>'Reels From Source (2)'!D364</f>
        <v>0</v>
      </c>
      <c r="Q368" s="2">
        <f>'Reels From Source (2)'!E364</f>
        <v>0</v>
      </c>
      <c r="R368" s="2">
        <f>'Reels From Source (2)'!F364</f>
        <v>0</v>
      </c>
      <c r="S368"/>
      <c r="T368"/>
      <c r="U368"/>
    </row>
    <row r="369" spans="12:21" x14ac:dyDescent="0.2">
      <c r="M369" s="2">
        <f>'Reels From Source (2)'!A365</f>
        <v>0</v>
      </c>
      <c r="N369" s="2">
        <f>'Reels From Source (2)'!B365</f>
        <v>0</v>
      </c>
      <c r="O369" s="2">
        <f>'Reels From Source (2)'!C365</f>
        <v>0</v>
      </c>
      <c r="P369" s="2">
        <f>'Reels From Source (2)'!D365</f>
        <v>0</v>
      </c>
      <c r="Q369" s="2">
        <f>'Reels From Source (2)'!E365</f>
        <v>0</v>
      </c>
      <c r="R369" s="2">
        <f>'Reels From Source (2)'!F365</f>
        <v>0</v>
      </c>
      <c r="S369"/>
      <c r="T369"/>
      <c r="U369"/>
    </row>
    <row r="370" spans="12:21" x14ac:dyDescent="0.2">
      <c r="M370" s="2">
        <f>'Reels From Source (2)'!A366</f>
        <v>0</v>
      </c>
      <c r="N370" s="2">
        <f>'Reels From Source (2)'!B366</f>
        <v>0</v>
      </c>
      <c r="O370" s="2">
        <f>'Reels From Source (2)'!C366</f>
        <v>0</v>
      </c>
      <c r="P370" s="2">
        <f>'Reels From Source (2)'!D366</f>
        <v>0</v>
      </c>
      <c r="Q370" s="2">
        <f>'Reels From Source (2)'!E366</f>
        <v>0</v>
      </c>
      <c r="R370" s="2">
        <f>'Reels From Source (2)'!F366</f>
        <v>0</v>
      </c>
      <c r="S370"/>
      <c r="T370"/>
      <c r="U370"/>
    </row>
    <row r="371" spans="12:21" x14ac:dyDescent="0.2">
      <c r="M371" s="2">
        <f>'Reels From Source (2)'!A367</f>
        <v>0</v>
      </c>
      <c r="N371" s="2">
        <f>'Reels From Source (2)'!B367</f>
        <v>0</v>
      </c>
      <c r="O371" s="2">
        <f>'Reels From Source (2)'!C367</f>
        <v>0</v>
      </c>
      <c r="P371" s="2">
        <f>'Reels From Source (2)'!D367</f>
        <v>0</v>
      </c>
      <c r="Q371" s="2">
        <f>'Reels From Source (2)'!E367</f>
        <v>0</v>
      </c>
      <c r="R371" s="2">
        <f>'Reels From Source (2)'!F367</f>
        <v>0</v>
      </c>
      <c r="S371"/>
      <c r="T371"/>
      <c r="U371"/>
    </row>
    <row r="372" spans="12:21" x14ac:dyDescent="0.2">
      <c r="M372" s="2">
        <f>'Reels From Source (2)'!A368</f>
        <v>0</v>
      </c>
      <c r="N372" s="2">
        <f>'Reels From Source (2)'!B368</f>
        <v>0</v>
      </c>
      <c r="O372" s="2">
        <f>'Reels From Source (2)'!C368</f>
        <v>0</v>
      </c>
      <c r="P372" s="2">
        <f>'Reels From Source (2)'!D368</f>
        <v>0</v>
      </c>
      <c r="Q372" s="2">
        <f>'Reels From Source (2)'!E368</f>
        <v>0</v>
      </c>
      <c r="R372" s="2">
        <f>'Reels From Source (2)'!F368</f>
        <v>0</v>
      </c>
      <c r="S372"/>
      <c r="T372"/>
      <c r="U372"/>
    </row>
    <row r="373" spans="12:21" x14ac:dyDescent="0.2">
      <c r="M373" s="2">
        <f>'Reels From Source (2)'!A369</f>
        <v>0</v>
      </c>
      <c r="N373" s="2">
        <f>'Reels From Source (2)'!B369</f>
        <v>0</v>
      </c>
      <c r="O373" s="2">
        <f>'Reels From Source (2)'!C369</f>
        <v>0</v>
      </c>
      <c r="P373" s="2">
        <f>'Reels From Source (2)'!D369</f>
        <v>0</v>
      </c>
      <c r="Q373" s="2">
        <f>'Reels From Source (2)'!E369</f>
        <v>0</v>
      </c>
      <c r="R373" s="2">
        <f>'Reels From Source (2)'!F369</f>
        <v>0</v>
      </c>
      <c r="S373"/>
      <c r="T373"/>
      <c r="U373"/>
    </row>
    <row r="374" spans="12:21" x14ac:dyDescent="0.2">
      <c r="M374" s="2">
        <f>'Reels From Source (2)'!A370</f>
        <v>0</v>
      </c>
      <c r="N374" s="2">
        <f>'Reels From Source (2)'!B370</f>
        <v>0</v>
      </c>
      <c r="O374" s="2">
        <f>'Reels From Source (2)'!C370</f>
        <v>0</v>
      </c>
      <c r="P374" s="2">
        <f>'Reels From Source (2)'!D370</f>
        <v>0</v>
      </c>
      <c r="Q374" s="2">
        <f>'Reels From Source (2)'!E370</f>
        <v>0</v>
      </c>
      <c r="R374" s="2">
        <f>'Reels From Source (2)'!F370</f>
        <v>0</v>
      </c>
      <c r="S374"/>
      <c r="T374"/>
      <c r="U374"/>
    </row>
    <row r="375" spans="12:21" x14ac:dyDescent="0.2">
      <c r="M375" s="2">
        <f>'Reels From Source (2)'!A371</f>
        <v>0</v>
      </c>
      <c r="N375" s="2">
        <f>'Reels From Source (2)'!B371</f>
        <v>0</v>
      </c>
      <c r="O375" s="2">
        <f>'Reels From Source (2)'!C371</f>
        <v>0</v>
      </c>
      <c r="P375" s="2">
        <f>'Reels From Source (2)'!D371</f>
        <v>0</v>
      </c>
      <c r="Q375" s="2">
        <f>'Reels From Source (2)'!E371</f>
        <v>0</v>
      </c>
      <c r="R375" s="2">
        <f>'Reels From Source (2)'!F371</f>
        <v>0</v>
      </c>
      <c r="S375"/>
      <c r="T375"/>
      <c r="U375"/>
    </row>
    <row r="376" spans="12:21" x14ac:dyDescent="0.2">
      <c r="M376" s="2">
        <f>'Reels From Source (2)'!A372</f>
        <v>0</v>
      </c>
      <c r="N376" s="2">
        <f>'Reels From Source (2)'!B372</f>
        <v>0</v>
      </c>
      <c r="O376" s="2">
        <f>'Reels From Source (2)'!C372</f>
        <v>0</v>
      </c>
      <c r="P376" s="2">
        <f>'Reels From Source (2)'!D372</f>
        <v>0</v>
      </c>
      <c r="Q376" s="2">
        <f>'Reels From Source (2)'!E372</f>
        <v>0</v>
      </c>
      <c r="R376" s="2">
        <f>'Reels From Source (2)'!F372</f>
        <v>0</v>
      </c>
      <c r="S376"/>
      <c r="T376"/>
      <c r="U376"/>
    </row>
    <row r="377" spans="12:21" x14ac:dyDescent="0.2">
      <c r="M377" s="2">
        <f>'Reels From Source (2)'!A373</f>
        <v>0</v>
      </c>
      <c r="N377" s="2">
        <f>'Reels From Source (2)'!B373</f>
        <v>0</v>
      </c>
      <c r="O377" s="2">
        <f>'Reels From Source (2)'!C373</f>
        <v>0</v>
      </c>
      <c r="P377" s="2">
        <f>'Reels From Source (2)'!D373</f>
        <v>0</v>
      </c>
      <c r="Q377" s="2">
        <f>'Reels From Source (2)'!E373</f>
        <v>0</v>
      </c>
      <c r="R377" s="2">
        <f>'Reels From Source (2)'!F373</f>
        <v>0</v>
      </c>
      <c r="S377"/>
      <c r="T377"/>
      <c r="U377"/>
    </row>
    <row r="378" spans="12:21" x14ac:dyDescent="0.2">
      <c r="M378" s="2">
        <f>'Reels From Source (2)'!A374</f>
        <v>0</v>
      </c>
      <c r="N378" s="2">
        <f>'Reels From Source (2)'!B374</f>
        <v>0</v>
      </c>
      <c r="O378" s="2">
        <f>'Reels From Source (2)'!C374</f>
        <v>0</v>
      </c>
      <c r="P378" s="2">
        <f>'Reels From Source (2)'!D374</f>
        <v>0</v>
      </c>
      <c r="Q378" s="2">
        <f>'Reels From Source (2)'!E374</f>
        <v>0</v>
      </c>
      <c r="R378" s="2">
        <f>'Reels From Source (2)'!F374</f>
        <v>0</v>
      </c>
      <c r="S378"/>
      <c r="T378"/>
      <c r="U378"/>
    </row>
    <row r="379" spans="12:21" x14ac:dyDescent="0.2">
      <c r="M379" s="2">
        <f>'Reels From Source (2)'!A375</f>
        <v>0</v>
      </c>
      <c r="N379" s="2">
        <f>'Reels From Source (2)'!B375</f>
        <v>0</v>
      </c>
      <c r="O379" s="2">
        <f>'Reels From Source (2)'!C375</f>
        <v>0</v>
      </c>
      <c r="P379" s="2">
        <f>'Reels From Source (2)'!D375</f>
        <v>0</v>
      </c>
      <c r="Q379" s="2">
        <f>'Reels From Source (2)'!E375</f>
        <v>0</v>
      </c>
      <c r="R379" s="2">
        <f>'Reels From Source (2)'!F375</f>
        <v>0</v>
      </c>
      <c r="S379"/>
      <c r="T379"/>
      <c r="U379"/>
    </row>
    <row r="380" spans="12:21" x14ac:dyDescent="0.2">
      <c r="L380" s="16" t="s">
        <v>41</v>
      </c>
      <c r="M380" s="2">
        <f>'Reels From Source (2)'!A376</f>
        <v>0</v>
      </c>
      <c r="N380" s="2">
        <f>'Reels From Source (2)'!B376</f>
        <v>0</v>
      </c>
      <c r="O380" s="2">
        <f>'Reels From Source (2)'!C376</f>
        <v>0</v>
      </c>
      <c r="P380" s="2">
        <f>'Reels From Source (2)'!D376</f>
        <v>0</v>
      </c>
      <c r="Q380" s="2">
        <f>'Reels From Source (2)'!E376</f>
        <v>0</v>
      </c>
      <c r="R380" s="2">
        <f>'Reels From Source (2)'!F376</f>
        <v>0</v>
      </c>
      <c r="S380"/>
      <c r="T380"/>
      <c r="U380"/>
    </row>
    <row r="381" spans="12:21" x14ac:dyDescent="0.2">
      <c r="M381" s="2">
        <f>'Reels From Source (2)'!A377</f>
        <v>0</v>
      </c>
      <c r="N381" s="2">
        <f>'Reels From Source (2)'!B377</f>
        <v>0</v>
      </c>
      <c r="O381" s="2">
        <f>'Reels From Source (2)'!C377</f>
        <v>0</v>
      </c>
      <c r="P381" s="2">
        <f>'Reels From Source (2)'!D377</f>
        <v>0</v>
      </c>
      <c r="Q381" s="2">
        <f>'Reels From Source (2)'!E377</f>
        <v>0</v>
      </c>
      <c r="R381" s="2">
        <f>'Reels From Source (2)'!F377</f>
        <v>0</v>
      </c>
      <c r="S381"/>
      <c r="T381"/>
      <c r="U381"/>
    </row>
    <row r="382" spans="12:21" x14ac:dyDescent="0.2">
      <c r="M382" s="2">
        <f>'Reels From Source (2)'!A378</f>
        <v>0</v>
      </c>
      <c r="N382" s="2">
        <f>'Reels From Source (2)'!B378</f>
        <v>0</v>
      </c>
      <c r="O382" s="2">
        <f>'Reels From Source (2)'!C378</f>
        <v>0</v>
      </c>
      <c r="P382" s="2">
        <f>'Reels From Source (2)'!D378</f>
        <v>0</v>
      </c>
      <c r="Q382" s="2">
        <f>'Reels From Source (2)'!E378</f>
        <v>0</v>
      </c>
      <c r="R382" s="2">
        <f>'Reels From Source (2)'!F378</f>
        <v>0</v>
      </c>
      <c r="S382"/>
      <c r="T382"/>
      <c r="U382"/>
    </row>
    <row r="383" spans="12:21" x14ac:dyDescent="0.2">
      <c r="M383" s="2">
        <f>'Reels From Source (2)'!A379</f>
        <v>0</v>
      </c>
      <c r="N383" s="2">
        <f>'Reels From Source (2)'!B379</f>
        <v>0</v>
      </c>
      <c r="O383" s="2">
        <f>'Reels From Source (2)'!C379</f>
        <v>0</v>
      </c>
      <c r="P383" s="2">
        <f>'Reels From Source (2)'!D379</f>
        <v>0</v>
      </c>
      <c r="Q383" s="2">
        <f>'Reels From Source (2)'!E379</f>
        <v>0</v>
      </c>
      <c r="R383" s="2">
        <f>'Reels From Source (2)'!F379</f>
        <v>0</v>
      </c>
      <c r="S383"/>
      <c r="T383"/>
      <c r="U383"/>
    </row>
    <row r="384" spans="12:21" x14ac:dyDescent="0.2">
      <c r="M384" s="2">
        <f>'Reels From Source (2)'!A380</f>
        <v>0</v>
      </c>
      <c r="N384" s="2">
        <f>'Reels From Source (2)'!B380</f>
        <v>0</v>
      </c>
      <c r="O384" s="2">
        <f>'Reels From Source (2)'!C380</f>
        <v>0</v>
      </c>
      <c r="P384" s="2">
        <f>'Reels From Source (2)'!D380</f>
        <v>0</v>
      </c>
      <c r="Q384" s="2">
        <f>'Reels From Source (2)'!E380</f>
        <v>0</v>
      </c>
      <c r="R384" s="2">
        <f>'Reels From Source (2)'!F380</f>
        <v>0</v>
      </c>
      <c r="S384"/>
      <c r="T384"/>
      <c r="U384"/>
    </row>
    <row r="385" spans="13:22" x14ac:dyDescent="0.2">
      <c r="M385" s="2">
        <f>'Reels From Source (2)'!A381</f>
        <v>0</v>
      </c>
      <c r="N385" s="2">
        <f>'Reels From Source (2)'!B381</f>
        <v>0</v>
      </c>
      <c r="O385" s="2">
        <f>'Reels From Source (2)'!C381</f>
        <v>0</v>
      </c>
      <c r="P385" s="2">
        <f>'Reels From Source (2)'!D381</f>
        <v>0</v>
      </c>
      <c r="Q385" s="2">
        <f>'Reels From Source (2)'!E381</f>
        <v>0</v>
      </c>
      <c r="R385" s="2">
        <f>'Reels From Source (2)'!F381</f>
        <v>0</v>
      </c>
      <c r="S385"/>
      <c r="T385"/>
      <c r="U385"/>
    </row>
    <row r="386" spans="13:22" x14ac:dyDescent="0.2">
      <c r="M386" s="2">
        <f>'Reels From Source (2)'!A382</f>
        <v>0</v>
      </c>
      <c r="N386" s="2">
        <f>'Reels From Source (2)'!B382</f>
        <v>0</v>
      </c>
      <c r="O386" s="2">
        <f>'Reels From Source (2)'!C382</f>
        <v>0</v>
      </c>
      <c r="P386" s="2">
        <f>'Reels From Source (2)'!D382</f>
        <v>0</v>
      </c>
      <c r="Q386" s="2">
        <f>'Reels From Source (2)'!E382</f>
        <v>0</v>
      </c>
      <c r="R386" s="2">
        <f>'Reels From Source (2)'!F382</f>
        <v>0</v>
      </c>
      <c r="S386"/>
      <c r="T386"/>
      <c r="U386"/>
    </row>
    <row r="387" spans="13:22" x14ac:dyDescent="0.2">
      <c r="M387" s="2">
        <f>'Reels From Source (2)'!A383</f>
        <v>0</v>
      </c>
      <c r="N387" s="2">
        <f>'Reels From Source (2)'!B383</f>
        <v>0</v>
      </c>
      <c r="O387" s="2">
        <f>'Reels From Source (2)'!C383</f>
        <v>0</v>
      </c>
      <c r="P387" s="2">
        <f>'Reels From Source (2)'!D383</f>
        <v>0</v>
      </c>
      <c r="Q387" s="2">
        <f>'Reels From Source (2)'!E383</f>
        <v>0</v>
      </c>
      <c r="R387" s="2">
        <f>'Reels From Source (2)'!F383</f>
        <v>0</v>
      </c>
      <c r="S387"/>
      <c r="T387"/>
      <c r="U387"/>
    </row>
    <row r="388" spans="13:22" x14ac:dyDescent="0.2">
      <c r="M388" s="2">
        <f>'Reels From Source (2)'!A384</f>
        <v>0</v>
      </c>
      <c r="N388" s="2">
        <f>'Reels From Source (2)'!B384</f>
        <v>0</v>
      </c>
      <c r="O388" s="2">
        <f>'Reels From Source (2)'!C384</f>
        <v>0</v>
      </c>
      <c r="P388" s="2">
        <f>'Reels From Source (2)'!D384</f>
        <v>0</v>
      </c>
      <c r="Q388" s="2">
        <f>'Reels From Source (2)'!E384</f>
        <v>0</v>
      </c>
      <c r="R388" s="2">
        <f>'Reels From Source (2)'!F384</f>
        <v>0</v>
      </c>
      <c r="S388"/>
      <c r="T388"/>
      <c r="U388"/>
    </row>
    <row r="389" spans="13:22" x14ac:dyDescent="0.2">
      <c r="M389" s="2">
        <f>'Reels From Source (2)'!A385</f>
        <v>0</v>
      </c>
      <c r="N389" s="2">
        <f>'Reels From Source (2)'!B385</f>
        <v>0</v>
      </c>
      <c r="O389" s="2">
        <f>'Reels From Source (2)'!C385</f>
        <v>0</v>
      </c>
      <c r="P389" s="2">
        <f>'Reels From Source (2)'!D385</f>
        <v>0</v>
      </c>
      <c r="Q389" s="2">
        <f>'Reels From Source (2)'!E385</f>
        <v>0</v>
      </c>
      <c r="R389" s="2">
        <f>'Reels From Source (2)'!F385</f>
        <v>0</v>
      </c>
      <c r="S389"/>
      <c r="T389"/>
      <c r="U389"/>
    </row>
    <row r="390" spans="13:22" x14ac:dyDescent="0.2">
      <c r="M390" s="2">
        <f>'Reels From Source (2)'!A386</f>
        <v>0</v>
      </c>
      <c r="N390" s="2">
        <f>'Reels From Source (2)'!B386</f>
        <v>0</v>
      </c>
      <c r="O390" s="2">
        <f>'Reels From Source (2)'!C386</f>
        <v>0</v>
      </c>
      <c r="P390" s="2">
        <f>'Reels From Source (2)'!D386</f>
        <v>0</v>
      </c>
      <c r="Q390" s="2">
        <f>'Reels From Source (2)'!E386</f>
        <v>0</v>
      </c>
      <c r="R390" s="2">
        <f>'Reels From Source (2)'!F386</f>
        <v>0</v>
      </c>
      <c r="S390"/>
      <c r="T390"/>
      <c r="U390"/>
    </row>
    <row r="391" spans="13:22" x14ac:dyDescent="0.2">
      <c r="M391" s="2">
        <f>'Reels From Source (2)'!A387</f>
        <v>0</v>
      </c>
      <c r="N391" s="2">
        <f>'Reels From Source (2)'!B387</f>
        <v>0</v>
      </c>
      <c r="O391" s="2">
        <f>'Reels From Source (2)'!C387</f>
        <v>0</v>
      </c>
      <c r="P391" s="2">
        <f>'Reels From Source (2)'!D387</f>
        <v>0</v>
      </c>
      <c r="Q391" s="2">
        <f>'Reels From Source (2)'!E387</f>
        <v>0</v>
      </c>
      <c r="R391" s="2">
        <f>'Reels From Source (2)'!F387</f>
        <v>0</v>
      </c>
      <c r="S391"/>
      <c r="T391"/>
      <c r="U391"/>
    </row>
    <row r="392" spans="13:22" x14ac:dyDescent="0.2">
      <c r="M392" s="2">
        <f>'Reels From Source (2)'!A388</f>
        <v>0</v>
      </c>
      <c r="N392" s="2">
        <f>'Reels From Source (2)'!B388</f>
        <v>0</v>
      </c>
      <c r="O392" s="2">
        <f>'Reels From Source (2)'!C388</f>
        <v>0</v>
      </c>
      <c r="P392" s="2">
        <f>'Reels From Source (2)'!D388</f>
        <v>0</v>
      </c>
      <c r="Q392" s="2">
        <f>'Reels From Source (2)'!E388</f>
        <v>0</v>
      </c>
      <c r="R392" s="2">
        <f>'Reels From Source (2)'!F388</f>
        <v>0</v>
      </c>
      <c r="S392"/>
      <c r="T392"/>
      <c r="U392"/>
    </row>
    <row r="393" spans="13:22" x14ac:dyDescent="0.2">
      <c r="M393" s="2">
        <f>'Reels From Source (2)'!A389</f>
        <v>0</v>
      </c>
      <c r="N393" s="2">
        <f>'Reels From Source (2)'!B389</f>
        <v>0</v>
      </c>
      <c r="O393" s="2">
        <f>'Reels From Source (2)'!C389</f>
        <v>0</v>
      </c>
      <c r="P393" s="2">
        <f>'Reels From Source (2)'!D389</f>
        <v>0</v>
      </c>
      <c r="Q393" s="2">
        <f>'Reels From Source (2)'!E389</f>
        <v>0</v>
      </c>
      <c r="R393" s="2">
        <f>'Reels From Source (2)'!F389</f>
        <v>0</v>
      </c>
      <c r="S393"/>
      <c r="T393"/>
      <c r="U393"/>
    </row>
    <row r="394" spans="13:22" x14ac:dyDescent="0.2">
      <c r="M394" s="2">
        <f>'Reels From Source (2)'!A390</f>
        <v>0</v>
      </c>
      <c r="N394" s="2">
        <f>'Reels From Source (2)'!B390</f>
        <v>0</v>
      </c>
      <c r="O394" s="2">
        <f>'Reels From Source (2)'!C390</f>
        <v>0</v>
      </c>
      <c r="P394" s="2">
        <f>'Reels From Source (2)'!D390</f>
        <v>0</v>
      </c>
      <c r="Q394" s="2">
        <f>'Reels From Source (2)'!E390</f>
        <v>0</v>
      </c>
      <c r="R394" s="2">
        <f>'Reels From Source (2)'!F390</f>
        <v>0</v>
      </c>
      <c r="S394"/>
      <c r="T394"/>
      <c r="U394"/>
    </row>
    <row r="395" spans="13:22" x14ac:dyDescent="0.2">
      <c r="M395" s="2">
        <f>'Reels From Source (2)'!A391</f>
        <v>0</v>
      </c>
      <c r="N395" s="2">
        <f>'Reels From Source (2)'!B391</f>
        <v>0</v>
      </c>
      <c r="O395" s="2">
        <f>'Reels From Source (2)'!C391</f>
        <v>0</v>
      </c>
      <c r="P395" s="2">
        <f>'Reels From Source (2)'!D391</f>
        <v>0</v>
      </c>
      <c r="Q395" s="2">
        <f>'Reels From Source (2)'!E391</f>
        <v>0</v>
      </c>
      <c r="R395" s="2">
        <f>'Reels From Source (2)'!F391</f>
        <v>0</v>
      </c>
      <c r="S395"/>
      <c r="T395"/>
      <c r="U395"/>
    </row>
    <row r="396" spans="13:22" x14ac:dyDescent="0.2">
      <c r="M396" s="2">
        <f>'Reels From Source (2)'!A392</f>
        <v>0</v>
      </c>
      <c r="N396" s="2">
        <f>'Reels From Source (2)'!B392</f>
        <v>0</v>
      </c>
      <c r="O396" s="2">
        <f>'Reels From Source (2)'!C392</f>
        <v>0</v>
      </c>
      <c r="P396" s="2">
        <f>'Reels From Source (2)'!D392</f>
        <v>0</v>
      </c>
      <c r="Q396" s="2">
        <f>'Reels From Source (2)'!E392</f>
        <v>0</v>
      </c>
      <c r="R396" s="2">
        <f>'Reels From Source (2)'!F392</f>
        <v>0</v>
      </c>
      <c r="S396"/>
      <c r="T396"/>
      <c r="U396"/>
    </row>
    <row r="397" spans="13:22" x14ac:dyDescent="0.2">
      <c r="M397" s="2">
        <f>'Reels From Source (2)'!A393</f>
        <v>0</v>
      </c>
      <c r="N397" s="2">
        <f>'Reels From Source (2)'!B393</f>
        <v>0</v>
      </c>
      <c r="O397" s="2">
        <f>'Reels From Source (2)'!C393</f>
        <v>0</v>
      </c>
      <c r="P397" s="2">
        <f>'Reels From Source (2)'!D393</f>
        <v>0</v>
      </c>
      <c r="Q397" s="2">
        <f>'Reels From Source (2)'!E393</f>
        <v>0</v>
      </c>
      <c r="R397" s="2">
        <f>'Reels From Source (2)'!F393</f>
        <v>0</v>
      </c>
      <c r="S397"/>
      <c r="T397"/>
      <c r="U397"/>
    </row>
    <row r="398" spans="13:22" x14ac:dyDescent="0.2">
      <c r="M398" s="2">
        <f>'Reels From Source (2)'!A394</f>
        <v>0</v>
      </c>
      <c r="N398" s="2">
        <f>'Reels From Source (2)'!B394</f>
        <v>0</v>
      </c>
      <c r="O398" s="2">
        <f>'Reels From Source (2)'!C394</f>
        <v>0</v>
      </c>
      <c r="P398" s="2">
        <f>'Reels From Source (2)'!D394</f>
        <v>0</v>
      </c>
      <c r="Q398" s="2">
        <f>'Reels From Source (2)'!E394</f>
        <v>0</v>
      </c>
      <c r="R398" s="2">
        <f>'Reels From Source (2)'!F394</f>
        <v>0</v>
      </c>
      <c r="S398"/>
      <c r="T398"/>
      <c r="U398"/>
      <c r="V398"/>
    </row>
    <row r="399" spans="13:22" x14ac:dyDescent="0.2">
      <c r="M399" s="2">
        <f>'Reels From Source (2)'!A395</f>
        <v>0</v>
      </c>
      <c r="N399" s="2">
        <f>'Reels From Source (2)'!B395</f>
        <v>0</v>
      </c>
      <c r="O399" s="2">
        <f>'Reels From Source (2)'!C395</f>
        <v>0</v>
      </c>
      <c r="P399" s="2">
        <f>'Reels From Source (2)'!D395</f>
        <v>0</v>
      </c>
      <c r="Q399" s="2">
        <f>'Reels From Source (2)'!E395</f>
        <v>0</v>
      </c>
      <c r="R399" s="2">
        <f>'Reels From Source (2)'!F395</f>
        <v>0</v>
      </c>
      <c r="S399"/>
      <c r="T399"/>
      <c r="U399"/>
    </row>
    <row r="400" spans="13:22" x14ac:dyDescent="0.2">
      <c r="M400" s="2">
        <f>'Reels From Source (2)'!A396</f>
        <v>0</v>
      </c>
      <c r="N400" s="2">
        <f>'Reels From Source (2)'!B396</f>
        <v>0</v>
      </c>
      <c r="O400" s="2">
        <f>'Reels From Source (2)'!C396</f>
        <v>0</v>
      </c>
      <c r="P400" s="2">
        <f>'Reels From Source (2)'!D396</f>
        <v>0</v>
      </c>
      <c r="Q400" s="2">
        <f>'Reels From Source (2)'!E396</f>
        <v>0</v>
      </c>
      <c r="R400" s="2">
        <f>'Reels From Source (2)'!F396</f>
        <v>0</v>
      </c>
      <c r="S400"/>
      <c r="T400"/>
      <c r="U400"/>
    </row>
    <row r="401" spans="12:21" x14ac:dyDescent="0.2">
      <c r="M401" s="2">
        <f>'Reels From Source (2)'!A397</f>
        <v>0</v>
      </c>
      <c r="N401" s="2">
        <f>'Reels From Source (2)'!B397</f>
        <v>0</v>
      </c>
      <c r="O401" s="2">
        <f>'Reels From Source (2)'!C397</f>
        <v>0</v>
      </c>
      <c r="P401" s="2">
        <f>'Reels From Source (2)'!D397</f>
        <v>0</v>
      </c>
      <c r="Q401" s="2">
        <f>'Reels From Source (2)'!E397</f>
        <v>0</v>
      </c>
      <c r="R401" s="2">
        <f>'Reels From Source (2)'!F397</f>
        <v>0</v>
      </c>
      <c r="S401"/>
      <c r="T401"/>
      <c r="U401"/>
    </row>
    <row r="402" spans="12:21" x14ac:dyDescent="0.2">
      <c r="M402" s="2">
        <f>'Reels From Source (2)'!A398</f>
        <v>0</v>
      </c>
      <c r="N402" s="2">
        <f>'Reels From Source (2)'!B398</f>
        <v>0</v>
      </c>
      <c r="O402" s="2">
        <f>'Reels From Source (2)'!C398</f>
        <v>0</v>
      </c>
      <c r="P402" s="2">
        <f>'Reels From Source (2)'!D398</f>
        <v>0</v>
      </c>
      <c r="Q402" s="2">
        <f>'Reels From Source (2)'!E398</f>
        <v>0</v>
      </c>
      <c r="R402" s="2">
        <f>'Reels From Source (2)'!F398</f>
        <v>0</v>
      </c>
      <c r="S402"/>
      <c r="T402"/>
      <c r="U402"/>
    </row>
    <row r="403" spans="12:21" x14ac:dyDescent="0.2">
      <c r="M403" s="2">
        <f>'Reels From Source (2)'!A399</f>
        <v>0</v>
      </c>
      <c r="N403" s="2">
        <f>'Reels From Source (2)'!B399</f>
        <v>0</v>
      </c>
      <c r="O403" s="2">
        <f>'Reels From Source (2)'!C399</f>
        <v>0</v>
      </c>
      <c r="P403" s="2">
        <f>'Reels From Source (2)'!D399</f>
        <v>0</v>
      </c>
      <c r="Q403" s="2">
        <f>'Reels From Source (2)'!E399</f>
        <v>0</v>
      </c>
      <c r="R403" s="2">
        <f>'Reels From Source (2)'!F399</f>
        <v>0</v>
      </c>
      <c r="S403"/>
      <c r="T403"/>
      <c r="U403"/>
    </row>
    <row r="404" spans="12:21" x14ac:dyDescent="0.2">
      <c r="M404" s="2">
        <f>'Reels From Source (2)'!A400</f>
        <v>0</v>
      </c>
      <c r="N404" s="2">
        <f>'Reels From Source (2)'!B400</f>
        <v>0</v>
      </c>
      <c r="O404" s="2">
        <f>'Reels From Source (2)'!C400</f>
        <v>0</v>
      </c>
      <c r="P404" s="2">
        <f>'Reels From Source (2)'!D400</f>
        <v>0</v>
      </c>
      <c r="Q404" s="2">
        <f>'Reels From Source (2)'!E400</f>
        <v>0</v>
      </c>
      <c r="R404" s="2">
        <f>'Reels From Source (2)'!F400</f>
        <v>0</v>
      </c>
      <c r="S404"/>
      <c r="T404"/>
      <c r="U404"/>
    </row>
    <row r="405" spans="12:21" x14ac:dyDescent="0.2">
      <c r="L405" s="16" t="s">
        <v>42</v>
      </c>
      <c r="M405" s="2">
        <f>'Reels From Source (2)'!A401</f>
        <v>0</v>
      </c>
      <c r="N405" s="2">
        <f>'Reels From Source (2)'!B401</f>
        <v>0</v>
      </c>
      <c r="O405" s="2">
        <f>'Reels From Source (2)'!C401</f>
        <v>0</v>
      </c>
      <c r="P405" s="2">
        <f>'Reels From Source (2)'!D401</f>
        <v>0</v>
      </c>
      <c r="Q405" s="2">
        <f>'Reels From Source (2)'!E401</f>
        <v>0</v>
      </c>
      <c r="R405" s="2">
        <f>'Reels From Source (2)'!F401</f>
        <v>0</v>
      </c>
      <c r="S405"/>
      <c r="T405"/>
      <c r="U405"/>
    </row>
    <row r="406" spans="12:21" x14ac:dyDescent="0.2">
      <c r="M406" s="2">
        <f>'Reels From Source (2)'!A402</f>
        <v>0</v>
      </c>
      <c r="N406" s="2">
        <f>'Reels From Source (2)'!B402</f>
        <v>0</v>
      </c>
      <c r="O406" s="2">
        <f>'Reels From Source (2)'!C402</f>
        <v>0</v>
      </c>
      <c r="P406" s="2">
        <f>'Reels From Source (2)'!D402</f>
        <v>0</v>
      </c>
      <c r="Q406" s="2">
        <f>'Reels From Source (2)'!E402</f>
        <v>0</v>
      </c>
      <c r="R406" s="2">
        <f>'Reels From Source (2)'!F402</f>
        <v>0</v>
      </c>
      <c r="S406"/>
      <c r="T406"/>
      <c r="U406"/>
    </row>
    <row r="407" spans="12:21" x14ac:dyDescent="0.2">
      <c r="L407" s="32"/>
      <c r="M407" s="2">
        <f>'Reels From Source (2)'!A403</f>
        <v>0</v>
      </c>
      <c r="N407" s="2">
        <f>'Reels From Source (2)'!B403</f>
        <v>0</v>
      </c>
      <c r="O407" s="2">
        <f>'Reels From Source (2)'!C403</f>
        <v>0</v>
      </c>
      <c r="P407" s="2">
        <f>'Reels From Source (2)'!D403</f>
        <v>0</v>
      </c>
      <c r="Q407" s="2">
        <f>'Reels From Source (2)'!E403</f>
        <v>0</v>
      </c>
      <c r="R407" s="2">
        <f>'Reels From Source (2)'!F403</f>
        <v>0</v>
      </c>
      <c r="S407"/>
      <c r="T407"/>
      <c r="U407"/>
    </row>
    <row r="408" spans="12:21" x14ac:dyDescent="0.2">
      <c r="L408" s="32"/>
      <c r="M408" s="2">
        <f>'Reels From Source (2)'!A404</f>
        <v>0</v>
      </c>
      <c r="N408" s="2">
        <f>'Reels From Source (2)'!B404</f>
        <v>0</v>
      </c>
      <c r="O408" s="2">
        <f>'Reels From Source (2)'!C404</f>
        <v>0</v>
      </c>
      <c r="P408" s="2">
        <f>'Reels From Source (2)'!D404</f>
        <v>0</v>
      </c>
      <c r="Q408" s="2">
        <f>'Reels From Source (2)'!E404</f>
        <v>0</v>
      </c>
      <c r="R408" s="2">
        <f>'Reels From Source (2)'!F404</f>
        <v>0</v>
      </c>
      <c r="S408"/>
      <c r="T408"/>
      <c r="U408"/>
    </row>
    <row r="409" spans="12:21" x14ac:dyDescent="0.2">
      <c r="L409" s="32"/>
      <c r="M409" s="2">
        <f>'Reels From Source (2)'!A405</f>
        <v>0</v>
      </c>
      <c r="N409" s="2">
        <f>'Reels From Source (2)'!B405</f>
        <v>0</v>
      </c>
      <c r="O409" s="2">
        <f>'Reels From Source (2)'!C405</f>
        <v>0</v>
      </c>
      <c r="P409" s="2">
        <f>'Reels From Source (2)'!D405</f>
        <v>0</v>
      </c>
      <c r="Q409" s="2">
        <f>'Reels From Source (2)'!E405</f>
        <v>0</v>
      </c>
      <c r="R409" s="2">
        <f>'Reels From Source (2)'!F405</f>
        <v>0</v>
      </c>
      <c r="S409"/>
      <c r="T409"/>
      <c r="U409"/>
    </row>
    <row r="410" spans="12:21" x14ac:dyDescent="0.2">
      <c r="L410" s="32"/>
      <c r="M410" s="2">
        <f>'Reels From Source (2)'!A406</f>
        <v>0</v>
      </c>
      <c r="N410" s="2">
        <f>'Reels From Source (2)'!B406</f>
        <v>0</v>
      </c>
      <c r="O410" s="2">
        <f>'Reels From Source (2)'!C406</f>
        <v>0</v>
      </c>
      <c r="P410" s="2">
        <f>'Reels From Source (2)'!D406</f>
        <v>0</v>
      </c>
      <c r="Q410" s="2">
        <f>'Reels From Source (2)'!E406</f>
        <v>0</v>
      </c>
      <c r="R410" s="2">
        <f>'Reels From Source (2)'!F406</f>
        <v>0</v>
      </c>
      <c r="S410"/>
      <c r="T410"/>
      <c r="U410"/>
    </row>
    <row r="411" spans="12:21" x14ac:dyDescent="0.2">
      <c r="L411" s="32"/>
      <c r="M411" s="2">
        <f>'Reels From Source (2)'!A407</f>
        <v>0</v>
      </c>
      <c r="N411" s="2">
        <f>'Reels From Source (2)'!B407</f>
        <v>0</v>
      </c>
      <c r="O411" s="2">
        <f>'Reels From Source (2)'!C407</f>
        <v>0</v>
      </c>
      <c r="P411" s="2">
        <f>'Reels From Source (2)'!D407</f>
        <v>0</v>
      </c>
      <c r="Q411" s="2">
        <f>'Reels From Source (2)'!E407</f>
        <v>0</v>
      </c>
      <c r="R411" s="2">
        <f>'Reels From Source (2)'!F407</f>
        <v>0</v>
      </c>
      <c r="S411"/>
      <c r="T411"/>
      <c r="U411"/>
    </row>
    <row r="412" spans="12:21" x14ac:dyDescent="0.2">
      <c r="L412" s="32"/>
      <c r="M412" s="2">
        <f>'Reels From Source (2)'!A408</f>
        <v>0</v>
      </c>
      <c r="N412" s="2">
        <f>'Reels From Source (2)'!B408</f>
        <v>0</v>
      </c>
      <c r="O412" s="2">
        <f>'Reels From Source (2)'!C408</f>
        <v>0</v>
      </c>
      <c r="P412" s="2">
        <f>'Reels From Source (2)'!D408</f>
        <v>0</v>
      </c>
      <c r="Q412" s="2">
        <f>'Reels From Source (2)'!E408</f>
        <v>0</v>
      </c>
      <c r="R412" s="2">
        <f>'Reels From Source (2)'!F408</f>
        <v>0</v>
      </c>
      <c r="S412"/>
      <c r="T412"/>
      <c r="U412"/>
    </row>
    <row r="413" spans="12:21" x14ac:dyDescent="0.2">
      <c r="L413" s="32"/>
      <c r="M413" s="2">
        <f>'Reels From Source (2)'!A409</f>
        <v>0</v>
      </c>
      <c r="N413" s="2">
        <f>'Reels From Source (2)'!B409</f>
        <v>0</v>
      </c>
      <c r="O413" s="2">
        <f>'Reels From Source (2)'!C409</f>
        <v>0</v>
      </c>
      <c r="P413" s="2">
        <f>'Reels From Source (2)'!D409</f>
        <v>0</v>
      </c>
      <c r="Q413" s="2">
        <f>'Reels From Source (2)'!E409</f>
        <v>0</v>
      </c>
      <c r="R413" s="2">
        <f>'Reels From Source (2)'!F409</f>
        <v>0</v>
      </c>
      <c r="S413"/>
      <c r="T413"/>
      <c r="U413"/>
    </row>
    <row r="414" spans="12:21" x14ac:dyDescent="0.2">
      <c r="L414" s="32"/>
      <c r="M414" s="2">
        <f>'Reels From Source (2)'!A410</f>
        <v>0</v>
      </c>
      <c r="N414" s="2">
        <f>'Reels From Source (2)'!B410</f>
        <v>0</v>
      </c>
      <c r="O414" s="2">
        <f>'Reels From Source (2)'!C410</f>
        <v>0</v>
      </c>
      <c r="P414" s="2">
        <f>'Reels From Source (2)'!D410</f>
        <v>0</v>
      </c>
      <c r="Q414" s="2">
        <f>'Reels From Source (2)'!E410</f>
        <v>0</v>
      </c>
      <c r="R414" s="2">
        <f>'Reels From Source (2)'!F410</f>
        <v>0</v>
      </c>
      <c r="S414"/>
      <c r="T414"/>
      <c r="U414"/>
    </row>
    <row r="415" spans="12:21" x14ac:dyDescent="0.2">
      <c r="L415" s="32"/>
      <c r="M415" s="2">
        <f>'Reels From Source (2)'!A411</f>
        <v>0</v>
      </c>
      <c r="N415" s="2">
        <f>'Reels From Source (2)'!B411</f>
        <v>0</v>
      </c>
      <c r="O415" s="2">
        <f>'Reels From Source (2)'!C411</f>
        <v>0</v>
      </c>
      <c r="P415" s="2">
        <f>'Reels From Source (2)'!D411</f>
        <v>0</v>
      </c>
      <c r="Q415" s="2">
        <f>'Reels From Source (2)'!E411</f>
        <v>0</v>
      </c>
      <c r="R415" s="2">
        <f>'Reels From Source (2)'!F411</f>
        <v>0</v>
      </c>
      <c r="S415"/>
      <c r="T415"/>
      <c r="U415"/>
    </row>
    <row r="416" spans="12:21" x14ac:dyDescent="0.2">
      <c r="L416" s="32"/>
      <c r="M416" s="2">
        <f>'Reels From Source (2)'!A412</f>
        <v>0</v>
      </c>
      <c r="N416" s="2">
        <f>'Reels From Source (2)'!B412</f>
        <v>0</v>
      </c>
      <c r="O416" s="2">
        <f>'Reels From Source (2)'!C412</f>
        <v>0</v>
      </c>
      <c r="P416" s="2">
        <f>'Reels From Source (2)'!D412</f>
        <v>0</v>
      </c>
      <c r="Q416" s="2">
        <f>'Reels From Source (2)'!E412</f>
        <v>0</v>
      </c>
      <c r="R416" s="2">
        <f>'Reels From Source (2)'!F412</f>
        <v>0</v>
      </c>
      <c r="S416"/>
      <c r="T416"/>
      <c r="U416"/>
    </row>
    <row r="417" spans="12:22" x14ac:dyDescent="0.2">
      <c r="L417" s="32"/>
      <c r="M417" s="2">
        <f>'Reels From Source (2)'!A413</f>
        <v>0</v>
      </c>
      <c r="N417" s="2">
        <f>'Reels From Source (2)'!B413</f>
        <v>0</v>
      </c>
      <c r="O417" s="2">
        <f>'Reels From Source (2)'!C413</f>
        <v>0</v>
      </c>
      <c r="P417" s="2">
        <f>'Reels From Source (2)'!D413</f>
        <v>0</v>
      </c>
      <c r="Q417" s="2">
        <f>'Reels From Source (2)'!E413</f>
        <v>0</v>
      </c>
      <c r="R417" s="2">
        <f>'Reels From Source (2)'!F413</f>
        <v>0</v>
      </c>
      <c r="S417"/>
      <c r="T417"/>
      <c r="U417"/>
    </row>
    <row r="418" spans="12:22" x14ac:dyDescent="0.2">
      <c r="L418" s="32"/>
      <c r="M418" s="2">
        <f>'Reels From Source (2)'!A414</f>
        <v>0</v>
      </c>
      <c r="N418" s="2">
        <f>'Reels From Source (2)'!B414</f>
        <v>0</v>
      </c>
      <c r="O418" s="2">
        <f>'Reels From Source (2)'!C414</f>
        <v>0</v>
      </c>
      <c r="P418" s="2">
        <f>'Reels From Source (2)'!D414</f>
        <v>0</v>
      </c>
      <c r="Q418" s="2">
        <f>'Reels From Source (2)'!E414</f>
        <v>0</v>
      </c>
      <c r="R418" s="2">
        <f>'Reels From Source (2)'!F414</f>
        <v>0</v>
      </c>
      <c r="S418"/>
      <c r="T418"/>
      <c r="U418"/>
    </row>
    <row r="419" spans="12:22" x14ac:dyDescent="0.2">
      <c r="M419" s="2">
        <f>'Reels From Source (2)'!A415</f>
        <v>0</v>
      </c>
      <c r="N419" s="2">
        <f>'Reels From Source (2)'!B415</f>
        <v>0</v>
      </c>
      <c r="O419" s="2">
        <f>'Reels From Source (2)'!C415</f>
        <v>0</v>
      </c>
      <c r="P419" s="2">
        <f>'Reels From Source (2)'!D415</f>
        <v>0</v>
      </c>
      <c r="Q419" s="2">
        <f>'Reels From Source (2)'!E415</f>
        <v>0</v>
      </c>
      <c r="R419" s="2">
        <f>'Reels From Source (2)'!F415</f>
        <v>0</v>
      </c>
      <c r="S419"/>
      <c r="T419"/>
      <c r="U419"/>
    </row>
    <row r="420" spans="12:22" x14ac:dyDescent="0.2">
      <c r="M420" s="2">
        <f>'Reels From Source (2)'!A416</f>
        <v>0</v>
      </c>
      <c r="N420" s="2">
        <f>'Reels From Source (2)'!B416</f>
        <v>0</v>
      </c>
      <c r="O420" s="2">
        <f>'Reels From Source (2)'!C416</f>
        <v>0</v>
      </c>
      <c r="P420" s="2">
        <f>'Reels From Source (2)'!D416</f>
        <v>0</v>
      </c>
      <c r="Q420" s="2">
        <f>'Reels From Source (2)'!E416</f>
        <v>0</v>
      </c>
      <c r="R420" s="2">
        <f>'Reels From Source (2)'!F416</f>
        <v>0</v>
      </c>
      <c r="S420"/>
      <c r="T420"/>
      <c r="U420"/>
    </row>
    <row r="421" spans="12:22" x14ac:dyDescent="0.2">
      <c r="M421" s="2">
        <f>'Reels From Source (2)'!A417</f>
        <v>0</v>
      </c>
      <c r="N421" s="2">
        <f>'Reels From Source (2)'!B417</f>
        <v>0</v>
      </c>
      <c r="O421" s="2">
        <f>'Reels From Source (2)'!C417</f>
        <v>0</v>
      </c>
      <c r="P421" s="2">
        <f>'Reels From Source (2)'!D417</f>
        <v>0</v>
      </c>
      <c r="Q421" s="2">
        <f>'Reels From Source (2)'!E417</f>
        <v>0</v>
      </c>
      <c r="R421" s="2">
        <f>'Reels From Source (2)'!F417</f>
        <v>0</v>
      </c>
      <c r="S421"/>
      <c r="T421"/>
      <c r="U421"/>
    </row>
    <row r="422" spans="12:22" x14ac:dyDescent="0.2">
      <c r="M422" s="2">
        <f>'Reels From Source (2)'!A418</f>
        <v>0</v>
      </c>
      <c r="N422" s="2">
        <f>'Reels From Source (2)'!B418</f>
        <v>0</v>
      </c>
      <c r="O422" s="2">
        <f>'Reels From Source (2)'!C418</f>
        <v>0</v>
      </c>
      <c r="P422" s="2">
        <f>'Reels From Source (2)'!D418</f>
        <v>0</v>
      </c>
      <c r="Q422" s="2">
        <f>'Reels From Source (2)'!E418</f>
        <v>0</v>
      </c>
      <c r="R422" s="2">
        <f>'Reels From Source (2)'!F418</f>
        <v>0</v>
      </c>
      <c r="S422"/>
      <c r="T422"/>
      <c r="U422"/>
    </row>
    <row r="423" spans="12:22" x14ac:dyDescent="0.2">
      <c r="M423" s="2">
        <f>'Reels From Source (2)'!A419</f>
        <v>0</v>
      </c>
      <c r="N423" s="2">
        <f>'Reels From Source (2)'!B419</f>
        <v>0</v>
      </c>
      <c r="O423" s="2">
        <f>'Reels From Source (2)'!C419</f>
        <v>0</v>
      </c>
      <c r="P423" s="2">
        <f>'Reels From Source (2)'!D419</f>
        <v>0</v>
      </c>
      <c r="Q423" s="2">
        <f>'Reels From Source (2)'!E419</f>
        <v>0</v>
      </c>
      <c r="R423" s="2">
        <f>'Reels From Source (2)'!F419</f>
        <v>0</v>
      </c>
      <c r="S423"/>
      <c r="T423"/>
      <c r="U423"/>
    </row>
    <row r="424" spans="12:22" x14ac:dyDescent="0.2">
      <c r="M424" s="2">
        <f>'Reels From Source (2)'!A420</f>
        <v>0</v>
      </c>
      <c r="N424" s="2">
        <f>'Reels From Source (2)'!B420</f>
        <v>0</v>
      </c>
      <c r="O424" s="2">
        <f>'Reels From Source (2)'!C420</f>
        <v>0</v>
      </c>
      <c r="P424" s="2">
        <f>'Reels From Source (2)'!D420</f>
        <v>0</v>
      </c>
      <c r="Q424" s="2">
        <f>'Reels From Source (2)'!E420</f>
        <v>0</v>
      </c>
      <c r="R424" s="2">
        <f>'Reels From Source (2)'!F420</f>
        <v>0</v>
      </c>
      <c r="S424"/>
      <c r="T424"/>
      <c r="U424"/>
    </row>
    <row r="425" spans="12:22" x14ac:dyDescent="0.2">
      <c r="M425" s="2">
        <f>'Reels From Source (2)'!A421</f>
        <v>0</v>
      </c>
      <c r="N425" s="2">
        <f>'Reels From Source (2)'!B421</f>
        <v>0</v>
      </c>
      <c r="O425" s="2">
        <f>'Reels From Source (2)'!C421</f>
        <v>0</v>
      </c>
      <c r="P425" s="2">
        <f>'Reels From Source (2)'!D421</f>
        <v>0</v>
      </c>
      <c r="Q425" s="2">
        <f>'Reels From Source (2)'!E421</f>
        <v>0</v>
      </c>
      <c r="R425" s="2">
        <f>'Reels From Source (2)'!F421</f>
        <v>0</v>
      </c>
      <c r="S425"/>
      <c r="T425"/>
      <c r="U425"/>
    </row>
    <row r="426" spans="12:22" x14ac:dyDescent="0.2">
      <c r="M426" s="2">
        <f>'Reels From Source (2)'!A422</f>
        <v>0</v>
      </c>
      <c r="N426" s="2">
        <f>'Reels From Source (2)'!B422</f>
        <v>0</v>
      </c>
      <c r="O426" s="2">
        <f>'Reels From Source (2)'!C422</f>
        <v>0</v>
      </c>
      <c r="P426" s="2">
        <f>'Reels From Source (2)'!D422</f>
        <v>0</v>
      </c>
      <c r="Q426" s="2">
        <f>'Reels From Source (2)'!E422</f>
        <v>0</v>
      </c>
      <c r="R426" s="2">
        <f>'Reels From Source (2)'!F422</f>
        <v>0</v>
      </c>
      <c r="S426"/>
      <c r="T426"/>
      <c r="U426"/>
      <c r="V426"/>
    </row>
    <row r="427" spans="12:22" x14ac:dyDescent="0.2">
      <c r="M427" s="2">
        <f>'Reels From Source (2)'!A423</f>
        <v>0</v>
      </c>
      <c r="N427" s="2">
        <f>'Reels From Source (2)'!B423</f>
        <v>0</v>
      </c>
      <c r="O427" s="2">
        <f>'Reels From Source (2)'!C423</f>
        <v>0</v>
      </c>
      <c r="P427" s="2">
        <f>'Reels From Source (2)'!D423</f>
        <v>0</v>
      </c>
      <c r="Q427" s="2">
        <f>'Reels From Source (2)'!E423</f>
        <v>0</v>
      </c>
      <c r="R427" s="2">
        <f>'Reels From Source (2)'!F423</f>
        <v>0</v>
      </c>
      <c r="S427"/>
      <c r="T427"/>
      <c r="U427"/>
    </row>
    <row r="428" spans="12:22" x14ac:dyDescent="0.2">
      <c r="M428" s="2">
        <f>'Reels From Source (2)'!A424</f>
        <v>0</v>
      </c>
      <c r="N428" s="2">
        <f>'Reels From Source (2)'!B424</f>
        <v>0</v>
      </c>
      <c r="O428" s="2">
        <f>'Reels From Source (2)'!C424</f>
        <v>0</v>
      </c>
      <c r="P428" s="2">
        <f>'Reels From Source (2)'!D424</f>
        <v>0</v>
      </c>
      <c r="Q428" s="2">
        <f>'Reels From Source (2)'!E424</f>
        <v>0</v>
      </c>
      <c r="R428" s="2">
        <f>'Reels From Source (2)'!F424</f>
        <v>0</v>
      </c>
      <c r="S428"/>
      <c r="T428"/>
      <c r="U428"/>
    </row>
    <row r="429" spans="12:22" x14ac:dyDescent="0.2">
      <c r="M429" s="2">
        <f>'Reels From Source (2)'!A425</f>
        <v>0</v>
      </c>
      <c r="N429" s="2">
        <f>'Reels From Source (2)'!B425</f>
        <v>0</v>
      </c>
      <c r="O429" s="2">
        <f>'Reels From Source (2)'!C425</f>
        <v>0</v>
      </c>
      <c r="P429" s="2">
        <f>'Reels From Source (2)'!D425</f>
        <v>0</v>
      </c>
      <c r="Q429" s="2">
        <f>'Reels From Source (2)'!E425</f>
        <v>0</v>
      </c>
      <c r="R429" s="2">
        <f>'Reels From Source (2)'!F425</f>
        <v>0</v>
      </c>
      <c r="S429"/>
      <c r="T429"/>
      <c r="U429"/>
    </row>
    <row r="430" spans="12:22" x14ac:dyDescent="0.2">
      <c r="L430" s="16" t="s">
        <v>43</v>
      </c>
      <c r="M430" s="2">
        <f>'Reels From Source (2)'!A426</f>
        <v>0</v>
      </c>
      <c r="N430" s="2">
        <f>'Reels From Source (2)'!B426</f>
        <v>0</v>
      </c>
      <c r="O430" s="2">
        <f>'Reels From Source (2)'!C426</f>
        <v>0</v>
      </c>
      <c r="P430" s="2">
        <f>'Reels From Source (2)'!D426</f>
        <v>0</v>
      </c>
      <c r="Q430" s="2">
        <f>'Reels From Source (2)'!E426</f>
        <v>0</v>
      </c>
      <c r="R430" s="2">
        <f>'Reels From Source (2)'!F426</f>
        <v>0</v>
      </c>
      <c r="S430"/>
      <c r="T430"/>
      <c r="U430"/>
    </row>
    <row r="431" spans="12:22" x14ac:dyDescent="0.2">
      <c r="M431" s="2">
        <f>'Reels From Source (2)'!A427</f>
        <v>0</v>
      </c>
      <c r="N431" s="2">
        <f>'Reels From Source (2)'!B427</f>
        <v>0</v>
      </c>
      <c r="O431" s="2">
        <f>'Reels From Source (2)'!C427</f>
        <v>0</v>
      </c>
      <c r="P431" s="2">
        <f>'Reels From Source (2)'!D427</f>
        <v>0</v>
      </c>
      <c r="Q431" s="2">
        <f>'Reels From Source (2)'!E427</f>
        <v>0</v>
      </c>
      <c r="R431" s="2">
        <f>'Reels From Source (2)'!F427</f>
        <v>0</v>
      </c>
      <c r="S431"/>
      <c r="T431"/>
      <c r="U431"/>
    </row>
    <row r="432" spans="12:22" x14ac:dyDescent="0.2">
      <c r="M432" s="2">
        <f>'Reels From Source (2)'!A428</f>
        <v>0</v>
      </c>
      <c r="N432" s="2">
        <f>'Reels From Source (2)'!B428</f>
        <v>0</v>
      </c>
      <c r="O432" s="2">
        <f>'Reels From Source (2)'!C428</f>
        <v>0</v>
      </c>
      <c r="P432" s="2">
        <f>'Reels From Source (2)'!D428</f>
        <v>0</v>
      </c>
      <c r="Q432" s="2">
        <f>'Reels From Source (2)'!E428</f>
        <v>0</v>
      </c>
      <c r="R432" s="2">
        <f>'Reels From Source (2)'!F428</f>
        <v>0</v>
      </c>
      <c r="S432"/>
      <c r="T432"/>
      <c r="U432"/>
    </row>
    <row r="433" spans="13:21" x14ac:dyDescent="0.2">
      <c r="M433" s="2">
        <f>'Reels From Source (2)'!A429</f>
        <v>0</v>
      </c>
      <c r="N433" s="2">
        <f>'Reels From Source (2)'!B429</f>
        <v>0</v>
      </c>
      <c r="O433" s="2">
        <f>'Reels From Source (2)'!C429</f>
        <v>0</v>
      </c>
      <c r="P433" s="2">
        <f>'Reels From Source (2)'!D429</f>
        <v>0</v>
      </c>
      <c r="Q433" s="2">
        <f>'Reels From Source (2)'!E429</f>
        <v>0</v>
      </c>
      <c r="R433" s="2">
        <f>'Reels From Source (2)'!F429</f>
        <v>0</v>
      </c>
      <c r="S433"/>
      <c r="T433"/>
      <c r="U433"/>
    </row>
    <row r="434" spans="13:21" x14ac:dyDescent="0.2">
      <c r="M434" s="2">
        <f>'Reels From Source (2)'!A430</f>
        <v>0</v>
      </c>
      <c r="N434" s="2">
        <f>'Reels From Source (2)'!B430</f>
        <v>0</v>
      </c>
      <c r="O434" s="2">
        <f>'Reels From Source (2)'!C430</f>
        <v>0</v>
      </c>
      <c r="P434" s="2">
        <f>'Reels From Source (2)'!D430</f>
        <v>0</v>
      </c>
      <c r="Q434" s="2">
        <f>'Reels From Source (2)'!E430</f>
        <v>0</v>
      </c>
      <c r="R434" s="2">
        <f>'Reels From Source (2)'!F430</f>
        <v>0</v>
      </c>
      <c r="S434"/>
      <c r="T434"/>
      <c r="U434"/>
    </row>
    <row r="435" spans="13:21" x14ac:dyDescent="0.2">
      <c r="M435" s="2">
        <f>'Reels From Source (2)'!A431</f>
        <v>0</v>
      </c>
      <c r="N435" s="2">
        <f>'Reels From Source (2)'!B431</f>
        <v>0</v>
      </c>
      <c r="O435" s="2">
        <f>'Reels From Source (2)'!C431</f>
        <v>0</v>
      </c>
      <c r="P435" s="2">
        <f>'Reels From Source (2)'!D431</f>
        <v>0</v>
      </c>
      <c r="Q435" s="2">
        <f>'Reels From Source (2)'!E431</f>
        <v>0</v>
      </c>
      <c r="R435" s="2">
        <f>'Reels From Source (2)'!F431</f>
        <v>0</v>
      </c>
      <c r="S435"/>
      <c r="T435"/>
      <c r="U435"/>
    </row>
    <row r="436" spans="13:21" x14ac:dyDescent="0.2">
      <c r="M436" s="2">
        <f>'Reels From Source (2)'!A432</f>
        <v>0</v>
      </c>
      <c r="N436" s="2">
        <f>'Reels From Source (2)'!B432</f>
        <v>0</v>
      </c>
      <c r="O436" s="2">
        <f>'Reels From Source (2)'!C432</f>
        <v>0</v>
      </c>
      <c r="P436" s="2">
        <f>'Reels From Source (2)'!D432</f>
        <v>0</v>
      </c>
      <c r="Q436" s="2">
        <f>'Reels From Source (2)'!E432</f>
        <v>0</v>
      </c>
      <c r="R436" s="2">
        <f>'Reels From Source (2)'!F432</f>
        <v>0</v>
      </c>
      <c r="S436"/>
      <c r="T436"/>
      <c r="U436"/>
    </row>
    <row r="437" spans="13:21" x14ac:dyDescent="0.2">
      <c r="M437" s="2">
        <f>'Reels From Source (2)'!A433</f>
        <v>0</v>
      </c>
      <c r="N437" s="2">
        <f>'Reels From Source (2)'!B433</f>
        <v>0</v>
      </c>
      <c r="O437" s="2">
        <f>'Reels From Source (2)'!C433</f>
        <v>0</v>
      </c>
      <c r="P437" s="2">
        <f>'Reels From Source (2)'!D433</f>
        <v>0</v>
      </c>
      <c r="Q437" s="2">
        <f>'Reels From Source (2)'!E433</f>
        <v>0</v>
      </c>
      <c r="R437" s="2">
        <f>'Reels From Source (2)'!F433</f>
        <v>0</v>
      </c>
      <c r="S437"/>
      <c r="T437"/>
      <c r="U437"/>
    </row>
    <row r="438" spans="13:21" x14ac:dyDescent="0.2">
      <c r="M438" s="2">
        <f>'Reels From Source (2)'!A434</f>
        <v>0</v>
      </c>
      <c r="N438" s="2">
        <f>'Reels From Source (2)'!B434</f>
        <v>0</v>
      </c>
      <c r="O438" s="2">
        <f>'Reels From Source (2)'!C434</f>
        <v>0</v>
      </c>
      <c r="P438" s="2">
        <f>'Reels From Source (2)'!D434</f>
        <v>0</v>
      </c>
      <c r="Q438" s="2">
        <f>'Reels From Source (2)'!E434</f>
        <v>0</v>
      </c>
      <c r="R438" s="2">
        <f>'Reels From Source (2)'!F434</f>
        <v>0</v>
      </c>
      <c r="S438"/>
      <c r="T438"/>
      <c r="U438"/>
    </row>
    <row r="439" spans="13:21" x14ac:dyDescent="0.2">
      <c r="M439" s="2">
        <f>'Reels From Source (2)'!A435</f>
        <v>0</v>
      </c>
      <c r="N439" s="2">
        <f>'Reels From Source (2)'!B435</f>
        <v>0</v>
      </c>
      <c r="O439" s="2">
        <f>'Reels From Source (2)'!C435</f>
        <v>0</v>
      </c>
      <c r="P439" s="2">
        <f>'Reels From Source (2)'!D435</f>
        <v>0</v>
      </c>
      <c r="Q439" s="2">
        <f>'Reels From Source (2)'!E435</f>
        <v>0</v>
      </c>
      <c r="R439" s="2">
        <f>'Reels From Source (2)'!F435</f>
        <v>0</v>
      </c>
      <c r="S439"/>
      <c r="T439"/>
      <c r="U439"/>
    </row>
    <row r="440" spans="13:21" x14ac:dyDescent="0.2">
      <c r="M440" s="2">
        <f>'Reels From Source (2)'!A436</f>
        <v>0</v>
      </c>
      <c r="N440" s="2">
        <f>'Reels From Source (2)'!B436</f>
        <v>0</v>
      </c>
      <c r="O440" s="2">
        <f>'Reels From Source (2)'!C436</f>
        <v>0</v>
      </c>
      <c r="P440" s="2">
        <f>'Reels From Source (2)'!D436</f>
        <v>0</v>
      </c>
      <c r="Q440" s="2">
        <f>'Reels From Source (2)'!E436</f>
        <v>0</v>
      </c>
      <c r="R440" s="2">
        <f>'Reels From Source (2)'!F436</f>
        <v>0</v>
      </c>
      <c r="S440"/>
      <c r="T440"/>
      <c r="U440"/>
    </row>
    <row r="441" spans="13:21" x14ac:dyDescent="0.2">
      <c r="M441" s="2">
        <f>'Reels From Source (2)'!A437</f>
        <v>0</v>
      </c>
      <c r="N441" s="2">
        <f>'Reels From Source (2)'!B437</f>
        <v>0</v>
      </c>
      <c r="O441" s="2">
        <f>'Reels From Source (2)'!C437</f>
        <v>0</v>
      </c>
      <c r="P441" s="2">
        <f>'Reels From Source (2)'!D437</f>
        <v>0</v>
      </c>
      <c r="Q441" s="2">
        <f>'Reels From Source (2)'!E437</f>
        <v>0</v>
      </c>
      <c r="R441" s="2">
        <f>'Reels From Source (2)'!F437</f>
        <v>0</v>
      </c>
      <c r="S441"/>
      <c r="T441"/>
      <c r="U441"/>
    </row>
    <row r="442" spans="13:21" x14ac:dyDescent="0.2">
      <c r="M442" s="2">
        <f>'Reels From Source (2)'!A438</f>
        <v>0</v>
      </c>
      <c r="N442" s="2">
        <f>'Reels From Source (2)'!B438</f>
        <v>0</v>
      </c>
      <c r="O442" s="2">
        <f>'Reels From Source (2)'!C438</f>
        <v>0</v>
      </c>
      <c r="P442" s="2">
        <f>'Reels From Source (2)'!D438</f>
        <v>0</v>
      </c>
      <c r="Q442" s="2">
        <f>'Reels From Source (2)'!E438</f>
        <v>0</v>
      </c>
      <c r="R442" s="2">
        <f>'Reels From Source (2)'!F438</f>
        <v>0</v>
      </c>
      <c r="S442"/>
      <c r="T442"/>
      <c r="U442"/>
    </row>
    <row r="443" spans="13:21" x14ac:dyDescent="0.2">
      <c r="M443" s="2">
        <f>'Reels From Source (2)'!A439</f>
        <v>0</v>
      </c>
      <c r="N443" s="2">
        <f>'Reels From Source (2)'!B439</f>
        <v>0</v>
      </c>
      <c r="O443" s="2">
        <f>'Reels From Source (2)'!C439</f>
        <v>0</v>
      </c>
      <c r="P443" s="2">
        <f>'Reels From Source (2)'!D439</f>
        <v>0</v>
      </c>
      <c r="Q443" s="2">
        <f>'Reels From Source (2)'!E439</f>
        <v>0</v>
      </c>
      <c r="R443" s="2">
        <f>'Reels From Source (2)'!F439</f>
        <v>0</v>
      </c>
      <c r="S443"/>
      <c r="T443"/>
      <c r="U443"/>
    </row>
    <row r="444" spans="13:21" x14ac:dyDescent="0.2">
      <c r="M444" s="2">
        <f>'Reels From Source (2)'!A440</f>
        <v>0</v>
      </c>
      <c r="N444" s="2">
        <f>'Reels From Source (2)'!B440</f>
        <v>0</v>
      </c>
      <c r="O444" s="2">
        <f>'Reels From Source (2)'!C440</f>
        <v>0</v>
      </c>
      <c r="P444" s="2">
        <f>'Reels From Source (2)'!D440</f>
        <v>0</v>
      </c>
      <c r="Q444" s="2">
        <f>'Reels From Source (2)'!E440</f>
        <v>0</v>
      </c>
      <c r="R444" s="2">
        <f>'Reels From Source (2)'!F440</f>
        <v>0</v>
      </c>
      <c r="S444"/>
      <c r="T444"/>
      <c r="U444"/>
    </row>
    <row r="445" spans="13:21" x14ac:dyDescent="0.2">
      <c r="M445" s="2">
        <f>'Reels From Source (2)'!A441</f>
        <v>0</v>
      </c>
      <c r="N445" s="2">
        <f>'Reels From Source (2)'!B441</f>
        <v>0</v>
      </c>
      <c r="O445" s="2">
        <f>'Reels From Source (2)'!C441</f>
        <v>0</v>
      </c>
      <c r="P445" s="2">
        <f>'Reels From Source (2)'!D441</f>
        <v>0</v>
      </c>
      <c r="Q445" s="2">
        <f>'Reels From Source (2)'!E441</f>
        <v>0</v>
      </c>
      <c r="R445" s="2">
        <f>'Reels From Source (2)'!F441</f>
        <v>0</v>
      </c>
      <c r="S445"/>
      <c r="T445"/>
      <c r="U445"/>
    </row>
    <row r="446" spans="13:21" x14ac:dyDescent="0.2">
      <c r="M446" s="2">
        <f>'Reels From Source (2)'!A442</f>
        <v>0</v>
      </c>
      <c r="N446" s="2">
        <f>'Reels From Source (2)'!B442</f>
        <v>0</v>
      </c>
      <c r="O446" s="2">
        <f>'Reels From Source (2)'!C442</f>
        <v>0</v>
      </c>
      <c r="P446" s="2">
        <f>'Reels From Source (2)'!D442</f>
        <v>0</v>
      </c>
      <c r="Q446" s="2">
        <f>'Reels From Source (2)'!E442</f>
        <v>0</v>
      </c>
      <c r="R446" s="2">
        <f>'Reels From Source (2)'!F442</f>
        <v>0</v>
      </c>
      <c r="S446"/>
      <c r="T446"/>
      <c r="U446"/>
    </row>
    <row r="447" spans="13:21" x14ac:dyDescent="0.2">
      <c r="M447" s="2">
        <f>'Reels From Source (2)'!A443</f>
        <v>0</v>
      </c>
      <c r="N447" s="2">
        <f>'Reels From Source (2)'!B443</f>
        <v>0</v>
      </c>
      <c r="O447" s="2">
        <f>'Reels From Source (2)'!C443</f>
        <v>0</v>
      </c>
      <c r="P447" s="2">
        <f>'Reels From Source (2)'!D443</f>
        <v>0</v>
      </c>
      <c r="Q447" s="2">
        <f>'Reels From Source (2)'!E443</f>
        <v>0</v>
      </c>
      <c r="R447" s="2">
        <f>'Reels From Source (2)'!F443</f>
        <v>0</v>
      </c>
      <c r="S447"/>
      <c r="T447"/>
      <c r="U447"/>
    </row>
    <row r="448" spans="13:21" x14ac:dyDescent="0.2">
      <c r="M448" s="2">
        <f>'Reels From Source (2)'!A444</f>
        <v>0</v>
      </c>
      <c r="N448" s="2">
        <f>'Reels From Source (2)'!B444</f>
        <v>0</v>
      </c>
      <c r="O448" s="2">
        <f>'Reels From Source (2)'!C444</f>
        <v>0</v>
      </c>
      <c r="P448" s="2">
        <f>'Reels From Source (2)'!D444</f>
        <v>0</v>
      </c>
      <c r="Q448" s="2">
        <f>'Reels From Source (2)'!E444</f>
        <v>0</v>
      </c>
      <c r="R448" s="2">
        <f>'Reels From Source (2)'!F444</f>
        <v>0</v>
      </c>
      <c r="S448"/>
      <c r="T448"/>
      <c r="U448"/>
    </row>
    <row r="449" spans="12:22" x14ac:dyDescent="0.2">
      <c r="M449" s="2">
        <f>'Reels From Source (2)'!A445</f>
        <v>0</v>
      </c>
      <c r="N449" s="2">
        <f>'Reels From Source (2)'!B445</f>
        <v>0</v>
      </c>
      <c r="O449" s="2">
        <f>'Reels From Source (2)'!C445</f>
        <v>0</v>
      </c>
      <c r="P449" s="2">
        <f>'Reels From Source (2)'!D445</f>
        <v>0</v>
      </c>
      <c r="Q449" s="2">
        <f>'Reels From Source (2)'!E445</f>
        <v>0</v>
      </c>
      <c r="R449" s="2">
        <f>'Reels From Source (2)'!F445</f>
        <v>0</v>
      </c>
      <c r="S449"/>
      <c r="T449"/>
      <c r="U449"/>
    </row>
    <row r="450" spans="12:22" x14ac:dyDescent="0.2">
      <c r="M450" s="2">
        <f>'Reels From Source (2)'!A446</f>
        <v>0</v>
      </c>
      <c r="N450" s="2">
        <f>'Reels From Source (2)'!B446</f>
        <v>0</v>
      </c>
      <c r="O450" s="2">
        <f>'Reels From Source (2)'!C446</f>
        <v>0</v>
      </c>
      <c r="P450" s="2">
        <f>'Reels From Source (2)'!D446</f>
        <v>0</v>
      </c>
      <c r="Q450" s="2">
        <f>'Reels From Source (2)'!E446</f>
        <v>0</v>
      </c>
      <c r="R450" s="2">
        <f>'Reels From Source (2)'!F446</f>
        <v>0</v>
      </c>
      <c r="S450"/>
      <c r="T450"/>
      <c r="U450"/>
    </row>
    <row r="451" spans="12:22" x14ac:dyDescent="0.2">
      <c r="M451" s="2">
        <f>'Reels From Source (2)'!A447</f>
        <v>0</v>
      </c>
      <c r="N451" s="2">
        <f>'Reels From Source (2)'!B447</f>
        <v>0</v>
      </c>
      <c r="O451" s="2">
        <f>'Reels From Source (2)'!C447</f>
        <v>0</v>
      </c>
      <c r="P451" s="2">
        <f>'Reels From Source (2)'!D447</f>
        <v>0</v>
      </c>
      <c r="Q451" s="2">
        <f>'Reels From Source (2)'!E447</f>
        <v>0</v>
      </c>
      <c r="R451" s="2">
        <f>'Reels From Source (2)'!F447</f>
        <v>0</v>
      </c>
      <c r="S451"/>
      <c r="T451"/>
      <c r="U451"/>
    </row>
    <row r="452" spans="12:22" x14ac:dyDescent="0.2">
      <c r="M452" s="2">
        <f>'Reels From Source (2)'!A448</f>
        <v>0</v>
      </c>
      <c r="N452" s="2">
        <f>'Reels From Source (2)'!B448</f>
        <v>0</v>
      </c>
      <c r="O452" s="2">
        <f>'Reels From Source (2)'!C448</f>
        <v>0</v>
      </c>
      <c r="P452" s="2">
        <f>'Reels From Source (2)'!D448</f>
        <v>0</v>
      </c>
      <c r="Q452" s="2">
        <f>'Reels From Source (2)'!E448</f>
        <v>0</v>
      </c>
      <c r="R452" s="2">
        <f>'Reels From Source (2)'!F448</f>
        <v>0</v>
      </c>
      <c r="S452"/>
      <c r="T452"/>
      <c r="U452"/>
    </row>
    <row r="453" spans="12:22" x14ac:dyDescent="0.2">
      <c r="M453" s="2">
        <f>'Reels From Source (2)'!A449</f>
        <v>0</v>
      </c>
      <c r="N453" s="2">
        <f>'Reels From Source (2)'!B449</f>
        <v>0</v>
      </c>
      <c r="O453" s="2">
        <f>'Reels From Source (2)'!C449</f>
        <v>0</v>
      </c>
      <c r="P453" s="2">
        <f>'Reels From Source (2)'!D449</f>
        <v>0</v>
      </c>
      <c r="Q453" s="2">
        <f>'Reels From Source (2)'!E449</f>
        <v>0</v>
      </c>
      <c r="R453" s="2">
        <f>'Reels From Source (2)'!F449</f>
        <v>0</v>
      </c>
      <c r="S453"/>
      <c r="T453"/>
      <c r="U453"/>
      <c r="V453"/>
    </row>
    <row r="454" spans="12:22" x14ac:dyDescent="0.2">
      <c r="M454" s="2">
        <f>'Reels From Source (2)'!A450</f>
        <v>0</v>
      </c>
      <c r="N454" s="2">
        <f>'Reels From Source (2)'!B450</f>
        <v>0</v>
      </c>
      <c r="O454" s="2">
        <f>'Reels From Source (2)'!C450</f>
        <v>0</v>
      </c>
      <c r="P454" s="2">
        <f>'Reels From Source (2)'!D450</f>
        <v>0</v>
      </c>
      <c r="Q454" s="2">
        <f>'Reels From Source (2)'!E450</f>
        <v>0</v>
      </c>
      <c r="R454" s="2">
        <f>'Reels From Source (2)'!F450</f>
        <v>0</v>
      </c>
      <c r="S454"/>
      <c r="T454"/>
      <c r="U454"/>
    </row>
    <row r="455" spans="12:22" x14ac:dyDescent="0.2">
      <c r="L455" s="16" t="s">
        <v>44</v>
      </c>
      <c r="M455" s="2">
        <f>'Reels From Source (2)'!A451</f>
        <v>0</v>
      </c>
      <c r="N455" s="2">
        <f>'Reels From Source (2)'!B451</f>
        <v>0</v>
      </c>
      <c r="O455" s="2">
        <f>'Reels From Source (2)'!C451</f>
        <v>0</v>
      </c>
      <c r="P455" s="2">
        <f>'Reels From Source (2)'!D451</f>
        <v>0</v>
      </c>
      <c r="Q455" s="2">
        <f>'Reels From Source (2)'!E451</f>
        <v>0</v>
      </c>
      <c r="R455" s="2">
        <f>'Reels From Source (2)'!F451</f>
        <v>0</v>
      </c>
      <c r="S455"/>
      <c r="T455"/>
      <c r="U455"/>
    </row>
    <row r="456" spans="12:22" x14ac:dyDescent="0.2">
      <c r="M456" s="2">
        <f>'Reels From Source (2)'!A452</f>
        <v>0</v>
      </c>
      <c r="N456" s="2">
        <f>'Reels From Source (2)'!B452</f>
        <v>0</v>
      </c>
      <c r="O456" s="2">
        <f>'Reels From Source (2)'!C452</f>
        <v>0</v>
      </c>
      <c r="P456" s="2">
        <f>'Reels From Source (2)'!D452</f>
        <v>0</v>
      </c>
      <c r="Q456" s="2">
        <f>'Reels From Source (2)'!E452</f>
        <v>0</v>
      </c>
      <c r="R456" s="2">
        <f>'Reels From Source (2)'!F452</f>
        <v>0</v>
      </c>
      <c r="S456"/>
      <c r="T456"/>
      <c r="U456"/>
    </row>
    <row r="457" spans="12:22" x14ac:dyDescent="0.2">
      <c r="L457" s="32"/>
      <c r="M457" s="2">
        <f>'Reels From Source (2)'!A453</f>
        <v>0</v>
      </c>
      <c r="N457" s="2">
        <f>'Reels From Source (2)'!B453</f>
        <v>0</v>
      </c>
      <c r="O457" s="2">
        <f>'Reels From Source (2)'!C453</f>
        <v>0</v>
      </c>
      <c r="P457" s="2">
        <f>'Reels From Source (2)'!D453</f>
        <v>0</v>
      </c>
      <c r="Q457" s="2">
        <f>'Reels From Source (2)'!E453</f>
        <v>0</v>
      </c>
      <c r="R457" s="2">
        <f>'Reels From Source (2)'!F453</f>
        <v>0</v>
      </c>
      <c r="S457"/>
      <c r="T457"/>
      <c r="U457"/>
    </row>
    <row r="458" spans="12:22" x14ac:dyDescent="0.2">
      <c r="L458" s="32"/>
      <c r="M458" s="2">
        <f>'Reels From Source (2)'!A454</f>
        <v>0</v>
      </c>
      <c r="N458" s="2">
        <f>'Reels From Source (2)'!B454</f>
        <v>0</v>
      </c>
      <c r="O458" s="2">
        <f>'Reels From Source (2)'!C454</f>
        <v>0</v>
      </c>
      <c r="P458" s="2">
        <f>'Reels From Source (2)'!D454</f>
        <v>0</v>
      </c>
      <c r="Q458" s="2">
        <f>'Reels From Source (2)'!E454</f>
        <v>0</v>
      </c>
      <c r="R458" s="2">
        <f>'Reels From Source (2)'!F454</f>
        <v>0</v>
      </c>
      <c r="S458"/>
      <c r="T458"/>
      <c r="U458"/>
    </row>
    <row r="459" spans="12:22" x14ac:dyDescent="0.2">
      <c r="L459" s="32"/>
      <c r="M459" s="2">
        <f>'Reels From Source (2)'!A455</f>
        <v>0</v>
      </c>
      <c r="N459" s="2">
        <f>'Reels From Source (2)'!B455</f>
        <v>0</v>
      </c>
      <c r="O459" s="2">
        <f>'Reels From Source (2)'!C455</f>
        <v>0</v>
      </c>
      <c r="P459" s="2">
        <f>'Reels From Source (2)'!D455</f>
        <v>0</v>
      </c>
      <c r="Q459" s="2">
        <f>'Reels From Source (2)'!E455</f>
        <v>0</v>
      </c>
      <c r="R459" s="2">
        <f>'Reels From Source (2)'!F455</f>
        <v>0</v>
      </c>
      <c r="S459"/>
      <c r="T459"/>
      <c r="U459"/>
    </row>
    <row r="460" spans="12:22" x14ac:dyDescent="0.2">
      <c r="L460" s="32"/>
      <c r="M460" s="2">
        <f>'Reels From Source (2)'!A456</f>
        <v>0</v>
      </c>
      <c r="N460" s="2">
        <f>'Reels From Source (2)'!B456</f>
        <v>0</v>
      </c>
      <c r="O460" s="2">
        <f>'Reels From Source (2)'!C456</f>
        <v>0</v>
      </c>
      <c r="P460" s="2">
        <f>'Reels From Source (2)'!D456</f>
        <v>0</v>
      </c>
      <c r="Q460" s="2">
        <f>'Reels From Source (2)'!E456</f>
        <v>0</v>
      </c>
      <c r="R460" s="2">
        <f>'Reels From Source (2)'!F456</f>
        <v>0</v>
      </c>
      <c r="S460"/>
      <c r="T460"/>
      <c r="U460"/>
    </row>
    <row r="461" spans="12:22" x14ac:dyDescent="0.2">
      <c r="L461" s="32"/>
      <c r="M461" s="2">
        <f>'Reels From Source (2)'!A457</f>
        <v>0</v>
      </c>
      <c r="N461" s="2">
        <f>'Reels From Source (2)'!B457</f>
        <v>0</v>
      </c>
      <c r="O461" s="2">
        <f>'Reels From Source (2)'!C457</f>
        <v>0</v>
      </c>
      <c r="P461" s="2">
        <f>'Reels From Source (2)'!D457</f>
        <v>0</v>
      </c>
      <c r="Q461" s="2">
        <f>'Reels From Source (2)'!E457</f>
        <v>0</v>
      </c>
      <c r="R461" s="2">
        <f>'Reels From Source (2)'!F457</f>
        <v>0</v>
      </c>
      <c r="S461"/>
      <c r="T461"/>
      <c r="U461"/>
    </row>
    <row r="462" spans="12:22" x14ac:dyDescent="0.2">
      <c r="L462" s="32"/>
      <c r="M462" s="2">
        <f>'Reels From Source (2)'!A458</f>
        <v>0</v>
      </c>
      <c r="N462" s="2">
        <f>'Reels From Source (2)'!B458</f>
        <v>0</v>
      </c>
      <c r="O462" s="2">
        <f>'Reels From Source (2)'!C458</f>
        <v>0</v>
      </c>
      <c r="P462" s="2">
        <f>'Reels From Source (2)'!D458</f>
        <v>0</v>
      </c>
      <c r="Q462" s="2">
        <f>'Reels From Source (2)'!E458</f>
        <v>0</v>
      </c>
      <c r="R462" s="2">
        <f>'Reels From Source (2)'!F458</f>
        <v>0</v>
      </c>
      <c r="S462"/>
      <c r="T462"/>
      <c r="U462"/>
    </row>
    <row r="463" spans="12:22" x14ac:dyDescent="0.2">
      <c r="L463" s="32"/>
      <c r="M463" s="2">
        <f>'Reels From Source (2)'!A459</f>
        <v>0</v>
      </c>
      <c r="N463" s="2">
        <f>'Reels From Source (2)'!B459</f>
        <v>0</v>
      </c>
      <c r="O463" s="2">
        <f>'Reels From Source (2)'!C459</f>
        <v>0</v>
      </c>
      <c r="P463" s="2">
        <f>'Reels From Source (2)'!D459</f>
        <v>0</v>
      </c>
      <c r="Q463" s="2">
        <f>'Reels From Source (2)'!E459</f>
        <v>0</v>
      </c>
      <c r="R463" s="2">
        <f>'Reels From Source (2)'!F459</f>
        <v>0</v>
      </c>
      <c r="S463"/>
      <c r="T463"/>
      <c r="U463"/>
    </row>
    <row r="464" spans="12:22" x14ac:dyDescent="0.2">
      <c r="L464" s="32"/>
      <c r="M464" s="2">
        <f>'Reels From Source (2)'!A460</f>
        <v>0</v>
      </c>
      <c r="N464" s="2">
        <f>'Reels From Source (2)'!B460</f>
        <v>0</v>
      </c>
      <c r="O464" s="2">
        <f>'Reels From Source (2)'!C460</f>
        <v>0</v>
      </c>
      <c r="P464" s="2">
        <f>'Reels From Source (2)'!D460</f>
        <v>0</v>
      </c>
      <c r="Q464" s="2">
        <f>'Reels From Source (2)'!E460</f>
        <v>0</v>
      </c>
      <c r="R464" s="2">
        <f>'Reels From Source (2)'!F460</f>
        <v>0</v>
      </c>
      <c r="S464"/>
      <c r="T464"/>
      <c r="U464"/>
    </row>
    <row r="465" spans="12:22" x14ac:dyDescent="0.2">
      <c r="L465" s="32"/>
      <c r="M465" s="2">
        <f>'Reels From Source (2)'!A461</f>
        <v>0</v>
      </c>
      <c r="N465" s="2">
        <f>'Reels From Source (2)'!B461</f>
        <v>0</v>
      </c>
      <c r="O465" s="2">
        <f>'Reels From Source (2)'!C461</f>
        <v>0</v>
      </c>
      <c r="P465" s="2">
        <f>'Reels From Source (2)'!D461</f>
        <v>0</v>
      </c>
      <c r="Q465" s="2">
        <f>'Reels From Source (2)'!E461</f>
        <v>0</v>
      </c>
      <c r="R465" s="2">
        <f>'Reels From Source (2)'!F461</f>
        <v>0</v>
      </c>
      <c r="S465"/>
      <c r="T465"/>
      <c r="U465"/>
    </row>
    <row r="466" spans="12:22" x14ac:dyDescent="0.2">
      <c r="L466" s="32"/>
      <c r="M466" s="2">
        <f>'Reels From Source (2)'!A462</f>
        <v>0</v>
      </c>
      <c r="N466" s="2">
        <f>'Reels From Source (2)'!B462</f>
        <v>0</v>
      </c>
      <c r="O466" s="2">
        <f>'Reels From Source (2)'!C462</f>
        <v>0</v>
      </c>
      <c r="P466" s="2">
        <f>'Reels From Source (2)'!D462</f>
        <v>0</v>
      </c>
      <c r="Q466" s="2">
        <f>'Reels From Source (2)'!E462</f>
        <v>0</v>
      </c>
      <c r="R466" s="2">
        <f>'Reels From Source (2)'!F462</f>
        <v>0</v>
      </c>
      <c r="S466"/>
      <c r="T466"/>
      <c r="U466"/>
    </row>
    <row r="467" spans="12:22" x14ac:dyDescent="0.2">
      <c r="L467" s="32"/>
      <c r="M467" s="2">
        <f>'Reels From Source (2)'!A463</f>
        <v>0</v>
      </c>
      <c r="N467" s="2">
        <f>'Reels From Source (2)'!B463</f>
        <v>0</v>
      </c>
      <c r="O467" s="2">
        <f>'Reels From Source (2)'!C463</f>
        <v>0</v>
      </c>
      <c r="P467" s="2">
        <f>'Reels From Source (2)'!D463</f>
        <v>0</v>
      </c>
      <c r="Q467" s="2">
        <f>'Reels From Source (2)'!E463</f>
        <v>0</v>
      </c>
      <c r="R467" s="2">
        <f>'Reels From Source (2)'!F463</f>
        <v>0</v>
      </c>
      <c r="S467"/>
      <c r="T467"/>
      <c r="U467"/>
    </row>
    <row r="468" spans="12:22" x14ac:dyDescent="0.2">
      <c r="L468" s="32"/>
      <c r="M468" s="2">
        <f>'Reels From Source (2)'!A464</f>
        <v>0</v>
      </c>
      <c r="N468" s="2">
        <f>'Reels From Source (2)'!B464</f>
        <v>0</v>
      </c>
      <c r="O468" s="2">
        <f>'Reels From Source (2)'!C464</f>
        <v>0</v>
      </c>
      <c r="P468" s="2">
        <f>'Reels From Source (2)'!D464</f>
        <v>0</v>
      </c>
      <c r="Q468" s="2">
        <f>'Reels From Source (2)'!E464</f>
        <v>0</v>
      </c>
      <c r="R468" s="2">
        <f>'Reels From Source (2)'!F464</f>
        <v>0</v>
      </c>
      <c r="S468"/>
      <c r="T468"/>
      <c r="U468"/>
    </row>
    <row r="469" spans="12:22" x14ac:dyDescent="0.2">
      <c r="M469" s="2">
        <f>'Reels From Source (2)'!A465</f>
        <v>0</v>
      </c>
      <c r="N469" s="2">
        <f>'Reels From Source (2)'!B465</f>
        <v>0</v>
      </c>
      <c r="O469" s="2">
        <f>'Reels From Source (2)'!C465</f>
        <v>0</v>
      </c>
      <c r="P469" s="2">
        <f>'Reels From Source (2)'!D465</f>
        <v>0</v>
      </c>
      <c r="Q469" s="2">
        <f>'Reels From Source (2)'!E465</f>
        <v>0</v>
      </c>
      <c r="R469" s="2">
        <f>'Reels From Source (2)'!F465</f>
        <v>0</v>
      </c>
      <c r="S469"/>
      <c r="T469"/>
      <c r="U469"/>
    </row>
    <row r="470" spans="12:22" x14ac:dyDescent="0.2">
      <c r="M470" s="2">
        <f>'Reels From Source (2)'!A466</f>
        <v>0</v>
      </c>
      <c r="N470" s="2">
        <f>'Reels From Source (2)'!B466</f>
        <v>0</v>
      </c>
      <c r="O470" s="2">
        <f>'Reels From Source (2)'!C466</f>
        <v>0</v>
      </c>
      <c r="P470" s="2">
        <f>'Reels From Source (2)'!D466</f>
        <v>0</v>
      </c>
      <c r="Q470" s="2">
        <f>'Reels From Source (2)'!E466</f>
        <v>0</v>
      </c>
      <c r="R470" s="2">
        <f>'Reels From Source (2)'!F466</f>
        <v>0</v>
      </c>
      <c r="S470"/>
      <c r="T470"/>
      <c r="U470"/>
    </row>
    <row r="471" spans="12:22" x14ac:dyDescent="0.2">
      <c r="M471" s="2">
        <f>'Reels From Source (2)'!A467</f>
        <v>0</v>
      </c>
      <c r="N471" s="2">
        <f>'Reels From Source (2)'!B467</f>
        <v>0</v>
      </c>
      <c r="O471" s="2">
        <f>'Reels From Source (2)'!C467</f>
        <v>0</v>
      </c>
      <c r="P471" s="2">
        <f>'Reels From Source (2)'!D467</f>
        <v>0</v>
      </c>
      <c r="Q471" s="2">
        <f>'Reels From Source (2)'!E467</f>
        <v>0</v>
      </c>
      <c r="R471" s="2">
        <f>'Reels From Source (2)'!F467</f>
        <v>0</v>
      </c>
      <c r="S471"/>
      <c r="T471"/>
      <c r="U471"/>
    </row>
    <row r="472" spans="12:22" x14ac:dyDescent="0.2">
      <c r="M472" s="2">
        <f>'Reels From Source (2)'!A468</f>
        <v>0</v>
      </c>
      <c r="N472" s="2">
        <f>'Reels From Source (2)'!B468</f>
        <v>0</v>
      </c>
      <c r="O472" s="2">
        <f>'Reels From Source (2)'!C468</f>
        <v>0</v>
      </c>
      <c r="P472" s="2">
        <f>'Reels From Source (2)'!D468</f>
        <v>0</v>
      </c>
      <c r="Q472" s="2">
        <f>'Reels From Source (2)'!E468</f>
        <v>0</v>
      </c>
      <c r="R472" s="2">
        <f>'Reels From Source (2)'!F468</f>
        <v>0</v>
      </c>
      <c r="S472"/>
      <c r="T472"/>
      <c r="U472"/>
    </row>
    <row r="473" spans="12:22" x14ac:dyDescent="0.2">
      <c r="M473" s="2">
        <f>'Reels From Source (2)'!A469</f>
        <v>0</v>
      </c>
      <c r="N473" s="2">
        <f>'Reels From Source (2)'!B469</f>
        <v>0</v>
      </c>
      <c r="O473" s="2">
        <f>'Reels From Source (2)'!C469</f>
        <v>0</v>
      </c>
      <c r="P473" s="2">
        <f>'Reels From Source (2)'!D469</f>
        <v>0</v>
      </c>
      <c r="Q473" s="2">
        <f>'Reels From Source (2)'!E469</f>
        <v>0</v>
      </c>
      <c r="R473" s="2">
        <f>'Reels From Source (2)'!F469</f>
        <v>0</v>
      </c>
      <c r="S473"/>
      <c r="T473"/>
      <c r="U473"/>
    </row>
    <row r="474" spans="12:22" x14ac:dyDescent="0.2">
      <c r="M474" s="2">
        <f>'Reels From Source (2)'!A470</f>
        <v>0</v>
      </c>
      <c r="N474" s="2">
        <f>'Reels From Source (2)'!B470</f>
        <v>0</v>
      </c>
      <c r="O474" s="2">
        <f>'Reels From Source (2)'!C470</f>
        <v>0</v>
      </c>
      <c r="P474" s="2">
        <f>'Reels From Source (2)'!D470</f>
        <v>0</v>
      </c>
      <c r="Q474" s="2">
        <f>'Reels From Source (2)'!E470</f>
        <v>0</v>
      </c>
      <c r="R474" s="2">
        <f>'Reels From Source (2)'!F470</f>
        <v>0</v>
      </c>
      <c r="S474"/>
      <c r="T474"/>
      <c r="U474"/>
    </row>
    <row r="475" spans="12:22" x14ac:dyDescent="0.2">
      <c r="M475" s="2">
        <f>'Reels From Source (2)'!A471</f>
        <v>0</v>
      </c>
      <c r="N475" s="2">
        <f>'Reels From Source (2)'!B471</f>
        <v>0</v>
      </c>
      <c r="O475" s="2">
        <f>'Reels From Source (2)'!C471</f>
        <v>0</v>
      </c>
      <c r="P475" s="2">
        <f>'Reels From Source (2)'!D471</f>
        <v>0</v>
      </c>
      <c r="Q475" s="2">
        <f>'Reels From Source (2)'!E471</f>
        <v>0</v>
      </c>
      <c r="R475" s="2">
        <f>'Reels From Source (2)'!F471</f>
        <v>0</v>
      </c>
      <c r="S475"/>
      <c r="T475"/>
      <c r="U475"/>
    </row>
    <row r="476" spans="12:22" x14ac:dyDescent="0.2">
      <c r="M476" s="2">
        <f>'Reels From Source (2)'!A472</f>
        <v>0</v>
      </c>
      <c r="N476" s="2">
        <f>'Reels From Source (2)'!B472</f>
        <v>0</v>
      </c>
      <c r="O476" s="2">
        <f>'Reels From Source (2)'!C472</f>
        <v>0</v>
      </c>
      <c r="P476" s="2">
        <f>'Reels From Source (2)'!D472</f>
        <v>0</v>
      </c>
      <c r="Q476" s="2">
        <f>'Reels From Source (2)'!E472</f>
        <v>0</v>
      </c>
      <c r="R476" s="2">
        <f>'Reels From Source (2)'!F472</f>
        <v>0</v>
      </c>
      <c r="S476"/>
      <c r="T476"/>
      <c r="U476"/>
      <c r="V476"/>
    </row>
    <row r="477" spans="12:22" x14ac:dyDescent="0.2">
      <c r="M477" s="2">
        <f>'Reels From Source (2)'!A473</f>
        <v>0</v>
      </c>
      <c r="N477" s="2">
        <f>'Reels From Source (2)'!B473</f>
        <v>0</v>
      </c>
      <c r="O477" s="2">
        <f>'Reels From Source (2)'!C473</f>
        <v>0</v>
      </c>
      <c r="P477" s="2">
        <f>'Reels From Source (2)'!D473</f>
        <v>0</v>
      </c>
      <c r="Q477" s="2">
        <f>'Reels From Source (2)'!E473</f>
        <v>0</v>
      </c>
      <c r="R477" s="2">
        <f>'Reels From Source (2)'!F473</f>
        <v>0</v>
      </c>
      <c r="S477"/>
      <c r="T477"/>
      <c r="U477"/>
      <c r="V477"/>
    </row>
    <row r="478" spans="12:22" x14ac:dyDescent="0.2">
      <c r="M478" s="2">
        <f>'Reels From Source (2)'!A474</f>
        <v>0</v>
      </c>
      <c r="N478" s="2">
        <f>'Reels From Source (2)'!B474</f>
        <v>0</v>
      </c>
      <c r="O478" s="2">
        <f>'Reels From Source (2)'!C474</f>
        <v>0</v>
      </c>
      <c r="P478" s="2">
        <f>'Reels From Source (2)'!D474</f>
        <v>0</v>
      </c>
      <c r="Q478" s="2">
        <f>'Reels From Source (2)'!E474</f>
        <v>0</v>
      </c>
      <c r="R478" s="2">
        <f>'Reels From Source (2)'!F474</f>
        <v>0</v>
      </c>
      <c r="S478"/>
      <c r="T478"/>
      <c r="U478"/>
      <c r="V478"/>
    </row>
    <row r="479" spans="12:22" x14ac:dyDescent="0.2">
      <c r="M479" s="2">
        <f>'Reels From Source (2)'!A475</f>
        <v>0</v>
      </c>
      <c r="N479" s="2">
        <f>'Reels From Source (2)'!B475</f>
        <v>0</v>
      </c>
      <c r="O479" s="2">
        <f>'Reels From Source (2)'!C475</f>
        <v>0</v>
      </c>
      <c r="P479" s="2">
        <f>'Reels From Source (2)'!D475</f>
        <v>0</v>
      </c>
      <c r="Q479" s="2">
        <f>'Reels From Source (2)'!E475</f>
        <v>0</v>
      </c>
      <c r="R479" s="2">
        <f>'Reels From Source (2)'!F475</f>
        <v>0</v>
      </c>
      <c r="S479"/>
      <c r="T479"/>
      <c r="U479"/>
      <c r="V479"/>
    </row>
    <row r="480" spans="12:22" x14ac:dyDescent="0.2">
      <c r="L480" s="16" t="s">
        <v>45</v>
      </c>
      <c r="M480" s="2">
        <f>'Reels From Source (2)'!A476</f>
        <v>0</v>
      </c>
      <c r="N480" s="2">
        <f>'Reels From Source (2)'!B476</f>
        <v>0</v>
      </c>
      <c r="O480" s="2">
        <f>'Reels From Source (2)'!C476</f>
        <v>0</v>
      </c>
      <c r="P480" s="2">
        <f>'Reels From Source (2)'!D476</f>
        <v>0</v>
      </c>
      <c r="Q480" s="2">
        <f>'Reels From Source (2)'!E476</f>
        <v>0</v>
      </c>
      <c r="R480" s="2">
        <f>'Reels From Source (2)'!F476</f>
        <v>0</v>
      </c>
      <c r="S480"/>
      <c r="T480"/>
      <c r="U480"/>
      <c r="V480"/>
    </row>
    <row r="481" spans="13:22" x14ac:dyDescent="0.2">
      <c r="M481"/>
      <c r="N481"/>
      <c r="O481"/>
      <c r="P481"/>
      <c r="Q481"/>
      <c r="R481"/>
      <c r="S481"/>
      <c r="T481"/>
      <c r="U481"/>
      <c r="V481"/>
    </row>
    <row r="482" spans="13:22" x14ac:dyDescent="0.2">
      <c r="M482"/>
      <c r="N482"/>
      <c r="O482"/>
      <c r="P482"/>
      <c r="Q482"/>
      <c r="R482"/>
      <c r="S482"/>
      <c r="T482"/>
      <c r="U482"/>
      <c r="V482"/>
    </row>
    <row r="483" spans="13:22" x14ac:dyDescent="0.2">
      <c r="M483"/>
      <c r="N483"/>
      <c r="O483"/>
      <c r="P483"/>
      <c r="Q483"/>
      <c r="R483"/>
      <c r="S483"/>
      <c r="T483"/>
      <c r="U483"/>
      <c r="V483"/>
    </row>
    <row r="484" spans="13:22" x14ac:dyDescent="0.2">
      <c r="M484"/>
      <c r="N484"/>
      <c r="O484"/>
      <c r="P484"/>
      <c r="Q484"/>
      <c r="R484"/>
      <c r="S484"/>
      <c r="T484"/>
      <c r="U484"/>
      <c r="V484"/>
    </row>
    <row r="485" spans="13:22" x14ac:dyDescent="0.2">
      <c r="M485"/>
      <c r="N485"/>
      <c r="O485"/>
      <c r="P485"/>
      <c r="Q485"/>
      <c r="R485"/>
      <c r="S485"/>
      <c r="T485"/>
      <c r="U485"/>
      <c r="V485"/>
    </row>
    <row r="486" spans="13:22" x14ac:dyDescent="0.2">
      <c r="M486"/>
      <c r="N486"/>
      <c r="O486"/>
      <c r="P486"/>
      <c r="Q486"/>
      <c r="R486"/>
      <c r="S486"/>
      <c r="T486"/>
      <c r="U486"/>
      <c r="V486"/>
    </row>
    <row r="487" spans="13:22" x14ac:dyDescent="0.2">
      <c r="M487"/>
      <c r="N487"/>
      <c r="O487"/>
      <c r="P487"/>
      <c r="Q487"/>
      <c r="R487"/>
      <c r="S487"/>
      <c r="T487"/>
      <c r="U487"/>
      <c r="V487"/>
    </row>
    <row r="488" spans="13:22" x14ac:dyDescent="0.2">
      <c r="M488"/>
      <c r="N488"/>
      <c r="O488"/>
      <c r="P488"/>
      <c r="Q488"/>
      <c r="R488"/>
      <c r="S488"/>
      <c r="T488"/>
      <c r="U488"/>
      <c r="V488"/>
    </row>
    <row r="489" spans="13:22" x14ac:dyDescent="0.2">
      <c r="M489"/>
      <c r="N489"/>
      <c r="O489"/>
      <c r="P489"/>
      <c r="Q489"/>
      <c r="R489"/>
      <c r="S489"/>
      <c r="T489"/>
      <c r="U489"/>
      <c r="V489"/>
    </row>
    <row r="490" spans="13:22" x14ac:dyDescent="0.2">
      <c r="M490"/>
      <c r="N490"/>
      <c r="O490"/>
      <c r="P490"/>
      <c r="Q490"/>
      <c r="R490"/>
      <c r="S490"/>
      <c r="T490"/>
      <c r="U490"/>
      <c r="V490"/>
    </row>
    <row r="491" spans="13:22" x14ac:dyDescent="0.2">
      <c r="M491"/>
      <c r="N491"/>
      <c r="O491"/>
      <c r="P491"/>
      <c r="Q491"/>
      <c r="R491"/>
      <c r="S491"/>
      <c r="T491"/>
      <c r="U491"/>
      <c r="V491"/>
    </row>
    <row r="492" spans="13:22" x14ac:dyDescent="0.2">
      <c r="M492"/>
      <c r="N492"/>
      <c r="O492"/>
      <c r="P492"/>
      <c r="Q492"/>
      <c r="R492"/>
      <c r="S492"/>
      <c r="T492"/>
      <c r="U492"/>
      <c r="V492"/>
    </row>
    <row r="493" spans="13:22" x14ac:dyDescent="0.2">
      <c r="M493"/>
      <c r="N493"/>
      <c r="O493"/>
      <c r="P493"/>
      <c r="Q493"/>
      <c r="R493"/>
      <c r="S493"/>
      <c r="T493"/>
      <c r="U493"/>
      <c r="V493"/>
    </row>
    <row r="494" spans="13:22" x14ac:dyDescent="0.2">
      <c r="M494"/>
      <c r="N494"/>
      <c r="O494"/>
      <c r="P494"/>
      <c r="Q494"/>
      <c r="R494"/>
      <c r="S494"/>
      <c r="T494"/>
      <c r="U494"/>
      <c r="V494"/>
    </row>
    <row r="495" spans="13:22" x14ac:dyDescent="0.2">
      <c r="M495"/>
      <c r="N495"/>
      <c r="O495"/>
      <c r="P495"/>
      <c r="Q495"/>
      <c r="R495"/>
      <c r="S495"/>
      <c r="T495"/>
      <c r="U495"/>
      <c r="V495"/>
    </row>
    <row r="496" spans="13:22" x14ac:dyDescent="0.2">
      <c r="M496"/>
      <c r="N496"/>
      <c r="O496"/>
      <c r="P496"/>
      <c r="Q496"/>
      <c r="R496"/>
      <c r="S496"/>
      <c r="T496"/>
      <c r="U496"/>
      <c r="V496"/>
    </row>
    <row r="497" spans="12:22" x14ac:dyDescent="0.2">
      <c r="M497"/>
      <c r="N497"/>
      <c r="O497"/>
      <c r="P497"/>
      <c r="Q497"/>
      <c r="R497"/>
      <c r="S497"/>
      <c r="T497"/>
      <c r="U497"/>
      <c r="V497"/>
    </row>
    <row r="498" spans="12:22" x14ac:dyDescent="0.2">
      <c r="M498"/>
      <c r="N498"/>
      <c r="O498"/>
      <c r="P498"/>
      <c r="Q498"/>
      <c r="R498"/>
      <c r="S498"/>
      <c r="T498"/>
      <c r="U498"/>
      <c r="V498"/>
    </row>
    <row r="499" spans="12:22" x14ac:dyDescent="0.2">
      <c r="M499"/>
      <c r="N499"/>
      <c r="O499"/>
      <c r="P499"/>
      <c r="Q499"/>
      <c r="R499"/>
      <c r="S499"/>
      <c r="T499"/>
      <c r="U499"/>
      <c r="V499"/>
    </row>
    <row r="500" spans="12:22" x14ac:dyDescent="0.2">
      <c r="M500"/>
      <c r="N500"/>
      <c r="O500"/>
      <c r="P500"/>
      <c r="Q500"/>
      <c r="R500"/>
      <c r="S500"/>
      <c r="T500"/>
      <c r="U500"/>
      <c r="V500"/>
    </row>
    <row r="501" spans="12:22" x14ac:dyDescent="0.2">
      <c r="M501"/>
      <c r="N501"/>
      <c r="O501"/>
      <c r="P501"/>
      <c r="Q501"/>
      <c r="R501"/>
      <c r="S501"/>
      <c r="T501"/>
      <c r="U501"/>
      <c r="V501"/>
    </row>
    <row r="502" spans="12:22" x14ac:dyDescent="0.2">
      <c r="M502"/>
      <c r="N502"/>
      <c r="O502"/>
      <c r="P502"/>
      <c r="Q502"/>
      <c r="R502"/>
      <c r="S502"/>
      <c r="T502"/>
      <c r="U502"/>
      <c r="V502"/>
    </row>
    <row r="503" spans="12:22" x14ac:dyDescent="0.2">
      <c r="M503"/>
      <c r="N503"/>
      <c r="O503"/>
      <c r="P503"/>
      <c r="Q503"/>
      <c r="R503"/>
      <c r="S503"/>
      <c r="T503"/>
      <c r="U503"/>
      <c r="V503"/>
    </row>
    <row r="504" spans="12:22" x14ac:dyDescent="0.2">
      <c r="M504"/>
      <c r="N504"/>
      <c r="O504"/>
      <c r="P504"/>
      <c r="Q504"/>
      <c r="R504"/>
      <c r="S504"/>
      <c r="T504"/>
      <c r="U504"/>
      <c r="V504"/>
    </row>
    <row r="505" spans="12:22" x14ac:dyDescent="0.2">
      <c r="L505" s="16" t="s">
        <v>46</v>
      </c>
      <c r="M505"/>
      <c r="N505"/>
      <c r="O505"/>
      <c r="P505"/>
      <c r="Q505"/>
      <c r="R505"/>
      <c r="S505"/>
      <c r="T505"/>
      <c r="U505"/>
      <c r="V505"/>
    </row>
    <row r="506" spans="12:22" x14ac:dyDescent="0.2">
      <c r="M506"/>
      <c r="N506"/>
      <c r="O506"/>
      <c r="P506"/>
      <c r="Q506"/>
      <c r="R506"/>
      <c r="S506"/>
      <c r="T506"/>
      <c r="U506"/>
      <c r="V506"/>
    </row>
    <row r="507" spans="12:22" x14ac:dyDescent="0.2">
      <c r="L507" s="32"/>
      <c r="M507"/>
      <c r="N507"/>
      <c r="O507"/>
      <c r="P507"/>
      <c r="Q507"/>
      <c r="R507"/>
      <c r="S507"/>
      <c r="T507"/>
      <c r="U507"/>
      <c r="V507"/>
    </row>
    <row r="508" spans="12:22" x14ac:dyDescent="0.2">
      <c r="L508" s="32"/>
      <c r="M508"/>
      <c r="N508"/>
      <c r="O508"/>
      <c r="P508"/>
      <c r="Q508"/>
      <c r="R508"/>
      <c r="S508"/>
      <c r="T508"/>
      <c r="U508"/>
      <c r="V508"/>
    </row>
    <row r="509" spans="12:22" x14ac:dyDescent="0.2">
      <c r="L509" s="32"/>
      <c r="M509"/>
      <c r="N509"/>
      <c r="O509"/>
      <c r="P509"/>
      <c r="Q509"/>
      <c r="R509"/>
      <c r="S509"/>
      <c r="T509"/>
      <c r="U509"/>
      <c r="V509"/>
    </row>
    <row r="510" spans="12:22" x14ac:dyDescent="0.2">
      <c r="L510" s="32"/>
      <c r="M510"/>
      <c r="N510"/>
      <c r="O510"/>
      <c r="P510"/>
      <c r="Q510"/>
      <c r="R510"/>
      <c r="S510"/>
      <c r="T510"/>
      <c r="U510"/>
      <c r="V510"/>
    </row>
    <row r="511" spans="12:22" x14ac:dyDescent="0.2">
      <c r="L511" s="32"/>
      <c r="M511"/>
      <c r="N511"/>
      <c r="O511"/>
      <c r="P511"/>
      <c r="Q511"/>
      <c r="R511"/>
      <c r="S511"/>
      <c r="T511"/>
      <c r="U511"/>
      <c r="V511"/>
    </row>
    <row r="512" spans="12:22" x14ac:dyDescent="0.2">
      <c r="L512" s="32"/>
      <c r="M512"/>
      <c r="N512"/>
      <c r="O512"/>
      <c r="P512"/>
      <c r="Q512"/>
      <c r="R512"/>
      <c r="S512"/>
      <c r="T512"/>
      <c r="U512"/>
      <c r="V512"/>
    </row>
    <row r="513" spans="12:22" x14ac:dyDescent="0.2">
      <c r="L513" s="32"/>
      <c r="M513"/>
      <c r="N513"/>
      <c r="O513"/>
      <c r="P513"/>
      <c r="Q513"/>
      <c r="R513"/>
      <c r="S513"/>
      <c r="T513"/>
      <c r="U513"/>
      <c r="V513"/>
    </row>
    <row r="514" spans="12:22" x14ac:dyDescent="0.2">
      <c r="L514" s="32"/>
      <c r="M514"/>
      <c r="N514"/>
      <c r="O514"/>
      <c r="P514"/>
      <c r="Q514"/>
      <c r="R514"/>
      <c r="S514"/>
      <c r="T514"/>
      <c r="U514"/>
      <c r="V514"/>
    </row>
    <row r="515" spans="12:22" x14ac:dyDescent="0.2">
      <c r="L515" s="32"/>
      <c r="M515"/>
      <c r="N515"/>
      <c r="O515"/>
      <c r="P515"/>
      <c r="Q515"/>
      <c r="R515"/>
      <c r="S515"/>
      <c r="T515"/>
      <c r="U515"/>
      <c r="V515"/>
    </row>
    <row r="516" spans="12:22" x14ac:dyDescent="0.2">
      <c r="L516" s="32"/>
      <c r="M516"/>
      <c r="N516"/>
      <c r="O516"/>
      <c r="P516"/>
      <c r="Q516"/>
      <c r="R516"/>
      <c r="S516"/>
      <c r="T516"/>
      <c r="U516"/>
      <c r="V516"/>
    </row>
    <row r="517" spans="12:22" x14ac:dyDescent="0.2">
      <c r="L517" s="32"/>
      <c r="M517"/>
      <c r="N517"/>
      <c r="O517"/>
      <c r="P517"/>
      <c r="Q517"/>
      <c r="R517"/>
      <c r="S517"/>
      <c r="T517"/>
      <c r="U517"/>
      <c r="V517"/>
    </row>
    <row r="518" spans="12:22" x14ac:dyDescent="0.2">
      <c r="L518" s="32"/>
      <c r="M518"/>
      <c r="N518"/>
      <c r="O518"/>
      <c r="P518"/>
      <c r="Q518"/>
      <c r="R518"/>
      <c r="S518"/>
      <c r="T518"/>
      <c r="U518"/>
      <c r="V518"/>
    </row>
    <row r="519" spans="12:22" x14ac:dyDescent="0.2">
      <c r="M519"/>
      <c r="N519"/>
      <c r="O519"/>
      <c r="P519"/>
      <c r="Q519"/>
      <c r="R519"/>
      <c r="S519"/>
      <c r="T519"/>
      <c r="U519"/>
      <c r="V519"/>
    </row>
    <row r="520" spans="12:22" x14ac:dyDescent="0.2">
      <c r="M520"/>
      <c r="N520"/>
      <c r="O520"/>
      <c r="P520"/>
      <c r="Q520"/>
      <c r="R520"/>
      <c r="S520"/>
      <c r="T520"/>
      <c r="U520"/>
      <c r="V520"/>
    </row>
    <row r="521" spans="12:22" x14ac:dyDescent="0.2">
      <c r="M521"/>
      <c r="N521"/>
      <c r="O521"/>
      <c r="P521"/>
      <c r="Q521"/>
      <c r="R521"/>
      <c r="S521"/>
      <c r="T521"/>
      <c r="U521"/>
      <c r="V521"/>
    </row>
    <row r="522" spans="12:22" x14ac:dyDescent="0.2">
      <c r="M522"/>
      <c r="N522"/>
      <c r="O522"/>
      <c r="P522"/>
      <c r="Q522"/>
      <c r="R522"/>
      <c r="S522"/>
      <c r="T522"/>
      <c r="U522"/>
      <c r="V522"/>
    </row>
    <row r="523" spans="12:22" x14ac:dyDescent="0.2">
      <c r="M523"/>
      <c r="N523"/>
      <c r="O523"/>
      <c r="P523"/>
      <c r="Q523"/>
      <c r="R523"/>
      <c r="S523"/>
      <c r="T523"/>
      <c r="U523"/>
      <c r="V523"/>
    </row>
    <row r="524" spans="12:22" x14ac:dyDescent="0.2">
      <c r="M524"/>
      <c r="N524"/>
      <c r="O524"/>
      <c r="P524"/>
      <c r="Q524"/>
      <c r="R524"/>
      <c r="S524"/>
      <c r="T524"/>
      <c r="U524"/>
      <c r="V524"/>
    </row>
    <row r="525" spans="12:22" x14ac:dyDescent="0.2">
      <c r="M525"/>
      <c r="N525"/>
      <c r="O525"/>
      <c r="P525"/>
      <c r="Q525"/>
      <c r="R525"/>
      <c r="S525"/>
      <c r="T525"/>
      <c r="U525"/>
      <c r="V525"/>
    </row>
    <row r="526" spans="12:22" x14ac:dyDescent="0.2">
      <c r="M526"/>
      <c r="N526"/>
      <c r="O526"/>
      <c r="P526"/>
      <c r="Q526"/>
      <c r="R526"/>
      <c r="S526"/>
      <c r="T526"/>
      <c r="U526"/>
      <c r="V526"/>
    </row>
    <row r="527" spans="12:22" x14ac:dyDescent="0.2">
      <c r="M527"/>
      <c r="N527"/>
      <c r="O527"/>
      <c r="P527"/>
      <c r="Q527"/>
      <c r="R527"/>
      <c r="S527"/>
      <c r="T527"/>
      <c r="U527"/>
      <c r="V527"/>
    </row>
    <row r="528" spans="12:22" x14ac:dyDescent="0.2">
      <c r="M528"/>
      <c r="N528"/>
      <c r="O528"/>
      <c r="P528"/>
      <c r="Q528"/>
      <c r="R528"/>
      <c r="S528"/>
      <c r="T528"/>
      <c r="U528"/>
      <c r="V528"/>
    </row>
    <row r="529" spans="12:22" x14ac:dyDescent="0.2">
      <c r="M529"/>
      <c r="N529"/>
      <c r="O529"/>
      <c r="P529"/>
      <c r="Q529"/>
      <c r="R529"/>
      <c r="S529"/>
      <c r="T529"/>
      <c r="U529"/>
      <c r="V529"/>
    </row>
    <row r="530" spans="12:22" x14ac:dyDescent="0.2">
      <c r="L530" s="16" t="s">
        <v>47</v>
      </c>
      <c r="M530"/>
      <c r="N530"/>
      <c r="O530"/>
      <c r="P530"/>
      <c r="Q530"/>
      <c r="R530"/>
      <c r="S530"/>
      <c r="T530"/>
      <c r="U530"/>
      <c r="V530"/>
    </row>
    <row r="531" spans="12:22" x14ac:dyDescent="0.2">
      <c r="M531"/>
      <c r="N531"/>
      <c r="O531"/>
      <c r="P531"/>
      <c r="Q531"/>
      <c r="R531"/>
      <c r="S531"/>
      <c r="T531"/>
      <c r="U531"/>
      <c r="V531"/>
    </row>
    <row r="532" spans="12:22" x14ac:dyDescent="0.2">
      <c r="M532"/>
      <c r="N532"/>
      <c r="O532"/>
      <c r="P532"/>
      <c r="Q532"/>
      <c r="R532"/>
      <c r="S532"/>
      <c r="T532"/>
      <c r="U532"/>
      <c r="V532"/>
    </row>
    <row r="533" spans="12:22" x14ac:dyDescent="0.2">
      <c r="M533"/>
      <c r="N533"/>
      <c r="O533"/>
      <c r="P533"/>
      <c r="Q533"/>
      <c r="R533"/>
      <c r="S533"/>
      <c r="T533"/>
      <c r="U533"/>
      <c r="V533"/>
    </row>
    <row r="534" spans="12:22" x14ac:dyDescent="0.2">
      <c r="M534"/>
      <c r="N534"/>
      <c r="O534"/>
      <c r="P534"/>
      <c r="Q534"/>
      <c r="R534"/>
      <c r="S534"/>
      <c r="T534"/>
      <c r="U534"/>
      <c r="V534"/>
    </row>
    <row r="535" spans="12:22" x14ac:dyDescent="0.2">
      <c r="M535"/>
      <c r="N535"/>
      <c r="O535"/>
      <c r="P535"/>
      <c r="Q535"/>
      <c r="R535"/>
      <c r="S535"/>
      <c r="T535"/>
      <c r="U535"/>
      <c r="V535"/>
    </row>
    <row r="536" spans="12:22" x14ac:dyDescent="0.2">
      <c r="M536"/>
      <c r="N536"/>
      <c r="O536"/>
      <c r="P536"/>
      <c r="Q536"/>
      <c r="R536"/>
      <c r="S536"/>
      <c r="T536"/>
      <c r="U536"/>
      <c r="V536"/>
    </row>
    <row r="537" spans="12:22" x14ac:dyDescent="0.2">
      <c r="M537"/>
      <c r="N537"/>
      <c r="O537"/>
      <c r="P537"/>
      <c r="Q537"/>
      <c r="R537"/>
      <c r="S537"/>
      <c r="T537"/>
      <c r="U537"/>
      <c r="V537"/>
    </row>
    <row r="538" spans="12:22" x14ac:dyDescent="0.2">
      <c r="M538"/>
      <c r="N538"/>
      <c r="O538"/>
      <c r="P538"/>
      <c r="Q538"/>
      <c r="R538"/>
      <c r="S538"/>
      <c r="T538"/>
      <c r="U538"/>
      <c r="V538"/>
    </row>
    <row r="539" spans="12:22" x14ac:dyDescent="0.2">
      <c r="M539"/>
      <c r="N539"/>
      <c r="O539"/>
      <c r="P539"/>
      <c r="Q539"/>
      <c r="R539"/>
      <c r="S539"/>
      <c r="T539"/>
      <c r="U539"/>
      <c r="V539"/>
    </row>
    <row r="540" spans="12:22" x14ac:dyDescent="0.2">
      <c r="M540"/>
      <c r="N540"/>
      <c r="O540"/>
      <c r="P540"/>
      <c r="Q540"/>
      <c r="R540"/>
      <c r="S540"/>
      <c r="T540"/>
      <c r="U540"/>
      <c r="V540"/>
    </row>
    <row r="541" spans="12:22" x14ac:dyDescent="0.2">
      <c r="M541"/>
      <c r="N541"/>
      <c r="O541"/>
      <c r="P541"/>
      <c r="Q541"/>
      <c r="R541"/>
      <c r="S541"/>
      <c r="T541"/>
      <c r="U541"/>
      <c r="V541"/>
    </row>
    <row r="542" spans="12:22" x14ac:dyDescent="0.2">
      <c r="M542"/>
      <c r="N542"/>
      <c r="O542"/>
      <c r="P542"/>
      <c r="Q542"/>
      <c r="R542"/>
      <c r="S542"/>
      <c r="T542"/>
      <c r="U542"/>
      <c r="V542"/>
    </row>
    <row r="543" spans="12:22" x14ac:dyDescent="0.2">
      <c r="M543"/>
      <c r="N543"/>
      <c r="O543"/>
      <c r="P543"/>
      <c r="Q543"/>
      <c r="R543"/>
      <c r="S543"/>
      <c r="T543"/>
      <c r="U543"/>
      <c r="V543"/>
    </row>
    <row r="544" spans="12:22" x14ac:dyDescent="0.2">
      <c r="M544"/>
      <c r="N544"/>
      <c r="O544"/>
      <c r="P544"/>
      <c r="Q544"/>
      <c r="R544"/>
      <c r="S544"/>
      <c r="T544"/>
      <c r="U544"/>
      <c r="V544"/>
    </row>
    <row r="545" spans="12:22" x14ac:dyDescent="0.2">
      <c r="M545"/>
      <c r="N545"/>
      <c r="O545"/>
      <c r="P545"/>
      <c r="Q545"/>
      <c r="R545"/>
      <c r="S545"/>
      <c r="T545"/>
      <c r="U545"/>
      <c r="V545"/>
    </row>
    <row r="546" spans="12:22" x14ac:dyDescent="0.2">
      <c r="M546"/>
      <c r="N546"/>
      <c r="O546"/>
      <c r="P546"/>
      <c r="Q546"/>
      <c r="R546"/>
      <c r="S546"/>
      <c r="T546"/>
      <c r="U546"/>
      <c r="V546"/>
    </row>
    <row r="547" spans="12:22" x14ac:dyDescent="0.2">
      <c r="M547"/>
      <c r="N547"/>
      <c r="O547"/>
      <c r="P547"/>
      <c r="Q547"/>
      <c r="R547"/>
      <c r="S547"/>
      <c r="T547"/>
      <c r="U547"/>
      <c r="V547"/>
    </row>
    <row r="548" spans="12:22" x14ac:dyDescent="0.2">
      <c r="M548"/>
      <c r="N548"/>
      <c r="O548"/>
      <c r="P548"/>
      <c r="Q548"/>
      <c r="R548"/>
      <c r="S548"/>
      <c r="T548"/>
      <c r="U548"/>
      <c r="V548"/>
    </row>
    <row r="549" spans="12:22" x14ac:dyDescent="0.2">
      <c r="M549"/>
      <c r="N549"/>
      <c r="O549"/>
      <c r="P549"/>
      <c r="Q549"/>
      <c r="R549" s="2"/>
      <c r="S549"/>
      <c r="T549"/>
      <c r="U549"/>
      <c r="V549"/>
    </row>
    <row r="550" spans="12:22" x14ac:dyDescent="0.2">
      <c r="M550"/>
      <c r="N550"/>
      <c r="O550"/>
      <c r="P550"/>
      <c r="Q550"/>
      <c r="R550"/>
      <c r="S550"/>
      <c r="T550"/>
      <c r="U550"/>
      <c r="V550"/>
    </row>
    <row r="551" spans="12:22" x14ac:dyDescent="0.2">
      <c r="M551"/>
      <c r="N551"/>
      <c r="O551"/>
      <c r="P551"/>
      <c r="Q551"/>
      <c r="R551"/>
      <c r="S551"/>
      <c r="T551"/>
      <c r="U551"/>
      <c r="V551"/>
    </row>
    <row r="552" spans="12:22" x14ac:dyDescent="0.2">
      <c r="M552"/>
      <c r="N552"/>
      <c r="O552"/>
      <c r="P552"/>
      <c r="Q552"/>
      <c r="R552"/>
      <c r="S552"/>
      <c r="T552"/>
      <c r="U552"/>
      <c r="V552"/>
    </row>
    <row r="553" spans="12:22" x14ac:dyDescent="0.2">
      <c r="M553"/>
      <c r="N553"/>
      <c r="O553"/>
      <c r="P553"/>
      <c r="Q553"/>
      <c r="R553"/>
      <c r="S553"/>
      <c r="T553"/>
      <c r="U553"/>
      <c r="V553"/>
    </row>
    <row r="554" spans="12:22" x14ac:dyDescent="0.2">
      <c r="M554"/>
      <c r="N554"/>
      <c r="O554"/>
      <c r="P554"/>
      <c r="Q554"/>
      <c r="R554"/>
      <c r="S554"/>
      <c r="T554"/>
      <c r="U554"/>
      <c r="V554"/>
    </row>
    <row r="555" spans="12:22" x14ac:dyDescent="0.2">
      <c r="L555" s="16" t="s">
        <v>48</v>
      </c>
      <c r="M555"/>
      <c r="N555"/>
      <c r="O555"/>
      <c r="P555"/>
      <c r="Q555"/>
      <c r="R555"/>
      <c r="S555"/>
      <c r="T555"/>
      <c r="U555"/>
      <c r="V555"/>
    </row>
    <row r="556" spans="12:22" x14ac:dyDescent="0.2">
      <c r="M556"/>
      <c r="N556"/>
      <c r="O556"/>
      <c r="P556"/>
      <c r="Q556"/>
      <c r="R556"/>
      <c r="S556"/>
      <c r="T556"/>
      <c r="U556"/>
      <c r="V556"/>
    </row>
    <row r="557" spans="12:22" x14ac:dyDescent="0.2">
      <c r="L557" s="32"/>
      <c r="M557"/>
      <c r="N557"/>
      <c r="O557"/>
      <c r="P557"/>
      <c r="Q557"/>
      <c r="R557"/>
      <c r="S557"/>
      <c r="T557"/>
      <c r="U557"/>
      <c r="V557"/>
    </row>
    <row r="558" spans="12:22" x14ac:dyDescent="0.2">
      <c r="L558" s="32"/>
      <c r="M558"/>
      <c r="N558"/>
      <c r="O558"/>
      <c r="P558"/>
      <c r="Q558"/>
      <c r="R558"/>
      <c r="S558"/>
      <c r="T558"/>
      <c r="U558"/>
      <c r="V558"/>
    </row>
    <row r="559" spans="12:22" x14ac:dyDescent="0.2">
      <c r="L559" s="32"/>
      <c r="M559"/>
      <c r="N559"/>
      <c r="O559"/>
      <c r="P559"/>
      <c r="Q559"/>
      <c r="R559"/>
      <c r="S559"/>
      <c r="T559"/>
      <c r="U559"/>
      <c r="V559"/>
    </row>
    <row r="560" spans="12:22" x14ac:dyDescent="0.2">
      <c r="L560" s="32"/>
      <c r="M560"/>
      <c r="N560"/>
      <c r="O560"/>
      <c r="P560"/>
      <c r="Q560"/>
      <c r="R560"/>
      <c r="S560"/>
      <c r="T560"/>
      <c r="U560"/>
      <c r="V560"/>
    </row>
    <row r="561" spans="12:22" x14ac:dyDescent="0.2">
      <c r="L561" s="32"/>
      <c r="M561"/>
      <c r="N561"/>
      <c r="O561"/>
      <c r="P561"/>
      <c r="Q561"/>
      <c r="R561"/>
      <c r="S561"/>
      <c r="T561"/>
      <c r="U561"/>
      <c r="V561"/>
    </row>
    <row r="562" spans="12:22" x14ac:dyDescent="0.2">
      <c r="L562" s="32"/>
      <c r="M562"/>
      <c r="N562"/>
      <c r="O562"/>
      <c r="P562"/>
      <c r="Q562"/>
      <c r="R562"/>
      <c r="S562"/>
      <c r="T562"/>
      <c r="U562"/>
      <c r="V562"/>
    </row>
    <row r="563" spans="12:22" x14ac:dyDescent="0.2">
      <c r="L563" s="32"/>
      <c r="M563"/>
      <c r="N563"/>
      <c r="O563"/>
      <c r="P563"/>
      <c r="Q563"/>
      <c r="R563"/>
      <c r="S563"/>
      <c r="T563"/>
      <c r="U563"/>
      <c r="V563"/>
    </row>
    <row r="564" spans="12:22" x14ac:dyDescent="0.2">
      <c r="L564" s="32"/>
      <c r="M564"/>
      <c r="N564"/>
      <c r="O564"/>
      <c r="P564"/>
      <c r="Q564"/>
      <c r="R564"/>
      <c r="S564"/>
      <c r="T564"/>
      <c r="U564"/>
      <c r="V564"/>
    </row>
    <row r="565" spans="12:22" x14ac:dyDescent="0.2">
      <c r="L565" s="32"/>
      <c r="M565"/>
      <c r="N565"/>
      <c r="O565"/>
      <c r="P565"/>
      <c r="Q565"/>
      <c r="R565"/>
      <c r="S565"/>
      <c r="T565"/>
      <c r="U565"/>
      <c r="V565"/>
    </row>
    <row r="566" spans="12:22" x14ac:dyDescent="0.2">
      <c r="L566" s="32"/>
      <c r="M566"/>
      <c r="N566"/>
      <c r="O566"/>
      <c r="P566"/>
      <c r="Q566"/>
      <c r="R566"/>
      <c r="S566"/>
      <c r="T566"/>
      <c r="U566"/>
      <c r="V566"/>
    </row>
    <row r="567" spans="12:22" x14ac:dyDescent="0.2">
      <c r="L567" s="32"/>
      <c r="M567"/>
      <c r="N567"/>
      <c r="O567"/>
      <c r="P567"/>
      <c r="Q567"/>
      <c r="R567"/>
      <c r="S567"/>
      <c r="T567"/>
      <c r="U567"/>
      <c r="V567"/>
    </row>
    <row r="568" spans="12:22" x14ac:dyDescent="0.2">
      <c r="L568" s="32"/>
      <c r="M568"/>
      <c r="N568"/>
      <c r="O568"/>
      <c r="P568"/>
      <c r="Q568"/>
      <c r="R568"/>
      <c r="S568"/>
      <c r="T568"/>
      <c r="U568"/>
      <c r="V568"/>
    </row>
    <row r="569" spans="12:22" x14ac:dyDescent="0.2">
      <c r="M569"/>
      <c r="N569"/>
      <c r="O569"/>
      <c r="P569"/>
      <c r="Q569"/>
      <c r="R569"/>
      <c r="S569"/>
      <c r="T569"/>
      <c r="U569"/>
      <c r="V569"/>
    </row>
    <row r="570" spans="12:22" x14ac:dyDescent="0.2">
      <c r="M570"/>
      <c r="N570"/>
      <c r="O570"/>
      <c r="P570"/>
      <c r="Q570"/>
      <c r="R570"/>
      <c r="S570"/>
      <c r="T570"/>
      <c r="U570"/>
      <c r="V570"/>
    </row>
    <row r="571" spans="12:22" x14ac:dyDescent="0.2">
      <c r="M571"/>
      <c r="N571"/>
      <c r="O571"/>
      <c r="P571"/>
      <c r="Q571"/>
      <c r="R571"/>
      <c r="S571"/>
      <c r="T571"/>
      <c r="U571"/>
      <c r="V571"/>
    </row>
    <row r="572" spans="12:22" x14ac:dyDescent="0.2">
      <c r="M572"/>
      <c r="N572"/>
      <c r="O572"/>
      <c r="P572"/>
      <c r="Q572"/>
      <c r="R572"/>
      <c r="S572"/>
      <c r="T572"/>
      <c r="U572"/>
      <c r="V572"/>
    </row>
    <row r="573" spans="12:22" x14ac:dyDescent="0.2">
      <c r="M573"/>
      <c r="N573"/>
      <c r="O573"/>
      <c r="P573"/>
      <c r="Q573"/>
      <c r="R573"/>
      <c r="S573"/>
      <c r="T573"/>
      <c r="U573"/>
      <c r="V573"/>
    </row>
    <row r="574" spans="12:22" x14ac:dyDescent="0.2">
      <c r="M574"/>
      <c r="N574"/>
      <c r="O574"/>
      <c r="P574"/>
      <c r="Q574"/>
      <c r="R574"/>
      <c r="S574"/>
      <c r="T574"/>
      <c r="U574"/>
      <c r="V574"/>
    </row>
    <row r="575" spans="12:22" x14ac:dyDescent="0.2">
      <c r="M575"/>
      <c r="N575"/>
      <c r="O575"/>
      <c r="P575"/>
      <c r="Q575"/>
      <c r="R575"/>
      <c r="S575"/>
      <c r="T575"/>
      <c r="U575"/>
      <c r="V575"/>
    </row>
    <row r="576" spans="12:22" x14ac:dyDescent="0.2">
      <c r="M576"/>
      <c r="N576"/>
      <c r="O576"/>
      <c r="P576"/>
      <c r="Q576"/>
      <c r="R576"/>
      <c r="S576"/>
      <c r="T576"/>
      <c r="U576"/>
      <c r="V576"/>
    </row>
    <row r="577" spans="12:22" x14ac:dyDescent="0.2">
      <c r="M577"/>
      <c r="N577"/>
      <c r="O577"/>
      <c r="P577"/>
      <c r="Q577"/>
      <c r="R577"/>
      <c r="S577"/>
      <c r="T577"/>
      <c r="U577"/>
      <c r="V577"/>
    </row>
    <row r="578" spans="12:22" x14ac:dyDescent="0.2">
      <c r="M578"/>
      <c r="N578"/>
      <c r="O578"/>
      <c r="P578"/>
      <c r="Q578"/>
      <c r="R578"/>
      <c r="S578"/>
      <c r="T578"/>
      <c r="U578"/>
      <c r="V578"/>
    </row>
    <row r="579" spans="12:22" x14ac:dyDescent="0.2">
      <c r="M579"/>
      <c r="N579"/>
      <c r="O579"/>
      <c r="P579"/>
      <c r="Q579"/>
      <c r="R579"/>
      <c r="S579"/>
      <c r="T579"/>
      <c r="U579"/>
      <c r="V579"/>
    </row>
    <row r="580" spans="12:22" x14ac:dyDescent="0.2">
      <c r="L580" s="16" t="s">
        <v>49</v>
      </c>
      <c r="M580"/>
      <c r="N580"/>
      <c r="O580"/>
      <c r="P580"/>
      <c r="Q580"/>
      <c r="R580"/>
      <c r="S580"/>
      <c r="T580"/>
      <c r="U580"/>
      <c r="V580"/>
    </row>
    <row r="581" spans="12:22" x14ac:dyDescent="0.2">
      <c r="M581"/>
      <c r="N581"/>
      <c r="O581"/>
      <c r="P581"/>
      <c r="Q581"/>
      <c r="R581"/>
      <c r="S581"/>
      <c r="T581"/>
      <c r="U581"/>
      <c r="V581"/>
    </row>
    <row r="582" spans="12:22" x14ac:dyDescent="0.2">
      <c r="M582"/>
      <c r="N582"/>
      <c r="O582"/>
      <c r="P582"/>
      <c r="Q582"/>
      <c r="R582"/>
      <c r="S582"/>
      <c r="T582"/>
      <c r="U582"/>
      <c r="V582"/>
    </row>
    <row r="583" spans="12:22" x14ac:dyDescent="0.2">
      <c r="M583"/>
      <c r="N583"/>
      <c r="O583"/>
      <c r="P583"/>
      <c r="Q583"/>
      <c r="R583"/>
      <c r="S583"/>
      <c r="T583"/>
      <c r="U583"/>
      <c r="V583"/>
    </row>
    <row r="584" spans="12:22" x14ac:dyDescent="0.2">
      <c r="M584"/>
      <c r="N584"/>
      <c r="O584"/>
      <c r="P584"/>
      <c r="Q584"/>
      <c r="R584"/>
      <c r="S584"/>
      <c r="T584"/>
      <c r="U584"/>
      <c r="V584"/>
    </row>
    <row r="585" spans="12:22" x14ac:dyDescent="0.2">
      <c r="M585"/>
      <c r="N585"/>
      <c r="O585"/>
      <c r="P585"/>
      <c r="Q585"/>
      <c r="R585"/>
      <c r="S585"/>
      <c r="T585"/>
      <c r="U585"/>
      <c r="V585"/>
    </row>
    <row r="586" spans="12:22" x14ac:dyDescent="0.2">
      <c r="M586"/>
      <c r="N586"/>
      <c r="O586"/>
      <c r="P586"/>
      <c r="Q586"/>
      <c r="R586"/>
      <c r="S586"/>
      <c r="T586"/>
      <c r="U586"/>
      <c r="V586"/>
    </row>
    <row r="587" spans="12:22" x14ac:dyDescent="0.2">
      <c r="M587"/>
      <c r="N587"/>
      <c r="O587"/>
      <c r="P587"/>
      <c r="Q587"/>
      <c r="R587"/>
      <c r="S587"/>
      <c r="T587"/>
      <c r="U587"/>
      <c r="V587"/>
    </row>
    <row r="588" spans="12:22" x14ac:dyDescent="0.2">
      <c r="M588"/>
      <c r="N588"/>
      <c r="O588"/>
      <c r="P588"/>
      <c r="Q588"/>
      <c r="R588"/>
      <c r="S588"/>
      <c r="T588"/>
      <c r="U588"/>
      <c r="V588"/>
    </row>
    <row r="589" spans="12:22" x14ac:dyDescent="0.2">
      <c r="M589"/>
      <c r="N589"/>
      <c r="O589"/>
      <c r="P589"/>
      <c r="Q589"/>
      <c r="R589"/>
      <c r="S589"/>
      <c r="T589"/>
      <c r="U589"/>
      <c r="V589"/>
    </row>
    <row r="590" spans="12:22" x14ac:dyDescent="0.2">
      <c r="M590"/>
      <c r="N590"/>
      <c r="O590"/>
      <c r="P590"/>
      <c r="Q590"/>
      <c r="R590"/>
      <c r="S590"/>
      <c r="T590"/>
      <c r="U590"/>
      <c r="V590"/>
    </row>
    <row r="591" spans="12:22" x14ac:dyDescent="0.2">
      <c r="M591"/>
      <c r="N591"/>
      <c r="O591"/>
      <c r="P591"/>
      <c r="Q591"/>
      <c r="R591"/>
      <c r="S591"/>
      <c r="T591"/>
      <c r="U591"/>
      <c r="V591"/>
    </row>
    <row r="592" spans="12:22" x14ac:dyDescent="0.2">
      <c r="M592"/>
      <c r="N592"/>
      <c r="O592"/>
      <c r="P592"/>
      <c r="Q592"/>
      <c r="R592"/>
      <c r="S592"/>
      <c r="T592"/>
      <c r="U592"/>
      <c r="V592"/>
    </row>
    <row r="593" spans="12:22" x14ac:dyDescent="0.2">
      <c r="M593"/>
      <c r="N593"/>
      <c r="O593"/>
      <c r="P593"/>
      <c r="Q593"/>
      <c r="R593"/>
      <c r="S593"/>
      <c r="T593"/>
      <c r="U593"/>
      <c r="V593"/>
    </row>
    <row r="594" spans="12:22" x14ac:dyDescent="0.2">
      <c r="M594"/>
      <c r="N594"/>
      <c r="O594"/>
      <c r="P594"/>
      <c r="Q594"/>
      <c r="R594"/>
      <c r="S594"/>
      <c r="T594"/>
      <c r="U594"/>
      <c r="V594"/>
    </row>
    <row r="595" spans="12:22" x14ac:dyDescent="0.2">
      <c r="M595"/>
      <c r="N595"/>
      <c r="O595"/>
      <c r="P595"/>
      <c r="Q595"/>
      <c r="R595"/>
      <c r="S595"/>
      <c r="T595"/>
      <c r="U595"/>
      <c r="V595"/>
    </row>
    <row r="596" spans="12:22" x14ac:dyDescent="0.2">
      <c r="M596"/>
      <c r="N596"/>
      <c r="O596"/>
      <c r="P596"/>
      <c r="Q596"/>
      <c r="R596"/>
      <c r="S596"/>
      <c r="T596"/>
      <c r="U596"/>
      <c r="V596"/>
    </row>
    <row r="597" spans="12:22" x14ac:dyDescent="0.2">
      <c r="M597"/>
      <c r="N597"/>
      <c r="O597"/>
      <c r="P597"/>
      <c r="Q597"/>
      <c r="R597"/>
      <c r="S597"/>
      <c r="T597"/>
      <c r="U597"/>
      <c r="V597"/>
    </row>
    <row r="598" spans="12:22" x14ac:dyDescent="0.2">
      <c r="M598"/>
      <c r="N598"/>
      <c r="O598"/>
      <c r="P598"/>
      <c r="Q598"/>
      <c r="R598"/>
      <c r="S598"/>
      <c r="T598"/>
      <c r="U598"/>
      <c r="V598"/>
    </row>
    <row r="599" spans="12:22" x14ac:dyDescent="0.2">
      <c r="M599"/>
      <c r="N599"/>
      <c r="O599"/>
      <c r="P599"/>
      <c r="Q599"/>
      <c r="R599"/>
      <c r="S599"/>
      <c r="T599"/>
      <c r="U599"/>
      <c r="V599"/>
    </row>
    <row r="600" spans="12:22" x14ac:dyDescent="0.2">
      <c r="M600"/>
      <c r="N600"/>
      <c r="O600"/>
      <c r="P600"/>
      <c r="Q600"/>
      <c r="R600"/>
      <c r="S600"/>
      <c r="T600"/>
      <c r="U600"/>
      <c r="V600"/>
    </row>
    <row r="601" spans="12:22" x14ac:dyDescent="0.2">
      <c r="M601"/>
      <c r="N601"/>
      <c r="O601"/>
      <c r="P601"/>
      <c r="Q601"/>
      <c r="R601"/>
      <c r="S601"/>
      <c r="T601"/>
      <c r="U601"/>
      <c r="V601"/>
    </row>
    <row r="602" spans="12:22" x14ac:dyDescent="0.2">
      <c r="M602"/>
      <c r="N602"/>
      <c r="O602"/>
      <c r="P602"/>
      <c r="Q602"/>
      <c r="R602"/>
      <c r="S602"/>
      <c r="T602"/>
      <c r="U602"/>
      <c r="V602"/>
    </row>
    <row r="603" spans="12:22" x14ac:dyDescent="0.2">
      <c r="M603"/>
      <c r="N603"/>
      <c r="O603"/>
      <c r="P603"/>
      <c r="Q603"/>
      <c r="R603"/>
      <c r="S603"/>
      <c r="T603"/>
      <c r="U603"/>
      <c r="V603"/>
    </row>
    <row r="604" spans="12:22" x14ac:dyDescent="0.2">
      <c r="M604"/>
      <c r="N604"/>
      <c r="O604"/>
      <c r="P604"/>
      <c r="Q604"/>
      <c r="R604"/>
      <c r="S604"/>
      <c r="T604"/>
      <c r="U604"/>
      <c r="V604"/>
    </row>
    <row r="605" spans="12:22" x14ac:dyDescent="0.2">
      <c r="L605" s="16" t="s">
        <v>50</v>
      </c>
      <c r="M605"/>
      <c r="N605"/>
      <c r="O605"/>
      <c r="P605"/>
      <c r="Q605"/>
      <c r="R605"/>
      <c r="S605"/>
      <c r="T605"/>
      <c r="U605"/>
      <c r="V605"/>
    </row>
    <row r="606" spans="12:22" x14ac:dyDescent="0.2">
      <c r="M606"/>
      <c r="N606"/>
      <c r="O606"/>
      <c r="P606"/>
      <c r="Q606"/>
      <c r="R606"/>
      <c r="S606"/>
      <c r="T606"/>
      <c r="U606"/>
      <c r="V606"/>
    </row>
    <row r="607" spans="12:22" x14ac:dyDescent="0.2">
      <c r="L607" s="32"/>
      <c r="M607"/>
      <c r="N607"/>
      <c r="O607"/>
      <c r="P607"/>
      <c r="Q607"/>
      <c r="R607"/>
      <c r="S607"/>
      <c r="T607"/>
      <c r="U607"/>
      <c r="V607"/>
    </row>
    <row r="608" spans="12:22" x14ac:dyDescent="0.2">
      <c r="L608" s="32"/>
      <c r="M608"/>
      <c r="N608"/>
      <c r="O608"/>
      <c r="P608"/>
      <c r="Q608"/>
      <c r="R608"/>
      <c r="S608"/>
      <c r="T608"/>
      <c r="U608"/>
      <c r="V608"/>
    </row>
    <row r="609" spans="12:22" x14ac:dyDescent="0.2">
      <c r="L609" s="32"/>
      <c r="M609"/>
      <c r="N609"/>
      <c r="O609"/>
      <c r="P609"/>
      <c r="Q609"/>
      <c r="R609"/>
      <c r="S609"/>
      <c r="T609"/>
      <c r="U609"/>
      <c r="V609"/>
    </row>
    <row r="610" spans="12:22" x14ac:dyDescent="0.2">
      <c r="L610" s="32"/>
      <c r="M610"/>
      <c r="N610"/>
      <c r="O610"/>
      <c r="P610"/>
      <c r="Q610"/>
      <c r="R610"/>
      <c r="S610"/>
      <c r="T610"/>
      <c r="U610"/>
      <c r="V610"/>
    </row>
    <row r="611" spans="12:22" x14ac:dyDescent="0.2">
      <c r="L611" s="32"/>
      <c r="M611"/>
      <c r="N611"/>
      <c r="O611"/>
      <c r="P611"/>
      <c r="Q611"/>
      <c r="R611"/>
      <c r="S611"/>
      <c r="T611"/>
      <c r="U611"/>
      <c r="V611"/>
    </row>
    <row r="612" spans="12:22" x14ac:dyDescent="0.2">
      <c r="L612" s="32"/>
      <c r="M612"/>
      <c r="N612"/>
      <c r="O612"/>
      <c r="P612"/>
      <c r="Q612"/>
      <c r="R612"/>
      <c r="S612"/>
      <c r="T612"/>
      <c r="U612"/>
      <c r="V612"/>
    </row>
    <row r="613" spans="12:22" x14ac:dyDescent="0.2">
      <c r="L613" s="32"/>
      <c r="M613"/>
      <c r="N613"/>
      <c r="O613"/>
      <c r="P613"/>
      <c r="Q613"/>
      <c r="R613"/>
      <c r="S613"/>
      <c r="T613"/>
      <c r="U613"/>
      <c r="V613"/>
    </row>
    <row r="614" spans="12:22" x14ac:dyDescent="0.2">
      <c r="L614" s="32"/>
      <c r="M614"/>
      <c r="N614"/>
      <c r="O614"/>
      <c r="P614"/>
      <c r="Q614"/>
      <c r="R614"/>
      <c r="S614"/>
      <c r="T614"/>
      <c r="U614"/>
      <c r="V614"/>
    </row>
    <row r="615" spans="12:22" x14ac:dyDescent="0.2">
      <c r="L615" s="32"/>
      <c r="M615"/>
      <c r="N615"/>
      <c r="O615"/>
      <c r="P615"/>
      <c r="Q615"/>
      <c r="R615"/>
      <c r="S615"/>
      <c r="T615"/>
      <c r="U615"/>
      <c r="V615"/>
    </row>
    <row r="616" spans="12:22" x14ac:dyDescent="0.2">
      <c r="L616" s="32"/>
      <c r="M616"/>
      <c r="N616"/>
      <c r="O616"/>
      <c r="P616"/>
      <c r="Q616"/>
      <c r="R616"/>
      <c r="S616"/>
      <c r="T616"/>
      <c r="U616"/>
      <c r="V616"/>
    </row>
    <row r="617" spans="12:22" x14ac:dyDescent="0.2">
      <c r="L617" s="32"/>
      <c r="M617"/>
      <c r="N617"/>
      <c r="O617"/>
      <c r="P617"/>
      <c r="Q617"/>
      <c r="R617"/>
      <c r="S617"/>
      <c r="T617"/>
      <c r="U617"/>
      <c r="V617"/>
    </row>
    <row r="618" spans="12:22" x14ac:dyDescent="0.2">
      <c r="L618" s="32"/>
      <c r="M618"/>
      <c r="N618"/>
      <c r="O618"/>
      <c r="P618"/>
      <c r="Q618"/>
      <c r="R618"/>
      <c r="S618"/>
      <c r="T618"/>
      <c r="U618"/>
      <c r="V618"/>
    </row>
    <row r="619" spans="12:22" x14ac:dyDescent="0.2">
      <c r="M619"/>
      <c r="N619"/>
      <c r="O619"/>
      <c r="P619"/>
      <c r="Q619"/>
      <c r="R619"/>
      <c r="S619"/>
      <c r="T619"/>
      <c r="U619"/>
      <c r="V619"/>
    </row>
    <row r="620" spans="12:22" x14ac:dyDescent="0.2">
      <c r="M620"/>
      <c r="N620"/>
      <c r="O620"/>
      <c r="P620"/>
      <c r="Q620"/>
      <c r="R620"/>
      <c r="S620"/>
      <c r="T620"/>
      <c r="U620"/>
      <c r="V620"/>
    </row>
    <row r="621" spans="12:22" x14ac:dyDescent="0.2">
      <c r="M621"/>
      <c r="N621"/>
      <c r="O621"/>
      <c r="P621"/>
      <c r="Q621"/>
      <c r="R621"/>
      <c r="S621"/>
      <c r="T621"/>
      <c r="U621"/>
      <c r="V621"/>
    </row>
    <row r="622" spans="12:22" x14ac:dyDescent="0.2">
      <c r="M622"/>
      <c r="N622"/>
      <c r="O622"/>
      <c r="P622"/>
      <c r="Q622"/>
      <c r="R622"/>
      <c r="S622"/>
      <c r="T622"/>
      <c r="U622"/>
      <c r="V622"/>
    </row>
    <row r="623" spans="12:22" x14ac:dyDescent="0.2">
      <c r="M623"/>
      <c r="N623"/>
      <c r="O623"/>
      <c r="P623"/>
      <c r="Q623"/>
      <c r="R623"/>
      <c r="S623"/>
      <c r="T623"/>
      <c r="U623"/>
      <c r="V623"/>
    </row>
    <row r="624" spans="12:22" x14ac:dyDescent="0.2">
      <c r="M624"/>
      <c r="N624"/>
      <c r="O624"/>
      <c r="P624"/>
      <c r="Q624"/>
      <c r="R624"/>
      <c r="S624"/>
      <c r="T624"/>
      <c r="U624"/>
      <c r="V624"/>
    </row>
    <row r="625" spans="12:22" x14ac:dyDescent="0.2">
      <c r="M625"/>
      <c r="N625"/>
      <c r="O625"/>
      <c r="P625"/>
      <c r="Q625"/>
      <c r="R625"/>
      <c r="S625"/>
      <c r="T625"/>
      <c r="U625"/>
      <c r="V625"/>
    </row>
    <row r="626" spans="12:22" x14ac:dyDescent="0.2">
      <c r="M626"/>
      <c r="N626"/>
      <c r="O626"/>
      <c r="P626"/>
      <c r="Q626"/>
      <c r="R626"/>
      <c r="S626"/>
      <c r="T626"/>
      <c r="U626"/>
      <c r="V626"/>
    </row>
    <row r="627" spans="12:22" x14ac:dyDescent="0.2">
      <c r="M627"/>
      <c r="N627"/>
      <c r="O627"/>
      <c r="P627"/>
      <c r="Q627"/>
      <c r="R627"/>
      <c r="S627"/>
      <c r="T627"/>
      <c r="U627"/>
      <c r="V627"/>
    </row>
    <row r="628" spans="12:22" x14ac:dyDescent="0.2">
      <c r="M628"/>
      <c r="N628"/>
      <c r="O628"/>
      <c r="P628"/>
      <c r="Q628"/>
      <c r="R628"/>
      <c r="S628"/>
      <c r="T628"/>
      <c r="U628"/>
      <c r="V628"/>
    </row>
    <row r="629" spans="12:22" x14ac:dyDescent="0.2">
      <c r="M629"/>
      <c r="N629"/>
      <c r="O629"/>
      <c r="P629"/>
      <c r="Q629"/>
      <c r="R629"/>
      <c r="S629"/>
      <c r="T629"/>
      <c r="U629"/>
      <c r="V629"/>
    </row>
    <row r="630" spans="12:22" x14ac:dyDescent="0.2">
      <c r="L630" s="16" t="s">
        <v>51</v>
      </c>
      <c r="M630"/>
      <c r="N630"/>
      <c r="O630"/>
      <c r="P630"/>
      <c r="Q630"/>
      <c r="R630"/>
      <c r="S630"/>
      <c r="T630"/>
      <c r="U630"/>
      <c r="V630"/>
    </row>
    <row r="631" spans="12:22" x14ac:dyDescent="0.2">
      <c r="M631"/>
      <c r="N631"/>
      <c r="O631"/>
      <c r="P631"/>
      <c r="Q631"/>
      <c r="R631"/>
      <c r="S631"/>
      <c r="T631"/>
      <c r="U631"/>
      <c r="V631"/>
    </row>
    <row r="632" spans="12:22" x14ac:dyDescent="0.2">
      <c r="M632"/>
      <c r="N632"/>
      <c r="O632"/>
      <c r="P632"/>
      <c r="Q632"/>
      <c r="R632"/>
      <c r="S632"/>
      <c r="T632"/>
      <c r="U632"/>
      <c r="V632"/>
    </row>
    <row r="633" spans="12:22" x14ac:dyDescent="0.2">
      <c r="M633"/>
      <c r="N633"/>
      <c r="O633"/>
      <c r="P633"/>
      <c r="Q633"/>
      <c r="R633"/>
      <c r="S633"/>
      <c r="T633"/>
      <c r="U633"/>
      <c r="V633"/>
    </row>
    <row r="634" spans="12:22" x14ac:dyDescent="0.2">
      <c r="M634"/>
      <c r="N634"/>
      <c r="O634"/>
      <c r="P634"/>
      <c r="Q634"/>
      <c r="R634"/>
      <c r="S634"/>
      <c r="T634"/>
      <c r="U634"/>
      <c r="V634"/>
    </row>
    <row r="635" spans="12:22" x14ac:dyDescent="0.2">
      <c r="M635"/>
      <c r="N635"/>
      <c r="O635"/>
      <c r="P635"/>
      <c r="Q635"/>
      <c r="R635"/>
      <c r="S635"/>
      <c r="T635"/>
      <c r="U635"/>
      <c r="V635"/>
    </row>
    <row r="636" spans="12:22" x14ac:dyDescent="0.2">
      <c r="M636"/>
      <c r="N636"/>
      <c r="O636"/>
      <c r="P636"/>
      <c r="Q636"/>
      <c r="R636"/>
      <c r="S636"/>
      <c r="T636"/>
      <c r="U636"/>
      <c r="V636"/>
    </row>
    <row r="637" spans="12:22" x14ac:dyDescent="0.2">
      <c r="M637"/>
      <c r="N637"/>
      <c r="O637"/>
      <c r="P637"/>
      <c r="Q637"/>
      <c r="R637"/>
      <c r="S637"/>
      <c r="T637"/>
      <c r="U637"/>
      <c r="V637"/>
    </row>
    <row r="638" spans="12:22" x14ac:dyDescent="0.2">
      <c r="M638"/>
      <c r="N638"/>
      <c r="O638"/>
      <c r="P638"/>
      <c r="Q638"/>
      <c r="R638"/>
      <c r="S638"/>
      <c r="T638"/>
      <c r="U638"/>
      <c r="V638"/>
    </row>
    <row r="639" spans="12:22" x14ac:dyDescent="0.2">
      <c r="M639"/>
      <c r="N639"/>
      <c r="O639"/>
      <c r="P639"/>
      <c r="Q639"/>
      <c r="R639"/>
      <c r="S639"/>
      <c r="T639"/>
      <c r="U639"/>
      <c r="V639"/>
    </row>
    <row r="640" spans="12:22" x14ac:dyDescent="0.2">
      <c r="M640"/>
      <c r="N640"/>
      <c r="O640"/>
      <c r="P640"/>
      <c r="Q640"/>
      <c r="R640"/>
      <c r="S640"/>
      <c r="T640"/>
      <c r="U640"/>
      <c r="V640"/>
    </row>
    <row r="641" spans="12:22" x14ac:dyDescent="0.2">
      <c r="M641"/>
      <c r="N641"/>
      <c r="O641"/>
      <c r="P641"/>
      <c r="Q641"/>
      <c r="R641"/>
      <c r="S641"/>
      <c r="T641"/>
      <c r="U641"/>
      <c r="V641"/>
    </row>
    <row r="642" spans="12:22" x14ac:dyDescent="0.2">
      <c r="M642"/>
      <c r="N642"/>
      <c r="O642"/>
      <c r="P642"/>
      <c r="Q642"/>
      <c r="R642"/>
      <c r="S642"/>
      <c r="T642"/>
      <c r="U642"/>
      <c r="V642"/>
    </row>
    <row r="643" spans="12:22" x14ac:dyDescent="0.2">
      <c r="M643"/>
      <c r="N643"/>
      <c r="O643"/>
      <c r="P643"/>
      <c r="Q643"/>
      <c r="R643"/>
      <c r="S643"/>
      <c r="T643"/>
      <c r="U643"/>
      <c r="V643"/>
    </row>
    <row r="644" spans="12:22" x14ac:dyDescent="0.2">
      <c r="M644"/>
      <c r="N644"/>
      <c r="O644"/>
      <c r="P644"/>
      <c r="Q644"/>
      <c r="R644"/>
      <c r="S644"/>
      <c r="T644"/>
      <c r="U644"/>
      <c r="V644"/>
    </row>
    <row r="645" spans="12:22" x14ac:dyDescent="0.2">
      <c r="M645"/>
      <c r="N645"/>
      <c r="O645"/>
      <c r="P645"/>
      <c r="Q645"/>
      <c r="R645"/>
      <c r="S645"/>
      <c r="T645"/>
      <c r="U645"/>
      <c r="V645"/>
    </row>
    <row r="646" spans="12:22" x14ac:dyDescent="0.2">
      <c r="M646"/>
      <c r="N646"/>
      <c r="O646"/>
      <c r="P646"/>
      <c r="Q646"/>
      <c r="R646"/>
      <c r="S646"/>
      <c r="T646"/>
      <c r="U646"/>
      <c r="V646"/>
    </row>
    <row r="647" spans="12:22" x14ac:dyDescent="0.2">
      <c r="M647"/>
      <c r="N647"/>
      <c r="O647"/>
      <c r="P647"/>
      <c r="Q647"/>
      <c r="R647"/>
      <c r="S647"/>
      <c r="T647"/>
      <c r="U647"/>
      <c r="V647"/>
    </row>
    <row r="648" spans="12:22" x14ac:dyDescent="0.2">
      <c r="M648"/>
      <c r="N648"/>
      <c r="O648"/>
      <c r="P648"/>
      <c r="Q648"/>
      <c r="R648"/>
      <c r="S648"/>
      <c r="T648"/>
      <c r="U648"/>
      <c r="V648"/>
    </row>
    <row r="649" spans="12:22" x14ac:dyDescent="0.2">
      <c r="M649"/>
      <c r="N649"/>
      <c r="O649"/>
      <c r="P649"/>
      <c r="Q649"/>
      <c r="R649"/>
      <c r="S649"/>
      <c r="T649"/>
      <c r="U649"/>
      <c r="V649"/>
    </row>
    <row r="650" spans="12:22" x14ac:dyDescent="0.2">
      <c r="M650"/>
      <c r="N650"/>
      <c r="O650"/>
      <c r="P650"/>
      <c r="Q650"/>
      <c r="R650"/>
      <c r="S650"/>
      <c r="T650"/>
      <c r="U650"/>
      <c r="V650"/>
    </row>
    <row r="651" spans="12:22" x14ac:dyDescent="0.2">
      <c r="M651"/>
      <c r="N651"/>
      <c r="O651"/>
      <c r="P651"/>
      <c r="Q651"/>
      <c r="R651"/>
      <c r="S651"/>
      <c r="T651"/>
      <c r="U651"/>
      <c r="V651"/>
    </row>
    <row r="652" spans="12:22" x14ac:dyDescent="0.2">
      <c r="M652"/>
      <c r="N652"/>
      <c r="O652"/>
      <c r="P652"/>
      <c r="Q652"/>
      <c r="R652"/>
      <c r="S652"/>
      <c r="T652"/>
      <c r="U652"/>
      <c r="V652"/>
    </row>
    <row r="653" spans="12:22" x14ac:dyDescent="0.2">
      <c r="M653"/>
      <c r="N653"/>
      <c r="O653"/>
      <c r="P653"/>
      <c r="Q653"/>
      <c r="R653"/>
      <c r="S653"/>
      <c r="T653"/>
      <c r="U653"/>
      <c r="V653"/>
    </row>
    <row r="654" spans="12:22" x14ac:dyDescent="0.2">
      <c r="M654"/>
      <c r="N654"/>
      <c r="O654"/>
      <c r="P654"/>
      <c r="Q654"/>
      <c r="R654"/>
      <c r="S654"/>
      <c r="T654"/>
      <c r="U654"/>
      <c r="V654"/>
    </row>
    <row r="655" spans="12:22" x14ac:dyDescent="0.2">
      <c r="L655" s="16" t="s">
        <v>52</v>
      </c>
      <c r="M655"/>
      <c r="N655"/>
      <c r="O655"/>
      <c r="P655"/>
      <c r="Q655"/>
      <c r="R655"/>
      <c r="S655"/>
      <c r="T655"/>
      <c r="U655"/>
      <c r="V655"/>
    </row>
    <row r="656" spans="12:22" x14ac:dyDescent="0.2">
      <c r="M656"/>
      <c r="N656"/>
      <c r="O656"/>
      <c r="P656"/>
      <c r="Q656"/>
      <c r="R656"/>
      <c r="S656"/>
      <c r="T656"/>
      <c r="U656"/>
      <c r="V656"/>
    </row>
    <row r="657" spans="12:22" x14ac:dyDescent="0.2">
      <c r="L657" s="32"/>
      <c r="M657"/>
      <c r="N657"/>
      <c r="O657"/>
      <c r="P657"/>
      <c r="Q657"/>
      <c r="R657"/>
      <c r="S657"/>
      <c r="T657"/>
      <c r="U657"/>
      <c r="V657"/>
    </row>
    <row r="658" spans="12:22" x14ac:dyDescent="0.2">
      <c r="L658" s="32"/>
      <c r="M658"/>
      <c r="N658"/>
      <c r="O658"/>
      <c r="P658"/>
      <c r="Q658"/>
      <c r="R658"/>
      <c r="S658"/>
      <c r="T658"/>
      <c r="U658"/>
      <c r="V658"/>
    </row>
    <row r="659" spans="12:22" x14ac:dyDescent="0.2">
      <c r="L659" s="32"/>
      <c r="M659"/>
      <c r="N659"/>
      <c r="O659"/>
      <c r="P659"/>
      <c r="Q659"/>
      <c r="R659"/>
      <c r="S659"/>
      <c r="T659"/>
      <c r="U659"/>
      <c r="V659"/>
    </row>
    <row r="660" spans="12:22" x14ac:dyDescent="0.2">
      <c r="L660" s="32"/>
      <c r="M660"/>
      <c r="N660"/>
      <c r="O660"/>
      <c r="P660"/>
      <c r="Q660"/>
      <c r="R660"/>
      <c r="S660"/>
      <c r="T660"/>
      <c r="U660"/>
      <c r="V660"/>
    </row>
    <row r="661" spans="12:22" x14ac:dyDescent="0.2">
      <c r="L661" s="32"/>
      <c r="M661"/>
      <c r="N661"/>
      <c r="O661"/>
      <c r="P661"/>
      <c r="Q661"/>
      <c r="R661"/>
      <c r="S661"/>
      <c r="T661"/>
      <c r="U661"/>
      <c r="V661"/>
    </row>
    <row r="662" spans="12:22" x14ac:dyDescent="0.2">
      <c r="L662" s="32"/>
      <c r="M662"/>
      <c r="N662"/>
      <c r="O662"/>
      <c r="P662"/>
      <c r="Q662"/>
      <c r="R662"/>
      <c r="S662"/>
      <c r="T662"/>
      <c r="U662"/>
      <c r="V662"/>
    </row>
    <row r="663" spans="12:22" x14ac:dyDescent="0.2">
      <c r="L663" s="32"/>
      <c r="M663"/>
      <c r="N663"/>
      <c r="O663"/>
      <c r="P663"/>
      <c r="Q663"/>
      <c r="R663"/>
      <c r="S663"/>
      <c r="T663"/>
      <c r="U663"/>
      <c r="V663"/>
    </row>
    <row r="664" spans="12:22" x14ac:dyDescent="0.2">
      <c r="L664" s="32"/>
      <c r="M664"/>
      <c r="N664"/>
      <c r="O664"/>
      <c r="P664"/>
      <c r="Q664"/>
      <c r="R664"/>
      <c r="S664"/>
      <c r="T664"/>
      <c r="U664"/>
      <c r="V664"/>
    </row>
    <row r="665" spans="12:22" x14ac:dyDescent="0.2">
      <c r="L665" s="32"/>
      <c r="M665"/>
      <c r="N665"/>
      <c r="O665"/>
      <c r="P665"/>
      <c r="Q665"/>
      <c r="R665"/>
      <c r="S665"/>
      <c r="T665"/>
      <c r="U665"/>
      <c r="V665"/>
    </row>
    <row r="666" spans="12:22" x14ac:dyDescent="0.2">
      <c r="L666" s="32"/>
      <c r="M666"/>
      <c r="N666"/>
      <c r="O666"/>
      <c r="P666"/>
      <c r="Q666"/>
      <c r="R666"/>
      <c r="S666"/>
      <c r="T666"/>
      <c r="U666"/>
      <c r="V666"/>
    </row>
    <row r="667" spans="12:22" x14ac:dyDescent="0.2">
      <c r="L667" s="32"/>
      <c r="M667"/>
      <c r="N667"/>
      <c r="O667"/>
      <c r="P667"/>
      <c r="Q667"/>
      <c r="R667"/>
      <c r="S667"/>
      <c r="T667"/>
      <c r="U667"/>
      <c r="V667"/>
    </row>
    <row r="668" spans="12:22" x14ac:dyDescent="0.2">
      <c r="L668" s="32"/>
      <c r="M668"/>
      <c r="N668"/>
      <c r="O668"/>
      <c r="P668"/>
      <c r="Q668"/>
      <c r="R668"/>
      <c r="S668"/>
      <c r="T668"/>
      <c r="U668"/>
      <c r="V668"/>
    </row>
    <row r="669" spans="12:22" x14ac:dyDescent="0.2">
      <c r="M669"/>
      <c r="N669"/>
      <c r="O669"/>
      <c r="P669"/>
      <c r="Q669"/>
      <c r="R669"/>
      <c r="S669"/>
      <c r="T669"/>
      <c r="U669"/>
      <c r="V669"/>
    </row>
    <row r="670" spans="12:22" x14ac:dyDescent="0.2">
      <c r="M670"/>
      <c r="N670"/>
      <c r="O670"/>
      <c r="P670"/>
      <c r="Q670"/>
      <c r="R670"/>
      <c r="S670"/>
      <c r="T670"/>
      <c r="U670"/>
      <c r="V670"/>
    </row>
    <row r="671" spans="12:22" x14ac:dyDescent="0.2">
      <c r="M671"/>
      <c r="N671"/>
      <c r="O671"/>
      <c r="P671"/>
      <c r="Q671"/>
      <c r="R671"/>
      <c r="S671"/>
      <c r="T671"/>
      <c r="U671"/>
      <c r="V671"/>
    </row>
    <row r="672" spans="12:22" x14ac:dyDescent="0.2">
      <c r="M672"/>
      <c r="N672"/>
      <c r="O672"/>
      <c r="P672"/>
      <c r="Q672"/>
      <c r="R672"/>
      <c r="S672"/>
      <c r="T672"/>
      <c r="U672"/>
      <c r="V672"/>
    </row>
    <row r="673" spans="12:22" x14ac:dyDescent="0.2">
      <c r="M673"/>
      <c r="N673"/>
      <c r="O673"/>
      <c r="P673"/>
      <c r="Q673"/>
      <c r="R673"/>
      <c r="S673"/>
      <c r="T673"/>
      <c r="U673"/>
      <c r="V673"/>
    </row>
    <row r="674" spans="12:22" x14ac:dyDescent="0.2">
      <c r="M674"/>
      <c r="N674"/>
      <c r="O674"/>
      <c r="P674"/>
      <c r="Q674"/>
      <c r="R674"/>
      <c r="S674"/>
      <c r="T674"/>
      <c r="U674"/>
      <c r="V674"/>
    </row>
    <row r="675" spans="12:22" x14ac:dyDescent="0.2">
      <c r="M675"/>
      <c r="N675"/>
      <c r="O675"/>
      <c r="P675"/>
      <c r="Q675"/>
      <c r="R675"/>
      <c r="S675"/>
      <c r="T675"/>
      <c r="U675"/>
      <c r="V675"/>
    </row>
    <row r="676" spans="12:22" x14ac:dyDescent="0.2">
      <c r="M676"/>
      <c r="N676"/>
      <c r="O676"/>
      <c r="P676"/>
      <c r="Q676"/>
      <c r="R676"/>
      <c r="S676"/>
      <c r="T676"/>
      <c r="U676"/>
      <c r="V676"/>
    </row>
    <row r="677" spans="12:22" x14ac:dyDescent="0.2">
      <c r="M677"/>
      <c r="N677"/>
      <c r="O677"/>
      <c r="P677"/>
      <c r="Q677"/>
      <c r="R677"/>
      <c r="S677"/>
      <c r="T677"/>
      <c r="U677"/>
      <c r="V677"/>
    </row>
    <row r="678" spans="12:22" x14ac:dyDescent="0.2">
      <c r="M678"/>
      <c r="N678"/>
      <c r="O678"/>
      <c r="P678"/>
      <c r="Q678"/>
      <c r="R678"/>
      <c r="S678"/>
      <c r="T678"/>
      <c r="U678"/>
      <c r="V678"/>
    </row>
    <row r="679" spans="12:22" x14ac:dyDescent="0.2">
      <c r="M679"/>
      <c r="N679"/>
      <c r="O679"/>
      <c r="P679"/>
      <c r="Q679"/>
      <c r="R679"/>
      <c r="S679"/>
      <c r="T679"/>
      <c r="U679"/>
      <c r="V679"/>
    </row>
    <row r="680" spans="12:22" x14ac:dyDescent="0.2">
      <c r="L680" s="16" t="s">
        <v>53</v>
      </c>
      <c r="M680"/>
      <c r="N680"/>
      <c r="O680"/>
      <c r="P680"/>
      <c r="Q680"/>
      <c r="R680"/>
      <c r="S680"/>
      <c r="T680"/>
      <c r="U680"/>
      <c r="V680"/>
    </row>
    <row r="681" spans="12:22" x14ac:dyDescent="0.2">
      <c r="M681"/>
      <c r="N681"/>
      <c r="O681"/>
      <c r="P681"/>
      <c r="Q681"/>
      <c r="R681"/>
      <c r="S681"/>
      <c r="T681"/>
      <c r="U681"/>
      <c r="V681"/>
    </row>
    <row r="682" spans="12:22" x14ac:dyDescent="0.2">
      <c r="M682"/>
      <c r="N682"/>
      <c r="O682"/>
      <c r="P682"/>
      <c r="Q682"/>
      <c r="R682"/>
      <c r="S682"/>
      <c r="T682"/>
      <c r="U682"/>
      <c r="V682"/>
    </row>
    <row r="683" spans="12:22" x14ac:dyDescent="0.2">
      <c r="M683"/>
      <c r="N683"/>
      <c r="O683"/>
      <c r="P683"/>
      <c r="Q683"/>
      <c r="R683"/>
      <c r="S683"/>
      <c r="T683"/>
      <c r="U683"/>
      <c r="V683"/>
    </row>
    <row r="684" spans="12:22" x14ac:dyDescent="0.2">
      <c r="M684"/>
      <c r="N684"/>
      <c r="O684"/>
      <c r="P684"/>
      <c r="Q684"/>
      <c r="R684"/>
      <c r="S684"/>
      <c r="T684"/>
      <c r="U684"/>
      <c r="V684"/>
    </row>
    <row r="685" spans="12:22" x14ac:dyDescent="0.2">
      <c r="M685"/>
      <c r="N685"/>
      <c r="O685"/>
      <c r="P685"/>
      <c r="Q685"/>
      <c r="R685"/>
      <c r="S685"/>
      <c r="T685"/>
      <c r="U685"/>
      <c r="V685"/>
    </row>
    <row r="686" spans="12:22" x14ac:dyDescent="0.2">
      <c r="M686"/>
      <c r="N686"/>
      <c r="O686"/>
      <c r="P686"/>
      <c r="Q686"/>
      <c r="R686"/>
      <c r="S686"/>
      <c r="T686"/>
      <c r="U686"/>
      <c r="V686"/>
    </row>
    <row r="687" spans="12:22" x14ac:dyDescent="0.2">
      <c r="M687"/>
      <c r="N687"/>
      <c r="O687"/>
      <c r="P687"/>
      <c r="Q687"/>
      <c r="R687"/>
      <c r="S687"/>
      <c r="T687"/>
      <c r="U687"/>
      <c r="V687"/>
    </row>
    <row r="688" spans="12:22" x14ac:dyDescent="0.2">
      <c r="M688"/>
      <c r="N688"/>
      <c r="O688"/>
      <c r="P688"/>
      <c r="Q688"/>
      <c r="R688"/>
      <c r="S688"/>
      <c r="T688"/>
      <c r="U688"/>
      <c r="V688"/>
    </row>
    <row r="689" spans="13:22" x14ac:dyDescent="0.2">
      <c r="M689"/>
      <c r="N689"/>
      <c r="O689"/>
      <c r="P689"/>
      <c r="Q689"/>
      <c r="R689"/>
      <c r="S689"/>
      <c r="T689"/>
      <c r="U689"/>
      <c r="V689"/>
    </row>
    <row r="690" spans="13:22" x14ac:dyDescent="0.2">
      <c r="M690"/>
      <c r="N690"/>
      <c r="O690"/>
      <c r="P690"/>
      <c r="Q690"/>
      <c r="R690"/>
      <c r="S690"/>
      <c r="T690"/>
      <c r="U690"/>
      <c r="V690"/>
    </row>
    <row r="691" spans="13:22" x14ac:dyDescent="0.2">
      <c r="M691"/>
      <c r="N691"/>
      <c r="O691"/>
      <c r="P691"/>
      <c r="Q691"/>
      <c r="R691"/>
      <c r="S691"/>
      <c r="T691"/>
      <c r="U691"/>
      <c r="V691"/>
    </row>
    <row r="692" spans="13:22" x14ac:dyDescent="0.2">
      <c r="M692"/>
      <c r="N692"/>
      <c r="O692"/>
      <c r="P692"/>
      <c r="Q692"/>
      <c r="R692"/>
      <c r="S692"/>
      <c r="T692"/>
      <c r="U692"/>
      <c r="V692"/>
    </row>
    <row r="693" spans="13:22" x14ac:dyDescent="0.2">
      <c r="M693"/>
      <c r="N693"/>
      <c r="O693"/>
      <c r="P693"/>
      <c r="Q693"/>
      <c r="R693"/>
      <c r="S693"/>
      <c r="T693"/>
      <c r="U693"/>
      <c r="V693"/>
    </row>
    <row r="694" spans="13:22" x14ac:dyDescent="0.2">
      <c r="M694"/>
      <c r="N694"/>
      <c r="O694"/>
      <c r="P694"/>
      <c r="Q694"/>
      <c r="R694"/>
      <c r="S694"/>
      <c r="T694"/>
      <c r="U694"/>
      <c r="V694"/>
    </row>
    <row r="695" spans="13:22" x14ac:dyDescent="0.2">
      <c r="M695"/>
      <c r="N695"/>
      <c r="O695"/>
      <c r="P695"/>
      <c r="Q695"/>
      <c r="R695"/>
      <c r="S695"/>
      <c r="T695"/>
      <c r="U695"/>
      <c r="V695"/>
    </row>
    <row r="696" spans="13:22" x14ac:dyDescent="0.2">
      <c r="M696"/>
      <c r="N696"/>
      <c r="O696"/>
      <c r="P696"/>
      <c r="Q696"/>
      <c r="R696"/>
      <c r="S696"/>
      <c r="T696"/>
      <c r="U696"/>
      <c r="V696"/>
    </row>
    <row r="697" spans="13:22" x14ac:dyDescent="0.2">
      <c r="M697"/>
      <c r="N697"/>
      <c r="O697"/>
      <c r="P697"/>
      <c r="Q697"/>
      <c r="R697"/>
      <c r="S697"/>
      <c r="T697"/>
      <c r="U697"/>
      <c r="V697"/>
    </row>
    <row r="698" spans="13:22" x14ac:dyDescent="0.2">
      <c r="M698"/>
      <c r="N698"/>
      <c r="O698"/>
      <c r="P698"/>
      <c r="Q698"/>
      <c r="R698"/>
      <c r="S698"/>
      <c r="T698"/>
      <c r="U698"/>
      <c r="V698"/>
    </row>
    <row r="699" spans="13:22" x14ac:dyDescent="0.2">
      <c r="M699"/>
      <c r="N699"/>
      <c r="O699"/>
      <c r="P699"/>
      <c r="Q699"/>
      <c r="R699"/>
      <c r="S699"/>
      <c r="T699"/>
      <c r="U699"/>
      <c r="V699"/>
    </row>
    <row r="700" spans="13:22" x14ac:dyDescent="0.2">
      <c r="M700"/>
      <c r="N700"/>
      <c r="O700"/>
      <c r="P700"/>
      <c r="Q700"/>
      <c r="R700"/>
      <c r="S700"/>
      <c r="T700"/>
      <c r="U700"/>
      <c r="V700"/>
    </row>
    <row r="701" spans="13:22" x14ac:dyDescent="0.2">
      <c r="M701"/>
      <c r="N701"/>
      <c r="O701"/>
      <c r="P701"/>
      <c r="Q701"/>
      <c r="R701"/>
      <c r="S701"/>
      <c r="T701"/>
      <c r="U701"/>
      <c r="V701"/>
    </row>
    <row r="702" spans="13:22" x14ac:dyDescent="0.2">
      <c r="M702"/>
      <c r="N702"/>
      <c r="O702"/>
      <c r="P702"/>
      <c r="Q702"/>
      <c r="R702"/>
      <c r="S702"/>
      <c r="T702"/>
      <c r="U702"/>
      <c r="V702"/>
    </row>
    <row r="703" spans="13:22" x14ac:dyDescent="0.2">
      <c r="M703"/>
      <c r="N703"/>
      <c r="O703"/>
      <c r="P703"/>
      <c r="Q703"/>
      <c r="R703"/>
      <c r="S703"/>
      <c r="T703"/>
      <c r="U703"/>
      <c r="V703"/>
    </row>
    <row r="704" spans="13:22" x14ac:dyDescent="0.2">
      <c r="M704"/>
      <c r="N704"/>
      <c r="O704"/>
      <c r="P704"/>
      <c r="Q704"/>
      <c r="R704"/>
      <c r="S704"/>
      <c r="T704"/>
      <c r="U704"/>
      <c r="V704"/>
    </row>
    <row r="705" spans="12:22" x14ac:dyDescent="0.2">
      <c r="L705" s="16" t="s">
        <v>54</v>
      </c>
      <c r="M705"/>
      <c r="N705"/>
      <c r="O705"/>
      <c r="P705"/>
      <c r="Q705"/>
      <c r="R705"/>
      <c r="S705"/>
      <c r="T705"/>
      <c r="U705"/>
      <c r="V705"/>
    </row>
    <row r="706" spans="12:22" x14ac:dyDescent="0.2">
      <c r="M706"/>
      <c r="N706"/>
      <c r="O706"/>
      <c r="P706"/>
      <c r="Q706"/>
      <c r="R706"/>
      <c r="S706"/>
      <c r="T706"/>
      <c r="U706"/>
      <c r="V706"/>
    </row>
    <row r="707" spans="12:22" x14ac:dyDescent="0.2">
      <c r="L707" s="32"/>
      <c r="M707"/>
      <c r="N707"/>
      <c r="O707"/>
      <c r="P707"/>
      <c r="Q707"/>
      <c r="R707"/>
      <c r="S707"/>
      <c r="T707"/>
      <c r="U707"/>
      <c r="V707"/>
    </row>
    <row r="708" spans="12:22" x14ac:dyDescent="0.2">
      <c r="L708" s="32"/>
      <c r="M708"/>
      <c r="N708"/>
      <c r="O708"/>
      <c r="P708"/>
      <c r="Q708"/>
      <c r="R708"/>
      <c r="S708"/>
      <c r="T708"/>
      <c r="U708"/>
      <c r="V708"/>
    </row>
    <row r="709" spans="12:22" x14ac:dyDescent="0.2">
      <c r="L709" s="32"/>
      <c r="M709"/>
      <c r="N709"/>
      <c r="O709"/>
      <c r="P709"/>
      <c r="Q709"/>
      <c r="R709"/>
      <c r="S709"/>
      <c r="T709"/>
      <c r="U709"/>
      <c r="V709"/>
    </row>
    <row r="710" spans="12:22" x14ac:dyDescent="0.2">
      <c r="L710" s="32"/>
      <c r="M710"/>
      <c r="N710"/>
      <c r="O710"/>
      <c r="P710"/>
      <c r="Q710"/>
      <c r="R710"/>
      <c r="S710"/>
      <c r="T710"/>
      <c r="U710"/>
      <c r="V710"/>
    </row>
    <row r="711" spans="12:22" x14ac:dyDescent="0.2">
      <c r="L711" s="32"/>
      <c r="M711"/>
      <c r="N711"/>
      <c r="O711"/>
      <c r="P711"/>
      <c r="Q711"/>
      <c r="R711"/>
      <c r="S711"/>
      <c r="T711"/>
      <c r="U711"/>
      <c r="V711"/>
    </row>
    <row r="712" spans="12:22" x14ac:dyDescent="0.2">
      <c r="L712" s="32"/>
      <c r="M712"/>
      <c r="N712"/>
      <c r="O712"/>
      <c r="P712"/>
      <c r="Q712"/>
      <c r="R712"/>
      <c r="S712"/>
      <c r="T712"/>
      <c r="U712"/>
      <c r="V712"/>
    </row>
    <row r="713" spans="12:22" x14ac:dyDescent="0.2">
      <c r="L713" s="32"/>
      <c r="M713"/>
      <c r="N713"/>
      <c r="O713"/>
      <c r="P713"/>
      <c r="Q713"/>
      <c r="R713"/>
      <c r="S713"/>
      <c r="T713"/>
      <c r="U713"/>
      <c r="V713"/>
    </row>
    <row r="714" spans="12:22" x14ac:dyDescent="0.2">
      <c r="L714" s="32"/>
      <c r="M714"/>
      <c r="N714"/>
      <c r="O714"/>
      <c r="P714"/>
      <c r="Q714"/>
      <c r="R714"/>
      <c r="S714"/>
      <c r="T714"/>
      <c r="U714"/>
      <c r="V714"/>
    </row>
    <row r="715" spans="12:22" x14ac:dyDescent="0.2">
      <c r="L715" s="32"/>
      <c r="M715"/>
      <c r="N715"/>
      <c r="O715"/>
      <c r="P715"/>
      <c r="Q715"/>
      <c r="R715"/>
      <c r="S715"/>
      <c r="T715"/>
      <c r="U715"/>
      <c r="V715"/>
    </row>
    <row r="716" spans="12:22" x14ac:dyDescent="0.2">
      <c r="L716" s="32"/>
      <c r="M716"/>
      <c r="N716"/>
      <c r="O716"/>
      <c r="P716"/>
      <c r="Q716"/>
      <c r="R716"/>
      <c r="S716"/>
      <c r="T716"/>
      <c r="U716"/>
      <c r="V716"/>
    </row>
    <row r="717" spans="12:22" x14ac:dyDescent="0.2">
      <c r="L717" s="32"/>
      <c r="M717"/>
      <c r="N717"/>
      <c r="O717"/>
      <c r="P717"/>
      <c r="Q717"/>
      <c r="R717"/>
      <c r="S717"/>
      <c r="T717"/>
      <c r="U717"/>
      <c r="V717"/>
    </row>
    <row r="718" spans="12:22" x14ac:dyDescent="0.2">
      <c r="L718" s="32"/>
      <c r="M718"/>
      <c r="N718"/>
      <c r="O718"/>
      <c r="P718"/>
      <c r="Q718"/>
      <c r="R718"/>
      <c r="S718"/>
      <c r="T718"/>
      <c r="U718"/>
      <c r="V718"/>
    </row>
    <row r="719" spans="12:22" x14ac:dyDescent="0.2">
      <c r="M719"/>
      <c r="N719"/>
      <c r="O719"/>
      <c r="P719"/>
      <c r="Q719"/>
      <c r="R719"/>
      <c r="S719"/>
      <c r="T719"/>
      <c r="U719"/>
      <c r="V719"/>
    </row>
    <row r="720" spans="12:22" x14ac:dyDescent="0.2">
      <c r="M720"/>
      <c r="N720"/>
      <c r="O720"/>
      <c r="P720"/>
      <c r="Q720"/>
      <c r="R720"/>
      <c r="S720"/>
      <c r="T720"/>
      <c r="U720"/>
      <c r="V720"/>
    </row>
    <row r="721" spans="12:22" x14ac:dyDescent="0.2">
      <c r="M721"/>
      <c r="N721"/>
      <c r="O721"/>
      <c r="P721"/>
      <c r="Q721"/>
      <c r="R721"/>
      <c r="S721"/>
      <c r="T721"/>
      <c r="U721"/>
      <c r="V721"/>
    </row>
    <row r="722" spans="12:22" x14ac:dyDescent="0.2">
      <c r="M722"/>
      <c r="N722"/>
      <c r="O722"/>
      <c r="P722"/>
      <c r="Q722"/>
      <c r="R722"/>
      <c r="S722"/>
      <c r="T722"/>
      <c r="U722"/>
      <c r="V722"/>
    </row>
    <row r="723" spans="12:22" x14ac:dyDescent="0.2">
      <c r="M723"/>
      <c r="N723"/>
      <c r="O723"/>
      <c r="P723"/>
      <c r="Q723"/>
      <c r="R723"/>
      <c r="S723"/>
      <c r="T723"/>
      <c r="U723"/>
      <c r="V723"/>
    </row>
    <row r="724" spans="12:22" x14ac:dyDescent="0.2">
      <c r="M724"/>
      <c r="N724"/>
      <c r="O724"/>
      <c r="P724"/>
      <c r="Q724"/>
      <c r="R724"/>
      <c r="S724"/>
      <c r="T724"/>
      <c r="U724"/>
      <c r="V724"/>
    </row>
    <row r="725" spans="12:22" x14ac:dyDescent="0.2">
      <c r="M725"/>
      <c r="N725"/>
      <c r="O725"/>
      <c r="P725"/>
      <c r="Q725"/>
      <c r="R725"/>
      <c r="S725"/>
      <c r="T725"/>
      <c r="U725"/>
      <c r="V725"/>
    </row>
    <row r="726" spans="12:22" x14ac:dyDescent="0.2">
      <c r="M726"/>
      <c r="N726"/>
      <c r="O726"/>
      <c r="P726"/>
      <c r="Q726"/>
      <c r="R726"/>
      <c r="S726"/>
      <c r="T726"/>
      <c r="U726"/>
      <c r="V726"/>
    </row>
    <row r="727" spans="12:22" x14ac:dyDescent="0.2">
      <c r="M727"/>
      <c r="N727"/>
      <c r="O727"/>
      <c r="P727"/>
      <c r="Q727"/>
      <c r="R727"/>
      <c r="S727"/>
      <c r="T727"/>
      <c r="U727"/>
      <c r="V727"/>
    </row>
    <row r="728" spans="12:22" x14ac:dyDescent="0.2">
      <c r="M728"/>
      <c r="N728"/>
      <c r="O728"/>
      <c r="P728"/>
      <c r="Q728"/>
      <c r="R728"/>
      <c r="S728"/>
      <c r="T728"/>
      <c r="U728"/>
      <c r="V728"/>
    </row>
    <row r="729" spans="12:22" x14ac:dyDescent="0.2">
      <c r="M729"/>
      <c r="N729"/>
      <c r="O729"/>
      <c r="P729"/>
      <c r="Q729"/>
      <c r="R729"/>
      <c r="S729"/>
      <c r="T729"/>
      <c r="U729"/>
      <c r="V729"/>
    </row>
    <row r="730" spans="12:22" x14ac:dyDescent="0.2">
      <c r="L730" s="16" t="s">
        <v>55</v>
      </c>
      <c r="M730"/>
      <c r="N730"/>
      <c r="O730"/>
      <c r="P730"/>
      <c r="Q730"/>
      <c r="R730"/>
      <c r="S730"/>
      <c r="T730"/>
      <c r="U730"/>
      <c r="V730"/>
    </row>
    <row r="731" spans="12:22" x14ac:dyDescent="0.2">
      <c r="M731"/>
      <c r="N731"/>
      <c r="O731"/>
      <c r="P731"/>
      <c r="Q731"/>
      <c r="R731"/>
      <c r="S731"/>
      <c r="T731"/>
      <c r="U731"/>
      <c r="V731"/>
    </row>
    <row r="732" spans="12:22" x14ac:dyDescent="0.2">
      <c r="M732"/>
      <c r="N732"/>
      <c r="O732"/>
      <c r="P732"/>
      <c r="Q732"/>
      <c r="R732"/>
      <c r="S732"/>
      <c r="T732"/>
      <c r="U732"/>
      <c r="V732"/>
    </row>
    <row r="733" spans="12:22" x14ac:dyDescent="0.2">
      <c r="M733"/>
      <c r="N733"/>
      <c r="O733"/>
      <c r="P733"/>
      <c r="Q733"/>
      <c r="R733"/>
      <c r="S733"/>
      <c r="T733"/>
      <c r="U733"/>
      <c r="V733"/>
    </row>
    <row r="734" spans="12:22" x14ac:dyDescent="0.2">
      <c r="M734"/>
      <c r="N734"/>
      <c r="O734"/>
      <c r="P734"/>
      <c r="Q734"/>
      <c r="R734"/>
      <c r="S734"/>
      <c r="T734"/>
      <c r="U734"/>
      <c r="V734"/>
    </row>
    <row r="735" spans="12:22" x14ac:dyDescent="0.2">
      <c r="M735"/>
      <c r="N735"/>
      <c r="O735"/>
      <c r="P735"/>
      <c r="Q735"/>
      <c r="R735"/>
      <c r="S735"/>
      <c r="T735"/>
      <c r="U735"/>
      <c r="V735"/>
    </row>
    <row r="736" spans="12:22" x14ac:dyDescent="0.2">
      <c r="M736"/>
      <c r="N736"/>
      <c r="O736"/>
      <c r="P736"/>
      <c r="Q736"/>
      <c r="R736"/>
      <c r="S736"/>
      <c r="T736"/>
      <c r="U736"/>
      <c r="V736"/>
    </row>
    <row r="737" spans="13:22" x14ac:dyDescent="0.2">
      <c r="M737"/>
      <c r="N737"/>
      <c r="O737"/>
      <c r="P737"/>
      <c r="Q737"/>
      <c r="R737"/>
      <c r="S737"/>
      <c r="T737"/>
      <c r="U737"/>
      <c r="V737"/>
    </row>
    <row r="738" spans="13:22" x14ac:dyDescent="0.2">
      <c r="M738"/>
      <c r="N738"/>
      <c r="O738"/>
      <c r="P738"/>
      <c r="Q738"/>
      <c r="R738"/>
      <c r="S738"/>
      <c r="T738"/>
      <c r="U738"/>
      <c r="V738"/>
    </row>
    <row r="739" spans="13:22" x14ac:dyDescent="0.2">
      <c r="M739"/>
      <c r="N739"/>
      <c r="O739"/>
      <c r="P739"/>
      <c r="Q739"/>
      <c r="R739"/>
      <c r="S739"/>
      <c r="T739"/>
      <c r="U739"/>
      <c r="V739"/>
    </row>
    <row r="740" spans="13:22" x14ac:dyDescent="0.2">
      <c r="M740"/>
      <c r="N740"/>
      <c r="O740"/>
      <c r="P740"/>
      <c r="Q740"/>
      <c r="R740"/>
      <c r="S740"/>
      <c r="T740"/>
      <c r="U740"/>
      <c r="V740"/>
    </row>
    <row r="741" spans="13:22" x14ac:dyDescent="0.2">
      <c r="M741"/>
      <c r="N741"/>
      <c r="O741"/>
      <c r="P741"/>
      <c r="Q741"/>
      <c r="R741"/>
      <c r="S741"/>
      <c r="T741"/>
      <c r="U741"/>
      <c r="V741"/>
    </row>
    <row r="742" spans="13:22" x14ac:dyDescent="0.2">
      <c r="M742"/>
      <c r="N742"/>
      <c r="O742"/>
      <c r="P742"/>
      <c r="Q742"/>
      <c r="R742"/>
      <c r="S742"/>
      <c r="T742"/>
      <c r="U742"/>
      <c r="V742"/>
    </row>
    <row r="743" spans="13:22" x14ac:dyDescent="0.2">
      <c r="M743"/>
      <c r="N743"/>
      <c r="O743"/>
      <c r="P743"/>
      <c r="Q743"/>
      <c r="R743"/>
      <c r="S743"/>
      <c r="T743"/>
      <c r="U743"/>
      <c r="V743"/>
    </row>
    <row r="744" spans="13:22" x14ac:dyDescent="0.2">
      <c r="M744"/>
      <c r="N744"/>
      <c r="O744"/>
      <c r="P744"/>
      <c r="Q744"/>
      <c r="R744"/>
      <c r="S744"/>
      <c r="T744"/>
      <c r="U744"/>
      <c r="V744"/>
    </row>
    <row r="745" spans="13:22" x14ac:dyDescent="0.2">
      <c r="M745"/>
      <c r="N745"/>
      <c r="O745"/>
      <c r="P745"/>
      <c r="Q745"/>
      <c r="R745"/>
      <c r="S745"/>
      <c r="T745"/>
      <c r="U745"/>
      <c r="V745"/>
    </row>
    <row r="746" spans="13:22" x14ac:dyDescent="0.2">
      <c r="M746"/>
      <c r="N746"/>
      <c r="O746"/>
      <c r="P746"/>
      <c r="Q746"/>
      <c r="R746"/>
      <c r="S746"/>
      <c r="T746"/>
      <c r="U746"/>
      <c r="V746"/>
    </row>
    <row r="747" spans="13:22" x14ac:dyDescent="0.2">
      <c r="M747"/>
      <c r="N747"/>
      <c r="O747"/>
      <c r="P747"/>
      <c r="Q747"/>
      <c r="R747"/>
      <c r="S747"/>
      <c r="T747"/>
      <c r="U747"/>
      <c r="V747"/>
    </row>
    <row r="748" spans="13:22" x14ac:dyDescent="0.2">
      <c r="M748"/>
      <c r="N748"/>
      <c r="O748"/>
      <c r="P748"/>
      <c r="Q748"/>
      <c r="R748"/>
      <c r="S748"/>
      <c r="T748"/>
      <c r="U748"/>
      <c r="V748"/>
    </row>
    <row r="749" spans="13:22" x14ac:dyDescent="0.2">
      <c r="M749"/>
      <c r="N749"/>
      <c r="O749"/>
      <c r="P749"/>
      <c r="Q749"/>
      <c r="R749"/>
      <c r="S749"/>
      <c r="T749"/>
      <c r="U749"/>
      <c r="V749"/>
    </row>
    <row r="750" spans="13:22" x14ac:dyDescent="0.2">
      <c r="M750"/>
      <c r="N750"/>
      <c r="O750"/>
      <c r="P750"/>
      <c r="Q750"/>
      <c r="R750"/>
      <c r="S750"/>
      <c r="T750"/>
      <c r="U750"/>
      <c r="V750"/>
    </row>
    <row r="751" spans="13:22" x14ac:dyDescent="0.2">
      <c r="M751"/>
      <c r="N751"/>
      <c r="O751"/>
      <c r="P751"/>
      <c r="Q751"/>
      <c r="R751"/>
      <c r="S751"/>
      <c r="T751"/>
      <c r="U751"/>
      <c r="V751"/>
    </row>
    <row r="752" spans="13:22" x14ac:dyDescent="0.2">
      <c r="M752"/>
      <c r="N752"/>
      <c r="O752"/>
      <c r="P752"/>
      <c r="Q752"/>
      <c r="R752"/>
      <c r="S752"/>
      <c r="T752"/>
      <c r="U752"/>
      <c r="V752"/>
    </row>
    <row r="753" spans="12:22" x14ac:dyDescent="0.2">
      <c r="M753"/>
      <c r="N753"/>
      <c r="O753"/>
      <c r="P753"/>
      <c r="Q753"/>
      <c r="R753"/>
      <c r="S753"/>
      <c r="T753"/>
      <c r="U753"/>
      <c r="V753"/>
    </row>
    <row r="754" spans="12:22" x14ac:dyDescent="0.2">
      <c r="M754"/>
      <c r="N754"/>
      <c r="O754"/>
      <c r="P754"/>
      <c r="Q754"/>
      <c r="R754"/>
      <c r="S754"/>
      <c r="T754"/>
      <c r="U754"/>
      <c r="V754"/>
    </row>
    <row r="755" spans="12:22" x14ac:dyDescent="0.2">
      <c r="L755" s="16" t="s">
        <v>56</v>
      </c>
      <c r="M755"/>
      <c r="N755"/>
      <c r="O755"/>
      <c r="P755"/>
      <c r="Q755"/>
      <c r="R755"/>
      <c r="S755"/>
      <c r="T755"/>
      <c r="U755"/>
      <c r="V755"/>
    </row>
    <row r="756" spans="12:22" x14ac:dyDescent="0.2">
      <c r="M756"/>
      <c r="N756"/>
      <c r="O756"/>
      <c r="P756"/>
      <c r="Q756"/>
      <c r="R756"/>
      <c r="S756"/>
      <c r="T756"/>
      <c r="U756"/>
      <c r="V756"/>
    </row>
    <row r="757" spans="12:22" x14ac:dyDescent="0.2">
      <c r="L757" s="32"/>
      <c r="M757"/>
      <c r="N757"/>
      <c r="O757"/>
      <c r="P757"/>
      <c r="Q757"/>
      <c r="R757"/>
      <c r="S757"/>
      <c r="T757"/>
      <c r="U757"/>
      <c r="V757"/>
    </row>
    <row r="758" spans="12:22" x14ac:dyDescent="0.2">
      <c r="L758" s="32"/>
      <c r="M758"/>
      <c r="N758"/>
      <c r="O758"/>
      <c r="P758"/>
      <c r="Q758"/>
      <c r="R758"/>
      <c r="S758"/>
      <c r="T758"/>
      <c r="U758"/>
      <c r="V758"/>
    </row>
    <row r="759" spans="12:22" x14ac:dyDescent="0.2">
      <c r="L759" s="32"/>
      <c r="M759"/>
      <c r="N759"/>
      <c r="O759"/>
      <c r="P759"/>
      <c r="Q759"/>
      <c r="R759"/>
      <c r="S759"/>
      <c r="T759"/>
      <c r="U759"/>
      <c r="V759"/>
    </row>
    <row r="760" spans="12:22" x14ac:dyDescent="0.2">
      <c r="L760" s="32"/>
      <c r="M760"/>
      <c r="N760"/>
      <c r="O760"/>
      <c r="P760"/>
      <c r="Q760"/>
      <c r="R760"/>
      <c r="S760"/>
      <c r="T760"/>
      <c r="U760"/>
      <c r="V760"/>
    </row>
    <row r="761" spans="12:22" x14ac:dyDescent="0.2">
      <c r="L761" s="32"/>
      <c r="M761"/>
      <c r="N761"/>
      <c r="O761"/>
      <c r="P761"/>
      <c r="Q761"/>
      <c r="R761"/>
      <c r="S761"/>
      <c r="T761"/>
      <c r="U761"/>
      <c r="V761"/>
    </row>
    <row r="762" spans="12:22" x14ac:dyDescent="0.2">
      <c r="L762" s="32"/>
      <c r="M762"/>
      <c r="N762"/>
      <c r="O762"/>
      <c r="P762"/>
      <c r="Q762"/>
      <c r="R762"/>
      <c r="S762"/>
      <c r="T762"/>
      <c r="U762"/>
      <c r="V762"/>
    </row>
    <row r="763" spans="12:22" x14ac:dyDescent="0.2">
      <c r="L763" s="32"/>
      <c r="M763"/>
      <c r="N763"/>
      <c r="O763"/>
      <c r="P763"/>
      <c r="Q763"/>
      <c r="R763"/>
      <c r="S763"/>
      <c r="T763"/>
      <c r="U763"/>
      <c r="V763"/>
    </row>
    <row r="764" spans="12:22" x14ac:dyDescent="0.2">
      <c r="L764" s="32"/>
      <c r="M764"/>
      <c r="N764"/>
      <c r="O764"/>
      <c r="P764"/>
      <c r="Q764"/>
      <c r="R764"/>
      <c r="S764"/>
      <c r="T764"/>
      <c r="U764"/>
      <c r="V764"/>
    </row>
    <row r="765" spans="12:22" x14ac:dyDescent="0.2">
      <c r="L765" s="32"/>
      <c r="M765"/>
      <c r="N765"/>
      <c r="O765"/>
      <c r="P765"/>
      <c r="Q765"/>
      <c r="R765"/>
      <c r="S765"/>
      <c r="T765"/>
      <c r="U765"/>
      <c r="V765"/>
    </row>
    <row r="766" spans="12:22" x14ac:dyDescent="0.2">
      <c r="L766" s="32"/>
      <c r="M766"/>
      <c r="N766"/>
      <c r="O766"/>
      <c r="P766"/>
      <c r="Q766"/>
      <c r="R766"/>
      <c r="S766"/>
      <c r="T766"/>
      <c r="U766"/>
      <c r="V766"/>
    </row>
    <row r="767" spans="12:22" x14ac:dyDescent="0.2">
      <c r="L767" s="32"/>
      <c r="M767"/>
      <c r="N767"/>
      <c r="O767"/>
      <c r="P767"/>
      <c r="Q767"/>
      <c r="R767"/>
      <c r="S767"/>
      <c r="T767"/>
      <c r="U767"/>
      <c r="V767"/>
    </row>
    <row r="768" spans="12:22" x14ac:dyDescent="0.2">
      <c r="L768" s="32"/>
      <c r="M768"/>
      <c r="N768"/>
      <c r="O768"/>
      <c r="P768"/>
      <c r="Q768"/>
      <c r="R768"/>
      <c r="S768"/>
      <c r="T768"/>
      <c r="U768"/>
      <c r="V768"/>
    </row>
    <row r="769" spans="12:22" x14ac:dyDescent="0.2">
      <c r="M769"/>
      <c r="N769"/>
      <c r="O769"/>
      <c r="P769"/>
      <c r="Q769"/>
      <c r="R769"/>
      <c r="S769"/>
      <c r="T769"/>
      <c r="U769"/>
      <c r="V769"/>
    </row>
    <row r="770" spans="12:22" x14ac:dyDescent="0.2">
      <c r="M770"/>
      <c r="N770"/>
      <c r="O770"/>
      <c r="P770"/>
      <c r="Q770"/>
      <c r="R770"/>
      <c r="S770"/>
      <c r="T770"/>
      <c r="U770"/>
      <c r="V770"/>
    </row>
    <row r="771" spans="12:22" x14ac:dyDescent="0.2">
      <c r="M771"/>
      <c r="N771"/>
      <c r="O771"/>
      <c r="P771"/>
      <c r="Q771"/>
      <c r="R771"/>
      <c r="S771"/>
      <c r="T771"/>
      <c r="U771"/>
      <c r="V771"/>
    </row>
    <row r="772" spans="12:22" x14ac:dyDescent="0.2">
      <c r="M772"/>
      <c r="N772"/>
      <c r="O772"/>
      <c r="P772"/>
      <c r="Q772"/>
      <c r="R772"/>
      <c r="S772"/>
      <c r="T772"/>
      <c r="U772"/>
      <c r="V772"/>
    </row>
    <row r="773" spans="12:22" x14ac:dyDescent="0.2">
      <c r="M773"/>
      <c r="N773"/>
      <c r="O773"/>
      <c r="P773"/>
      <c r="Q773"/>
      <c r="R773"/>
      <c r="S773"/>
      <c r="T773"/>
      <c r="U773"/>
      <c r="V773"/>
    </row>
    <row r="774" spans="12:22" x14ac:dyDescent="0.2">
      <c r="M774"/>
      <c r="N774"/>
      <c r="O774"/>
      <c r="P774"/>
      <c r="Q774"/>
      <c r="R774"/>
      <c r="S774"/>
      <c r="T774"/>
      <c r="U774"/>
      <c r="V774"/>
    </row>
    <row r="775" spans="12:22" x14ac:dyDescent="0.2">
      <c r="M775"/>
      <c r="N775"/>
      <c r="O775"/>
      <c r="P775"/>
      <c r="Q775"/>
      <c r="R775"/>
      <c r="S775"/>
      <c r="T775"/>
      <c r="U775"/>
      <c r="V775"/>
    </row>
    <row r="776" spans="12:22" x14ac:dyDescent="0.2">
      <c r="M776"/>
      <c r="N776"/>
      <c r="O776"/>
      <c r="P776"/>
      <c r="Q776"/>
      <c r="R776"/>
      <c r="S776"/>
      <c r="T776"/>
      <c r="U776"/>
      <c r="V776"/>
    </row>
    <row r="777" spans="12:22" x14ac:dyDescent="0.2">
      <c r="M777"/>
      <c r="N777"/>
      <c r="O777"/>
      <c r="P777"/>
      <c r="Q777"/>
      <c r="R777"/>
      <c r="S777"/>
      <c r="T777"/>
      <c r="U777"/>
      <c r="V777"/>
    </row>
    <row r="778" spans="12:22" x14ac:dyDescent="0.2">
      <c r="M778"/>
      <c r="N778"/>
      <c r="O778"/>
      <c r="P778"/>
      <c r="Q778"/>
      <c r="R778"/>
      <c r="S778"/>
      <c r="T778"/>
      <c r="U778"/>
      <c r="V778"/>
    </row>
    <row r="779" spans="12:22" x14ac:dyDescent="0.2">
      <c r="M779"/>
      <c r="N779"/>
      <c r="O779"/>
      <c r="P779"/>
      <c r="Q779"/>
      <c r="R779"/>
      <c r="S779"/>
      <c r="T779"/>
      <c r="U779"/>
      <c r="V779"/>
    </row>
    <row r="780" spans="12:22" x14ac:dyDescent="0.2">
      <c r="L780" s="16" t="s">
        <v>57</v>
      </c>
      <c r="M780"/>
      <c r="N780"/>
      <c r="O780"/>
      <c r="P780"/>
      <c r="Q780"/>
      <c r="R780"/>
      <c r="S780"/>
      <c r="T780"/>
      <c r="U780"/>
      <c r="V780"/>
    </row>
    <row r="781" spans="12:22" x14ac:dyDescent="0.2">
      <c r="M781"/>
      <c r="N781"/>
      <c r="O781"/>
      <c r="P781"/>
      <c r="Q781"/>
      <c r="R781"/>
      <c r="S781"/>
      <c r="T781"/>
      <c r="U781"/>
      <c r="V781"/>
    </row>
    <row r="782" spans="12:22" x14ac:dyDescent="0.2">
      <c r="M782"/>
      <c r="N782"/>
      <c r="O782"/>
      <c r="P782"/>
      <c r="Q782"/>
      <c r="R782"/>
      <c r="S782"/>
      <c r="T782"/>
      <c r="U782"/>
      <c r="V782"/>
    </row>
    <row r="783" spans="12:22" x14ac:dyDescent="0.2">
      <c r="M783"/>
      <c r="N783"/>
      <c r="O783"/>
      <c r="P783"/>
      <c r="Q783"/>
      <c r="R783"/>
      <c r="S783"/>
      <c r="T783"/>
      <c r="U783"/>
      <c r="V783"/>
    </row>
    <row r="784" spans="12:22" x14ac:dyDescent="0.2">
      <c r="M784"/>
      <c r="N784"/>
      <c r="O784"/>
      <c r="P784"/>
      <c r="Q784"/>
      <c r="R784"/>
      <c r="S784"/>
      <c r="T784"/>
      <c r="U784"/>
      <c r="V784"/>
    </row>
    <row r="785" spans="13:22" x14ac:dyDescent="0.2">
      <c r="M785"/>
      <c r="N785"/>
      <c r="O785"/>
      <c r="P785"/>
      <c r="Q785"/>
      <c r="R785"/>
      <c r="S785"/>
      <c r="T785"/>
      <c r="U785"/>
      <c r="V785"/>
    </row>
    <row r="786" spans="13:22" x14ac:dyDescent="0.2">
      <c r="M786"/>
      <c r="N786"/>
      <c r="O786"/>
      <c r="P786"/>
      <c r="Q786"/>
      <c r="R786"/>
      <c r="S786"/>
      <c r="T786"/>
      <c r="U786"/>
      <c r="V786"/>
    </row>
    <row r="787" spans="13:22" x14ac:dyDescent="0.2">
      <c r="M787"/>
      <c r="N787"/>
      <c r="O787"/>
      <c r="P787"/>
      <c r="Q787"/>
      <c r="R787"/>
      <c r="S787"/>
      <c r="T787"/>
      <c r="U787"/>
      <c r="V787"/>
    </row>
    <row r="788" spans="13:22" x14ac:dyDescent="0.2">
      <c r="M788"/>
      <c r="N788"/>
      <c r="O788"/>
      <c r="P788"/>
      <c r="Q788"/>
      <c r="R788"/>
      <c r="S788"/>
      <c r="T788"/>
      <c r="U788"/>
      <c r="V788"/>
    </row>
    <row r="789" spans="13:22" x14ac:dyDescent="0.2">
      <c r="M789"/>
      <c r="N789"/>
      <c r="O789"/>
      <c r="P789"/>
      <c r="Q789"/>
      <c r="R789"/>
      <c r="S789"/>
      <c r="T789"/>
      <c r="U789"/>
      <c r="V789"/>
    </row>
    <row r="790" spans="13:22" x14ac:dyDescent="0.2">
      <c r="M790"/>
      <c r="N790"/>
      <c r="O790"/>
      <c r="P790"/>
      <c r="Q790"/>
      <c r="R790"/>
      <c r="S790"/>
      <c r="T790"/>
      <c r="U790"/>
      <c r="V790"/>
    </row>
    <row r="791" spans="13:22" x14ac:dyDescent="0.2">
      <c r="M791"/>
      <c r="N791"/>
      <c r="O791"/>
      <c r="P791"/>
      <c r="Q791"/>
      <c r="R791"/>
      <c r="S791"/>
      <c r="T791"/>
      <c r="U791"/>
      <c r="V791"/>
    </row>
    <row r="792" spans="13:22" x14ac:dyDescent="0.2">
      <c r="M792"/>
      <c r="N792"/>
      <c r="O792"/>
      <c r="P792"/>
      <c r="Q792"/>
      <c r="R792"/>
      <c r="S792"/>
      <c r="T792"/>
      <c r="U792"/>
      <c r="V792"/>
    </row>
    <row r="793" spans="13:22" x14ac:dyDescent="0.2">
      <c r="M793"/>
      <c r="N793"/>
      <c r="O793"/>
      <c r="P793"/>
      <c r="Q793"/>
      <c r="R793"/>
      <c r="S793"/>
      <c r="T793"/>
      <c r="U793"/>
      <c r="V793"/>
    </row>
    <row r="794" spans="13:22" x14ac:dyDescent="0.2">
      <c r="M794"/>
      <c r="N794"/>
      <c r="O794"/>
      <c r="P794"/>
      <c r="Q794"/>
      <c r="R794"/>
      <c r="S794"/>
      <c r="T794"/>
      <c r="U794"/>
      <c r="V794"/>
    </row>
    <row r="795" spans="13:22" x14ac:dyDescent="0.2">
      <c r="M795"/>
      <c r="N795"/>
      <c r="O795"/>
      <c r="P795"/>
      <c r="Q795"/>
      <c r="R795"/>
      <c r="S795"/>
      <c r="T795"/>
      <c r="U795"/>
      <c r="V795"/>
    </row>
    <row r="796" spans="13:22" x14ac:dyDescent="0.2">
      <c r="M796"/>
      <c r="N796"/>
      <c r="O796"/>
      <c r="P796"/>
      <c r="Q796"/>
      <c r="R796"/>
      <c r="S796"/>
      <c r="T796"/>
      <c r="U796"/>
      <c r="V796"/>
    </row>
    <row r="797" spans="13:22" x14ac:dyDescent="0.2">
      <c r="M797"/>
      <c r="N797"/>
      <c r="O797"/>
      <c r="P797"/>
      <c r="Q797"/>
      <c r="R797"/>
      <c r="S797"/>
      <c r="T797"/>
      <c r="U797"/>
      <c r="V797"/>
    </row>
    <row r="798" spans="13:22" x14ac:dyDescent="0.2">
      <c r="M798"/>
      <c r="N798"/>
      <c r="O798"/>
      <c r="P798"/>
      <c r="Q798"/>
      <c r="R798"/>
      <c r="S798"/>
      <c r="T798"/>
      <c r="U798"/>
      <c r="V798"/>
    </row>
    <row r="799" spans="13:22" x14ac:dyDescent="0.2">
      <c r="M799"/>
      <c r="N799"/>
      <c r="O799"/>
      <c r="P799"/>
      <c r="Q799"/>
      <c r="R799"/>
      <c r="S799"/>
      <c r="T799"/>
      <c r="U799"/>
      <c r="V799"/>
    </row>
    <row r="800" spans="13:22" x14ac:dyDescent="0.2">
      <c r="M800"/>
      <c r="N800"/>
      <c r="O800"/>
      <c r="P800"/>
      <c r="Q800"/>
      <c r="R800"/>
      <c r="S800"/>
      <c r="T800"/>
      <c r="U800"/>
      <c r="V800"/>
    </row>
    <row r="801" spans="12:22" x14ac:dyDescent="0.2">
      <c r="M801"/>
      <c r="N801"/>
      <c r="O801"/>
      <c r="P801"/>
      <c r="Q801"/>
      <c r="R801"/>
      <c r="S801"/>
      <c r="T801"/>
      <c r="U801"/>
      <c r="V801"/>
    </row>
    <row r="802" spans="12:22" x14ac:dyDescent="0.2">
      <c r="M802"/>
      <c r="N802"/>
      <c r="O802"/>
      <c r="P802"/>
      <c r="Q802"/>
      <c r="R802"/>
      <c r="S802"/>
      <c r="T802"/>
      <c r="U802"/>
      <c r="V802"/>
    </row>
    <row r="803" spans="12:22" x14ac:dyDescent="0.2">
      <c r="M803"/>
      <c r="N803"/>
      <c r="O803"/>
      <c r="P803"/>
      <c r="Q803"/>
      <c r="R803"/>
      <c r="S803"/>
      <c r="T803"/>
      <c r="U803"/>
      <c r="V803"/>
    </row>
    <row r="804" spans="12:22" x14ac:dyDescent="0.2">
      <c r="M804"/>
      <c r="N804"/>
      <c r="O804"/>
      <c r="P804"/>
      <c r="Q804"/>
      <c r="R804"/>
      <c r="S804"/>
      <c r="T804"/>
      <c r="U804"/>
      <c r="V804"/>
    </row>
    <row r="805" spans="12:22" x14ac:dyDescent="0.2">
      <c r="L805" s="16" t="s">
        <v>58</v>
      </c>
      <c r="M805"/>
      <c r="N805"/>
      <c r="O805"/>
      <c r="P805"/>
      <c r="Q805"/>
      <c r="R805"/>
      <c r="S805"/>
      <c r="T805"/>
      <c r="U805"/>
      <c r="V805"/>
    </row>
    <row r="806" spans="12:22" x14ac:dyDescent="0.2">
      <c r="M806"/>
      <c r="N806"/>
      <c r="O806"/>
      <c r="P806"/>
      <c r="Q806"/>
      <c r="R806"/>
      <c r="S806"/>
      <c r="T806"/>
      <c r="U806"/>
      <c r="V806"/>
    </row>
    <row r="807" spans="12:22" x14ac:dyDescent="0.2">
      <c r="L807" s="32"/>
      <c r="M807"/>
      <c r="N807"/>
      <c r="O807"/>
      <c r="P807"/>
      <c r="Q807"/>
      <c r="R807"/>
      <c r="S807"/>
      <c r="T807"/>
      <c r="U807"/>
      <c r="V807"/>
    </row>
    <row r="808" spans="12:22" x14ac:dyDescent="0.2">
      <c r="L808" s="32"/>
      <c r="M808"/>
      <c r="N808"/>
      <c r="O808"/>
      <c r="P808"/>
      <c r="Q808"/>
      <c r="R808"/>
      <c r="S808"/>
      <c r="T808"/>
      <c r="U808"/>
      <c r="V808"/>
    </row>
    <row r="809" spans="12:22" x14ac:dyDescent="0.2">
      <c r="L809" s="32"/>
      <c r="M809"/>
      <c r="N809"/>
      <c r="O809"/>
      <c r="P809"/>
      <c r="Q809"/>
      <c r="R809"/>
      <c r="S809"/>
      <c r="T809"/>
      <c r="U809"/>
      <c r="V809"/>
    </row>
    <row r="810" spans="12:22" x14ac:dyDescent="0.2">
      <c r="L810" s="32"/>
      <c r="M810"/>
      <c r="N810"/>
      <c r="O810"/>
      <c r="P810"/>
      <c r="Q810"/>
      <c r="R810"/>
      <c r="S810"/>
      <c r="T810"/>
      <c r="U810"/>
      <c r="V810"/>
    </row>
    <row r="811" spans="12:22" x14ac:dyDescent="0.2">
      <c r="L811" s="32"/>
      <c r="M811"/>
      <c r="N811"/>
      <c r="O811"/>
      <c r="P811"/>
      <c r="Q811"/>
      <c r="R811"/>
      <c r="S811"/>
      <c r="T811"/>
      <c r="U811"/>
      <c r="V811"/>
    </row>
    <row r="812" spans="12:22" x14ac:dyDescent="0.2">
      <c r="L812" s="32"/>
      <c r="M812"/>
      <c r="N812"/>
      <c r="O812"/>
      <c r="P812"/>
      <c r="Q812"/>
      <c r="R812"/>
      <c r="S812"/>
      <c r="T812"/>
      <c r="U812"/>
      <c r="V812"/>
    </row>
    <row r="813" spans="12:22" x14ac:dyDescent="0.2">
      <c r="L813" s="32"/>
      <c r="M813"/>
      <c r="N813"/>
      <c r="O813"/>
      <c r="P813"/>
      <c r="Q813"/>
      <c r="R813"/>
      <c r="S813"/>
      <c r="T813"/>
      <c r="U813"/>
      <c r="V813"/>
    </row>
    <row r="814" spans="12:22" x14ac:dyDescent="0.2">
      <c r="L814" s="32"/>
      <c r="M814"/>
      <c r="N814"/>
      <c r="O814"/>
      <c r="P814"/>
      <c r="Q814"/>
      <c r="R814"/>
      <c r="S814"/>
      <c r="T814"/>
      <c r="U814"/>
      <c r="V814"/>
    </row>
    <row r="815" spans="12:22" x14ac:dyDescent="0.2">
      <c r="L815" s="32"/>
      <c r="M815"/>
      <c r="N815"/>
      <c r="O815"/>
      <c r="P815"/>
      <c r="Q815"/>
      <c r="R815"/>
      <c r="S815"/>
      <c r="T815"/>
      <c r="U815"/>
      <c r="V815"/>
    </row>
    <row r="816" spans="12:22" x14ac:dyDescent="0.2">
      <c r="L816" s="32"/>
      <c r="M816"/>
      <c r="N816"/>
      <c r="O816"/>
      <c r="P816"/>
      <c r="Q816"/>
      <c r="R816"/>
      <c r="S816"/>
      <c r="T816"/>
      <c r="U816"/>
      <c r="V816"/>
    </row>
    <row r="817" spans="12:22" x14ac:dyDescent="0.2">
      <c r="L817" s="32"/>
      <c r="M817"/>
      <c r="N817"/>
      <c r="O817"/>
      <c r="P817"/>
      <c r="Q817"/>
      <c r="R817"/>
      <c r="S817"/>
      <c r="T817"/>
      <c r="U817"/>
      <c r="V817"/>
    </row>
    <row r="818" spans="12:22" x14ac:dyDescent="0.2">
      <c r="L818" s="32"/>
      <c r="M818"/>
      <c r="N818"/>
      <c r="O818"/>
      <c r="P818"/>
      <c r="Q818"/>
      <c r="R818"/>
      <c r="S818"/>
      <c r="T818"/>
      <c r="U818"/>
      <c r="V818"/>
    </row>
    <row r="819" spans="12:22" x14ac:dyDescent="0.2">
      <c r="M819"/>
      <c r="N819"/>
      <c r="O819"/>
      <c r="P819"/>
      <c r="Q819"/>
      <c r="R819"/>
      <c r="S819"/>
      <c r="T819"/>
      <c r="U819"/>
      <c r="V819"/>
    </row>
    <row r="820" spans="12:22" x14ac:dyDescent="0.2">
      <c r="M820"/>
      <c r="N820"/>
      <c r="O820"/>
      <c r="P820"/>
      <c r="Q820"/>
      <c r="R820"/>
      <c r="S820"/>
      <c r="T820"/>
      <c r="U820"/>
      <c r="V820"/>
    </row>
    <row r="821" spans="12:22" x14ac:dyDescent="0.2">
      <c r="M821"/>
      <c r="N821"/>
      <c r="O821"/>
      <c r="P821"/>
      <c r="Q821"/>
      <c r="R821"/>
      <c r="S821"/>
      <c r="T821"/>
      <c r="U821"/>
      <c r="V821"/>
    </row>
    <row r="822" spans="12:22" x14ac:dyDescent="0.2">
      <c r="M822"/>
      <c r="N822"/>
      <c r="O822"/>
      <c r="P822"/>
      <c r="Q822"/>
      <c r="R822"/>
      <c r="S822"/>
      <c r="T822"/>
      <c r="U822"/>
      <c r="V822"/>
    </row>
    <row r="823" spans="12:22" x14ac:dyDescent="0.2">
      <c r="M823"/>
      <c r="N823"/>
      <c r="O823"/>
      <c r="P823"/>
      <c r="Q823"/>
      <c r="R823"/>
      <c r="S823"/>
      <c r="T823"/>
      <c r="U823"/>
      <c r="V823"/>
    </row>
    <row r="824" spans="12:22" x14ac:dyDescent="0.2">
      <c r="M824"/>
      <c r="N824"/>
      <c r="O824"/>
      <c r="P824"/>
      <c r="Q824"/>
      <c r="R824"/>
      <c r="S824"/>
      <c r="T824"/>
      <c r="U824"/>
      <c r="V824"/>
    </row>
    <row r="825" spans="12:22" x14ac:dyDescent="0.2">
      <c r="M825"/>
      <c r="N825"/>
      <c r="O825"/>
      <c r="P825"/>
      <c r="Q825"/>
      <c r="R825"/>
      <c r="S825"/>
      <c r="T825"/>
      <c r="U825"/>
      <c r="V825"/>
    </row>
    <row r="826" spans="12:22" x14ac:dyDescent="0.2">
      <c r="M826"/>
      <c r="N826"/>
      <c r="O826"/>
      <c r="P826"/>
      <c r="Q826"/>
      <c r="R826"/>
      <c r="S826"/>
      <c r="T826"/>
      <c r="U826"/>
      <c r="V826"/>
    </row>
    <row r="827" spans="12:22" x14ac:dyDescent="0.2">
      <c r="M827"/>
      <c r="N827"/>
      <c r="O827"/>
      <c r="P827"/>
      <c r="Q827"/>
      <c r="R827"/>
      <c r="S827"/>
      <c r="T827"/>
      <c r="U827"/>
      <c r="V827"/>
    </row>
    <row r="828" spans="12:22" x14ac:dyDescent="0.2">
      <c r="M828"/>
      <c r="N828"/>
      <c r="O828"/>
      <c r="P828"/>
      <c r="Q828"/>
      <c r="R828"/>
      <c r="S828"/>
      <c r="T828"/>
      <c r="U828"/>
      <c r="V828"/>
    </row>
    <row r="829" spans="12:22" x14ac:dyDescent="0.2">
      <c r="M829"/>
      <c r="N829"/>
      <c r="O829"/>
      <c r="P829"/>
      <c r="Q829"/>
      <c r="R829"/>
      <c r="S829"/>
      <c r="T829"/>
      <c r="U829"/>
      <c r="V829"/>
    </row>
    <row r="830" spans="12:22" x14ac:dyDescent="0.2">
      <c r="L830" s="16" t="s">
        <v>59</v>
      </c>
      <c r="M830"/>
      <c r="N830"/>
      <c r="O830"/>
      <c r="P830"/>
      <c r="Q830"/>
      <c r="R830"/>
      <c r="S830"/>
      <c r="T830"/>
      <c r="U830"/>
      <c r="V830"/>
    </row>
    <row r="831" spans="12:22" x14ac:dyDescent="0.2">
      <c r="M831"/>
      <c r="N831"/>
      <c r="O831"/>
      <c r="P831"/>
      <c r="Q831"/>
      <c r="R831"/>
      <c r="S831"/>
      <c r="T831"/>
      <c r="U831"/>
      <c r="V831"/>
    </row>
    <row r="832" spans="12:22" x14ac:dyDescent="0.2">
      <c r="M832"/>
      <c r="N832"/>
      <c r="O832"/>
      <c r="P832"/>
      <c r="Q832"/>
      <c r="R832"/>
      <c r="S832"/>
      <c r="T832"/>
      <c r="U832"/>
      <c r="V832"/>
    </row>
    <row r="833" spans="13:22" x14ac:dyDescent="0.2">
      <c r="M833"/>
      <c r="N833"/>
      <c r="O833"/>
      <c r="P833"/>
      <c r="Q833"/>
      <c r="R833"/>
      <c r="S833"/>
      <c r="T833"/>
      <c r="U833"/>
      <c r="V833"/>
    </row>
    <row r="834" spans="13:22" x14ac:dyDescent="0.2">
      <c r="M834"/>
      <c r="N834"/>
      <c r="O834"/>
      <c r="P834"/>
      <c r="Q834"/>
      <c r="R834"/>
      <c r="S834"/>
      <c r="T834"/>
      <c r="U834"/>
      <c r="V834"/>
    </row>
    <row r="835" spans="13:22" x14ac:dyDescent="0.2">
      <c r="M835"/>
      <c r="N835"/>
      <c r="O835"/>
      <c r="P835"/>
      <c r="Q835"/>
      <c r="R835"/>
      <c r="S835"/>
      <c r="T835"/>
      <c r="U835"/>
      <c r="V835"/>
    </row>
    <row r="836" spans="13:22" x14ac:dyDescent="0.2">
      <c r="M836"/>
      <c r="N836"/>
      <c r="O836"/>
      <c r="P836"/>
      <c r="Q836"/>
      <c r="R836"/>
      <c r="S836"/>
      <c r="T836"/>
      <c r="U836"/>
      <c r="V836"/>
    </row>
    <row r="837" spans="13:22" x14ac:dyDescent="0.2">
      <c r="M837"/>
      <c r="N837"/>
      <c r="O837"/>
      <c r="P837"/>
      <c r="Q837"/>
      <c r="R837"/>
      <c r="S837"/>
      <c r="T837"/>
      <c r="U837"/>
      <c r="V837"/>
    </row>
    <row r="838" spans="13:22" x14ac:dyDescent="0.2">
      <c r="M838"/>
      <c r="N838"/>
      <c r="O838"/>
      <c r="P838"/>
      <c r="Q838"/>
      <c r="R838"/>
      <c r="S838"/>
      <c r="T838"/>
      <c r="U838"/>
      <c r="V838"/>
    </row>
    <row r="839" spans="13:22" x14ac:dyDescent="0.2">
      <c r="M839"/>
      <c r="N839"/>
      <c r="O839"/>
      <c r="P839"/>
      <c r="Q839"/>
      <c r="R839"/>
      <c r="S839"/>
      <c r="T839"/>
      <c r="U839"/>
      <c r="V839"/>
    </row>
    <row r="840" spans="13:22" x14ac:dyDescent="0.2">
      <c r="M840"/>
      <c r="N840"/>
      <c r="O840"/>
      <c r="P840"/>
      <c r="Q840"/>
      <c r="R840"/>
      <c r="S840"/>
      <c r="T840"/>
      <c r="U840"/>
      <c r="V840"/>
    </row>
    <row r="841" spans="13:22" x14ac:dyDescent="0.2">
      <c r="M841"/>
      <c r="N841"/>
      <c r="O841"/>
      <c r="P841"/>
      <c r="Q841"/>
      <c r="R841"/>
      <c r="S841"/>
      <c r="T841"/>
      <c r="U841"/>
      <c r="V841"/>
    </row>
    <row r="842" spans="13:22" x14ac:dyDescent="0.2">
      <c r="M842"/>
      <c r="N842"/>
      <c r="O842"/>
      <c r="P842"/>
      <c r="Q842"/>
      <c r="R842"/>
      <c r="S842"/>
      <c r="T842"/>
      <c r="U842"/>
      <c r="V842"/>
    </row>
    <row r="843" spans="13:22" x14ac:dyDescent="0.2">
      <c r="M843"/>
      <c r="N843"/>
      <c r="O843"/>
      <c r="P843"/>
      <c r="Q843"/>
      <c r="R843"/>
      <c r="S843"/>
      <c r="T843"/>
      <c r="U843"/>
      <c r="V843"/>
    </row>
    <row r="844" spans="13:22" x14ac:dyDescent="0.2">
      <c r="M844"/>
      <c r="N844"/>
      <c r="O844"/>
      <c r="P844"/>
      <c r="Q844"/>
      <c r="R844"/>
      <c r="S844"/>
      <c r="T844"/>
      <c r="U844"/>
      <c r="V844"/>
    </row>
    <row r="845" spans="13:22" x14ac:dyDescent="0.2">
      <c r="M845"/>
      <c r="N845"/>
      <c r="O845"/>
      <c r="P845"/>
      <c r="Q845"/>
      <c r="R845"/>
      <c r="S845"/>
      <c r="T845"/>
      <c r="U845"/>
      <c r="V845"/>
    </row>
    <row r="846" spans="13:22" x14ac:dyDescent="0.2">
      <c r="M846"/>
      <c r="N846"/>
      <c r="O846"/>
      <c r="P846"/>
      <c r="Q846"/>
      <c r="R846"/>
      <c r="S846"/>
      <c r="T846"/>
      <c r="U846"/>
      <c r="V846"/>
    </row>
    <row r="847" spans="13:22" x14ac:dyDescent="0.2">
      <c r="M847"/>
      <c r="N847"/>
      <c r="O847"/>
      <c r="P847"/>
      <c r="Q847"/>
      <c r="R847"/>
      <c r="S847"/>
      <c r="T847"/>
      <c r="U847"/>
      <c r="V847"/>
    </row>
    <row r="848" spans="13:22" x14ac:dyDescent="0.2">
      <c r="M848"/>
      <c r="N848"/>
      <c r="O848"/>
      <c r="P848"/>
      <c r="Q848"/>
      <c r="R848"/>
      <c r="S848"/>
      <c r="T848"/>
      <c r="U848"/>
      <c r="V848"/>
    </row>
    <row r="849" spans="12:22" x14ac:dyDescent="0.2">
      <c r="M849"/>
      <c r="N849"/>
      <c r="O849"/>
      <c r="P849"/>
      <c r="Q849"/>
      <c r="R849"/>
      <c r="S849"/>
      <c r="T849"/>
      <c r="U849"/>
      <c r="V849"/>
    </row>
    <row r="850" spans="12:22" x14ac:dyDescent="0.2">
      <c r="M850"/>
      <c r="N850"/>
      <c r="O850"/>
      <c r="P850"/>
      <c r="Q850"/>
      <c r="R850"/>
      <c r="S850"/>
      <c r="T850"/>
      <c r="U850"/>
      <c r="V850"/>
    </row>
    <row r="851" spans="12:22" x14ac:dyDescent="0.2">
      <c r="M851"/>
      <c r="N851"/>
      <c r="O851"/>
      <c r="P851"/>
      <c r="Q851"/>
      <c r="R851"/>
      <c r="S851"/>
      <c r="T851"/>
      <c r="U851"/>
      <c r="V851"/>
    </row>
    <row r="852" spans="12:22" x14ac:dyDescent="0.2">
      <c r="M852"/>
      <c r="N852"/>
      <c r="O852"/>
      <c r="P852"/>
      <c r="Q852"/>
      <c r="R852"/>
      <c r="S852"/>
      <c r="T852"/>
      <c r="U852"/>
      <c r="V852"/>
    </row>
    <row r="853" spans="12:22" x14ac:dyDescent="0.2">
      <c r="M853"/>
      <c r="N853"/>
      <c r="O853"/>
      <c r="P853"/>
      <c r="Q853"/>
      <c r="R853"/>
      <c r="S853"/>
      <c r="T853"/>
      <c r="U853"/>
      <c r="V853"/>
    </row>
    <row r="854" spans="12:22" x14ac:dyDescent="0.2">
      <c r="M854"/>
      <c r="N854"/>
      <c r="O854"/>
      <c r="P854"/>
      <c r="Q854"/>
      <c r="R854"/>
      <c r="S854"/>
      <c r="T854"/>
      <c r="U854"/>
      <c r="V854"/>
    </row>
    <row r="855" spans="12:22" x14ac:dyDescent="0.2">
      <c r="L855" s="16" t="s">
        <v>60</v>
      </c>
      <c r="M855"/>
      <c r="N855"/>
      <c r="O855"/>
      <c r="P855"/>
      <c r="Q855"/>
      <c r="R855"/>
      <c r="S855"/>
      <c r="T855"/>
      <c r="U855"/>
      <c r="V855"/>
    </row>
    <row r="856" spans="12:22" x14ac:dyDescent="0.2">
      <c r="M856"/>
      <c r="N856"/>
      <c r="O856"/>
      <c r="P856"/>
      <c r="Q856"/>
      <c r="R856"/>
      <c r="S856"/>
      <c r="T856"/>
      <c r="U856"/>
      <c r="V856"/>
    </row>
    <row r="857" spans="12:22" x14ac:dyDescent="0.2">
      <c r="L857" s="32"/>
      <c r="M857"/>
      <c r="N857"/>
      <c r="O857"/>
      <c r="P857"/>
      <c r="Q857"/>
      <c r="R857"/>
      <c r="S857"/>
      <c r="T857"/>
      <c r="U857"/>
      <c r="V857"/>
    </row>
    <row r="858" spans="12:22" x14ac:dyDescent="0.2">
      <c r="L858" s="32"/>
      <c r="M858"/>
      <c r="N858"/>
      <c r="O858"/>
      <c r="P858"/>
      <c r="Q858"/>
      <c r="R858"/>
      <c r="S858"/>
      <c r="T858"/>
      <c r="U858"/>
      <c r="V858"/>
    </row>
    <row r="859" spans="12:22" x14ac:dyDescent="0.2">
      <c r="L859" s="32"/>
      <c r="M859"/>
      <c r="N859"/>
      <c r="O859"/>
      <c r="P859"/>
      <c r="Q859"/>
      <c r="R859"/>
      <c r="S859"/>
      <c r="T859"/>
      <c r="U859"/>
      <c r="V859"/>
    </row>
    <row r="860" spans="12:22" x14ac:dyDescent="0.2">
      <c r="L860" s="32"/>
      <c r="M860"/>
      <c r="N860"/>
      <c r="O860"/>
      <c r="P860"/>
      <c r="Q860"/>
      <c r="R860"/>
      <c r="S860"/>
      <c r="T860"/>
      <c r="U860"/>
      <c r="V860"/>
    </row>
    <row r="861" spans="12:22" x14ac:dyDescent="0.2">
      <c r="L861" s="32"/>
      <c r="M861"/>
      <c r="N861"/>
      <c r="O861"/>
      <c r="P861"/>
      <c r="Q861"/>
      <c r="R861"/>
      <c r="S861"/>
      <c r="T861"/>
      <c r="U861"/>
      <c r="V861"/>
    </row>
    <row r="862" spans="12:22" x14ac:dyDescent="0.2">
      <c r="L862" s="32"/>
      <c r="M862"/>
      <c r="N862"/>
      <c r="O862"/>
      <c r="P862"/>
      <c r="Q862"/>
      <c r="R862"/>
      <c r="S862"/>
      <c r="T862"/>
      <c r="U862"/>
      <c r="V862"/>
    </row>
    <row r="863" spans="12:22" x14ac:dyDescent="0.2">
      <c r="L863" s="32"/>
      <c r="M863"/>
      <c r="N863"/>
      <c r="O863"/>
      <c r="P863"/>
      <c r="Q863"/>
      <c r="R863"/>
      <c r="S863"/>
      <c r="T863"/>
      <c r="U863"/>
      <c r="V863"/>
    </row>
    <row r="864" spans="12:22" x14ac:dyDescent="0.2">
      <c r="L864" s="32"/>
      <c r="M864"/>
      <c r="N864"/>
      <c r="O864"/>
      <c r="P864"/>
      <c r="Q864"/>
      <c r="R864"/>
      <c r="S864"/>
      <c r="T864"/>
      <c r="U864"/>
      <c r="V864"/>
    </row>
    <row r="865" spans="12:22" x14ac:dyDescent="0.2">
      <c r="L865" s="32"/>
      <c r="M865"/>
      <c r="N865"/>
      <c r="O865"/>
      <c r="P865"/>
      <c r="Q865"/>
      <c r="R865"/>
      <c r="S865"/>
      <c r="T865"/>
      <c r="U865"/>
      <c r="V865"/>
    </row>
    <row r="866" spans="12:22" x14ac:dyDescent="0.2">
      <c r="L866" s="32"/>
      <c r="M866"/>
      <c r="N866"/>
      <c r="O866"/>
      <c r="P866"/>
      <c r="Q866"/>
      <c r="R866"/>
      <c r="S866"/>
      <c r="T866"/>
      <c r="U866"/>
      <c r="V866"/>
    </row>
    <row r="867" spans="12:22" x14ac:dyDescent="0.2">
      <c r="L867" s="32"/>
      <c r="M867"/>
      <c r="N867"/>
      <c r="O867"/>
      <c r="P867"/>
      <c r="Q867"/>
      <c r="R867"/>
      <c r="S867"/>
      <c r="T867"/>
      <c r="U867"/>
      <c r="V867"/>
    </row>
    <row r="868" spans="12:22" x14ac:dyDescent="0.2">
      <c r="L868" s="32"/>
      <c r="M868"/>
      <c r="N868"/>
      <c r="O868"/>
      <c r="P868"/>
      <c r="Q868"/>
      <c r="R868"/>
      <c r="S868"/>
      <c r="T868"/>
      <c r="U868"/>
      <c r="V868"/>
    </row>
    <row r="869" spans="12:22" x14ac:dyDescent="0.2">
      <c r="M869"/>
      <c r="N869"/>
      <c r="O869"/>
      <c r="P869"/>
      <c r="Q869"/>
      <c r="R869"/>
      <c r="S869"/>
      <c r="T869"/>
      <c r="U869"/>
      <c r="V869"/>
    </row>
    <row r="870" spans="12:22" x14ac:dyDescent="0.2">
      <c r="M870"/>
      <c r="N870"/>
      <c r="O870"/>
      <c r="P870"/>
      <c r="Q870"/>
      <c r="R870"/>
      <c r="S870"/>
      <c r="T870"/>
      <c r="U870"/>
      <c r="V870"/>
    </row>
    <row r="871" spans="12:22" x14ac:dyDescent="0.2">
      <c r="M871"/>
      <c r="N871"/>
      <c r="O871"/>
      <c r="P871"/>
      <c r="Q871"/>
      <c r="R871"/>
      <c r="S871"/>
      <c r="T871"/>
      <c r="U871"/>
      <c r="V871"/>
    </row>
    <row r="872" spans="12:22" x14ac:dyDescent="0.2">
      <c r="M872"/>
      <c r="N872"/>
      <c r="O872"/>
      <c r="P872"/>
      <c r="Q872"/>
      <c r="R872"/>
      <c r="S872"/>
      <c r="T872"/>
      <c r="U872"/>
      <c r="V872"/>
    </row>
    <row r="873" spans="12:22" x14ac:dyDescent="0.2">
      <c r="M873"/>
      <c r="N873"/>
      <c r="O873"/>
      <c r="P873"/>
      <c r="Q873"/>
      <c r="R873"/>
      <c r="S873"/>
      <c r="T873"/>
      <c r="U873"/>
      <c r="V873"/>
    </row>
    <row r="874" spans="12:22" x14ac:dyDescent="0.2">
      <c r="M874"/>
      <c r="N874"/>
      <c r="O874"/>
      <c r="P874"/>
      <c r="Q874"/>
      <c r="R874"/>
      <c r="S874"/>
      <c r="T874"/>
      <c r="U874"/>
      <c r="V874"/>
    </row>
    <row r="875" spans="12:22" x14ac:dyDescent="0.2">
      <c r="M875"/>
      <c r="N875"/>
      <c r="O875"/>
      <c r="P875"/>
      <c r="Q875"/>
      <c r="R875"/>
      <c r="S875"/>
      <c r="T875"/>
      <c r="U875"/>
      <c r="V875"/>
    </row>
    <row r="876" spans="12:22" x14ac:dyDescent="0.2">
      <c r="M876"/>
      <c r="N876"/>
      <c r="O876"/>
      <c r="P876"/>
      <c r="Q876"/>
      <c r="R876"/>
      <c r="S876"/>
      <c r="T876"/>
      <c r="U876"/>
      <c r="V876"/>
    </row>
    <row r="877" spans="12:22" x14ac:dyDescent="0.2">
      <c r="M877"/>
      <c r="N877"/>
      <c r="O877"/>
      <c r="P877"/>
      <c r="Q877"/>
      <c r="R877"/>
      <c r="S877"/>
      <c r="T877"/>
      <c r="U877"/>
      <c r="V877"/>
    </row>
    <row r="878" spans="12:22" x14ac:dyDescent="0.2">
      <c r="M878"/>
      <c r="N878"/>
      <c r="O878"/>
      <c r="P878"/>
      <c r="Q878"/>
      <c r="R878"/>
      <c r="S878"/>
      <c r="T878"/>
      <c r="U878"/>
      <c r="V878"/>
    </row>
    <row r="879" spans="12:22" x14ac:dyDescent="0.2">
      <c r="M879"/>
      <c r="N879"/>
      <c r="O879"/>
      <c r="P879"/>
      <c r="Q879"/>
      <c r="R879"/>
      <c r="S879"/>
      <c r="T879"/>
      <c r="U879"/>
      <c r="V879"/>
    </row>
    <row r="880" spans="12:22" x14ac:dyDescent="0.2">
      <c r="L880" s="16" t="s">
        <v>61</v>
      </c>
      <c r="M880"/>
      <c r="N880"/>
      <c r="O880"/>
      <c r="P880"/>
      <c r="Q880"/>
      <c r="R880"/>
      <c r="S880"/>
      <c r="T880"/>
      <c r="U880"/>
      <c r="V880"/>
    </row>
    <row r="881" spans="13:22" x14ac:dyDescent="0.2">
      <c r="M881"/>
      <c r="N881"/>
      <c r="O881"/>
      <c r="P881"/>
      <c r="Q881"/>
      <c r="R881"/>
      <c r="S881"/>
      <c r="T881"/>
      <c r="U881"/>
      <c r="V881"/>
    </row>
    <row r="882" spans="13:22" x14ac:dyDescent="0.2">
      <c r="M882"/>
      <c r="N882"/>
      <c r="O882"/>
      <c r="P882"/>
      <c r="Q882"/>
      <c r="R882"/>
      <c r="S882"/>
      <c r="T882"/>
      <c r="U882"/>
      <c r="V882"/>
    </row>
    <row r="883" spans="13:22" x14ac:dyDescent="0.2">
      <c r="M883"/>
      <c r="N883"/>
      <c r="O883"/>
      <c r="P883"/>
      <c r="Q883"/>
      <c r="R883"/>
      <c r="S883"/>
      <c r="T883"/>
      <c r="U883"/>
      <c r="V883"/>
    </row>
    <row r="884" spans="13:22" x14ac:dyDescent="0.2">
      <c r="M884"/>
      <c r="N884"/>
      <c r="O884"/>
      <c r="P884"/>
      <c r="Q884"/>
      <c r="R884"/>
      <c r="S884"/>
      <c r="T884"/>
      <c r="U884"/>
      <c r="V884"/>
    </row>
    <row r="885" spans="13:22" x14ac:dyDescent="0.2">
      <c r="M885"/>
      <c r="N885"/>
      <c r="O885"/>
      <c r="P885"/>
      <c r="Q885"/>
      <c r="R885"/>
      <c r="S885"/>
      <c r="T885"/>
      <c r="U885"/>
      <c r="V885"/>
    </row>
    <row r="886" spans="13:22" x14ac:dyDescent="0.2">
      <c r="M886"/>
      <c r="N886"/>
      <c r="O886"/>
      <c r="P886"/>
      <c r="Q886"/>
      <c r="R886"/>
      <c r="S886"/>
      <c r="T886"/>
      <c r="U886"/>
      <c r="V886"/>
    </row>
    <row r="887" spans="13:22" x14ac:dyDescent="0.2">
      <c r="M887"/>
      <c r="N887"/>
      <c r="O887"/>
      <c r="P887"/>
      <c r="Q887"/>
      <c r="R887"/>
      <c r="S887"/>
      <c r="T887"/>
      <c r="U887"/>
      <c r="V887"/>
    </row>
    <row r="888" spans="13:22" x14ac:dyDescent="0.2">
      <c r="M888"/>
      <c r="N888"/>
      <c r="O888"/>
      <c r="P888"/>
      <c r="Q888"/>
      <c r="R888"/>
      <c r="S888"/>
      <c r="T888"/>
      <c r="U888"/>
      <c r="V888"/>
    </row>
    <row r="889" spans="13:22" x14ac:dyDescent="0.2">
      <c r="M889"/>
      <c r="N889"/>
      <c r="O889"/>
      <c r="P889"/>
      <c r="Q889"/>
      <c r="R889"/>
      <c r="S889"/>
      <c r="T889"/>
      <c r="U889"/>
      <c r="V889"/>
    </row>
    <row r="905" spans="12:12" x14ac:dyDescent="0.2">
      <c r="L905" s="16" t="s">
        <v>62</v>
      </c>
    </row>
    <row r="907" spans="12:12" x14ac:dyDescent="0.2">
      <c r="L907" s="32"/>
    </row>
    <row r="908" spans="12:12" x14ac:dyDescent="0.2">
      <c r="L908" s="32"/>
    </row>
    <row r="909" spans="12:12" x14ac:dyDescent="0.2">
      <c r="L909" s="32"/>
    </row>
    <row r="910" spans="12:12" x14ac:dyDescent="0.2">
      <c r="L910" s="32"/>
    </row>
    <row r="911" spans="12:12" x14ac:dyDescent="0.2">
      <c r="L911" s="32"/>
    </row>
    <row r="912" spans="12:12" x14ac:dyDescent="0.2">
      <c r="L912" s="32"/>
    </row>
    <row r="913" spans="12:12" x14ac:dyDescent="0.2">
      <c r="L913" s="32"/>
    </row>
    <row r="914" spans="12:12" x14ac:dyDescent="0.2">
      <c r="L914" s="32"/>
    </row>
    <row r="915" spans="12:12" x14ac:dyDescent="0.2">
      <c r="L915" s="32"/>
    </row>
    <row r="916" spans="12:12" x14ac:dyDescent="0.2">
      <c r="L916" s="32"/>
    </row>
    <row r="917" spans="12:12" x14ac:dyDescent="0.2">
      <c r="L917" s="32"/>
    </row>
    <row r="918" spans="12:12" x14ac:dyDescent="0.2">
      <c r="L918" s="32"/>
    </row>
    <row r="930" spans="12:12" x14ac:dyDescent="0.2">
      <c r="L930" s="16" t="s">
        <v>63</v>
      </c>
    </row>
    <row r="955" spans="12:12" x14ac:dyDescent="0.2">
      <c r="L955" s="16" t="s">
        <v>64</v>
      </c>
    </row>
    <row r="957" spans="12:12" x14ac:dyDescent="0.2">
      <c r="L957" s="32"/>
    </row>
    <row r="958" spans="12:12" x14ac:dyDescent="0.2">
      <c r="L958" s="32"/>
    </row>
    <row r="959" spans="12:12" x14ac:dyDescent="0.2">
      <c r="L959" s="32"/>
    </row>
    <row r="960" spans="12:12" x14ac:dyDescent="0.2">
      <c r="L960" s="32"/>
    </row>
    <row r="961" spans="12:12" x14ac:dyDescent="0.2">
      <c r="L961" s="32"/>
    </row>
    <row r="962" spans="12:12" x14ac:dyDescent="0.2">
      <c r="L962" s="32"/>
    </row>
    <row r="963" spans="12:12" x14ac:dyDescent="0.2">
      <c r="L963" s="32"/>
    </row>
    <row r="964" spans="12:12" x14ac:dyDescent="0.2">
      <c r="L964" s="32"/>
    </row>
    <row r="965" spans="12:12" x14ac:dyDescent="0.2">
      <c r="L965" s="32"/>
    </row>
    <row r="966" spans="12:12" x14ac:dyDescent="0.2">
      <c r="L966" s="32"/>
    </row>
    <row r="967" spans="12:12" x14ac:dyDescent="0.2">
      <c r="L967" s="32"/>
    </row>
    <row r="968" spans="12:12" x14ac:dyDescent="0.2">
      <c r="L968" s="32"/>
    </row>
    <row r="980" spans="12:12" x14ac:dyDescent="0.2">
      <c r="L980" s="16" t="s">
        <v>65</v>
      </c>
    </row>
    <row r="1005" spans="12:12" x14ac:dyDescent="0.2">
      <c r="L1005" s="16" t="s">
        <v>66</v>
      </c>
    </row>
    <row r="1007" spans="12:12" x14ac:dyDescent="0.2">
      <c r="L1007" s="32"/>
    </row>
    <row r="1008" spans="12:12" x14ac:dyDescent="0.2">
      <c r="L1008" s="32"/>
    </row>
    <row r="1009" spans="12:12" x14ac:dyDescent="0.2">
      <c r="L1009" s="32"/>
    </row>
    <row r="1010" spans="12:12" x14ac:dyDescent="0.2">
      <c r="L1010" s="32"/>
    </row>
    <row r="1011" spans="12:12" x14ac:dyDescent="0.2">
      <c r="L1011" s="32"/>
    </row>
    <row r="1012" spans="12:12" x14ac:dyDescent="0.2">
      <c r="L1012" s="32"/>
    </row>
    <row r="1013" spans="12:12" x14ac:dyDescent="0.2">
      <c r="L1013" s="32"/>
    </row>
    <row r="1014" spans="12:12" x14ac:dyDescent="0.2">
      <c r="L1014" s="32"/>
    </row>
    <row r="1015" spans="12:12" x14ac:dyDescent="0.2">
      <c r="L1015" s="32"/>
    </row>
    <row r="1016" spans="12:12" x14ac:dyDescent="0.2">
      <c r="L1016" s="32"/>
    </row>
    <row r="1017" spans="12:12" x14ac:dyDescent="0.2">
      <c r="L1017" s="32"/>
    </row>
    <row r="1018" spans="12:12" x14ac:dyDescent="0.2">
      <c r="L1018" s="32"/>
    </row>
    <row r="1030" spans="12:12" x14ac:dyDescent="0.2">
      <c r="L1030" s="16" t="s">
        <v>67</v>
      </c>
    </row>
    <row r="1055" spans="12:12" x14ac:dyDescent="0.2">
      <c r="L1055" s="16" t="s">
        <v>68</v>
      </c>
    </row>
    <row r="1057" spans="12:12" x14ac:dyDescent="0.2">
      <c r="L1057" s="32"/>
    </row>
    <row r="1058" spans="12:12" x14ac:dyDescent="0.2">
      <c r="L1058" s="32"/>
    </row>
    <row r="1059" spans="12:12" x14ac:dyDescent="0.2">
      <c r="L1059" s="32"/>
    </row>
    <row r="1060" spans="12:12" x14ac:dyDescent="0.2">
      <c r="L1060" s="32"/>
    </row>
    <row r="1061" spans="12:12" x14ac:dyDescent="0.2">
      <c r="L1061" s="32"/>
    </row>
    <row r="1062" spans="12:12" x14ac:dyDescent="0.2">
      <c r="L1062" s="32"/>
    </row>
    <row r="1063" spans="12:12" x14ac:dyDescent="0.2">
      <c r="L1063" s="32"/>
    </row>
    <row r="1064" spans="12:12" x14ac:dyDescent="0.2">
      <c r="L1064" s="32"/>
    </row>
    <row r="1065" spans="12:12" x14ac:dyDescent="0.2">
      <c r="L1065" s="32"/>
    </row>
    <row r="1066" spans="12:12" x14ac:dyDescent="0.2">
      <c r="L1066" s="32"/>
    </row>
    <row r="1067" spans="12:12" x14ac:dyDescent="0.2">
      <c r="L1067" s="32"/>
    </row>
    <row r="1068" spans="12:12" x14ac:dyDescent="0.2">
      <c r="L1068" s="32"/>
    </row>
    <row r="1080" spans="12:12" x14ac:dyDescent="0.2">
      <c r="L1080" s="16" t="s">
        <v>69</v>
      </c>
    </row>
    <row r="1105" spans="12:12" x14ac:dyDescent="0.2">
      <c r="L1105" s="16" t="s">
        <v>70</v>
      </c>
    </row>
    <row r="1107" spans="12:12" x14ac:dyDescent="0.2">
      <c r="L1107" s="32"/>
    </row>
    <row r="1108" spans="12:12" x14ac:dyDescent="0.2">
      <c r="L1108" s="32"/>
    </row>
    <row r="1109" spans="12:12" x14ac:dyDescent="0.2">
      <c r="L1109" s="32"/>
    </row>
    <row r="1110" spans="12:12" x14ac:dyDescent="0.2">
      <c r="L1110" s="32"/>
    </row>
    <row r="1111" spans="12:12" x14ac:dyDescent="0.2">
      <c r="L1111" s="32"/>
    </row>
    <row r="1112" spans="12:12" x14ac:dyDescent="0.2">
      <c r="L1112" s="32"/>
    </row>
    <row r="1113" spans="12:12" x14ac:dyDescent="0.2">
      <c r="L1113" s="32"/>
    </row>
    <row r="1114" spans="12:12" x14ac:dyDescent="0.2">
      <c r="L1114" s="32"/>
    </row>
    <row r="1115" spans="12:12" x14ac:dyDescent="0.2">
      <c r="L1115" s="32"/>
    </row>
    <row r="1116" spans="12:12" x14ac:dyDescent="0.2">
      <c r="L1116" s="32"/>
    </row>
    <row r="1117" spans="12:12" x14ac:dyDescent="0.2">
      <c r="L1117" s="32"/>
    </row>
    <row r="1118" spans="12:12" x14ac:dyDescent="0.2">
      <c r="L1118" s="32"/>
    </row>
    <row r="1130" spans="12:12" x14ac:dyDescent="0.2">
      <c r="L1130" s="16" t="s">
        <v>71</v>
      </c>
    </row>
    <row r="1155" spans="12:12" x14ac:dyDescent="0.2">
      <c r="L1155" s="16" t="s">
        <v>72</v>
      </c>
    </row>
    <row r="1157" spans="12:12" x14ac:dyDescent="0.2">
      <c r="L1157" s="32"/>
    </row>
    <row r="1158" spans="12:12" x14ac:dyDescent="0.2">
      <c r="L1158" s="32"/>
    </row>
    <row r="1159" spans="12:12" x14ac:dyDescent="0.2">
      <c r="L1159" s="32"/>
    </row>
    <row r="1160" spans="12:12" x14ac:dyDescent="0.2">
      <c r="L1160" s="32"/>
    </row>
    <row r="1161" spans="12:12" x14ac:dyDescent="0.2">
      <c r="L1161" s="32"/>
    </row>
    <row r="1162" spans="12:12" x14ac:dyDescent="0.2">
      <c r="L1162" s="32"/>
    </row>
    <row r="1163" spans="12:12" x14ac:dyDescent="0.2">
      <c r="L1163" s="32"/>
    </row>
    <row r="1164" spans="12:12" x14ac:dyDescent="0.2">
      <c r="L1164" s="32"/>
    </row>
    <row r="1165" spans="12:12" x14ac:dyDescent="0.2">
      <c r="L1165" s="32"/>
    </row>
    <row r="1166" spans="12:12" x14ac:dyDescent="0.2">
      <c r="L1166" s="32"/>
    </row>
    <row r="1167" spans="12:12" x14ac:dyDescent="0.2">
      <c r="L1167" s="32"/>
    </row>
    <row r="1168" spans="12:12" x14ac:dyDescent="0.2">
      <c r="L1168" s="32"/>
    </row>
    <row r="1180" spans="12:12" x14ac:dyDescent="0.2">
      <c r="L1180" s="16" t="s">
        <v>73</v>
      </c>
    </row>
    <row r="1205" spans="12:12" x14ac:dyDescent="0.2">
      <c r="L1205" s="16" t="s">
        <v>74</v>
      </c>
    </row>
    <row r="1207" spans="12:12" x14ac:dyDescent="0.2">
      <c r="L1207" s="32"/>
    </row>
    <row r="1208" spans="12:12" x14ac:dyDescent="0.2">
      <c r="L1208" s="32"/>
    </row>
    <row r="1209" spans="12:12" x14ac:dyDescent="0.2">
      <c r="L1209" s="32"/>
    </row>
    <row r="1210" spans="12:12" x14ac:dyDescent="0.2">
      <c r="L1210" s="32"/>
    </row>
    <row r="1211" spans="12:12" x14ac:dyDescent="0.2">
      <c r="L1211" s="32"/>
    </row>
    <row r="1212" spans="12:12" x14ac:dyDescent="0.2">
      <c r="L1212" s="32"/>
    </row>
    <row r="1213" spans="12:12" x14ac:dyDescent="0.2">
      <c r="L1213" s="32"/>
    </row>
    <row r="1214" spans="12:12" x14ac:dyDescent="0.2">
      <c r="L1214" s="32"/>
    </row>
    <row r="1215" spans="12:12" x14ac:dyDescent="0.2">
      <c r="L1215" s="32"/>
    </row>
    <row r="1216" spans="12:12" x14ac:dyDescent="0.2">
      <c r="L1216" s="32"/>
    </row>
    <row r="1217" spans="12:12" x14ac:dyDescent="0.2">
      <c r="L1217" s="32"/>
    </row>
    <row r="1218" spans="12:12" x14ac:dyDescent="0.2">
      <c r="L1218" s="32"/>
    </row>
    <row r="1230" spans="12:12" x14ac:dyDescent="0.2">
      <c r="L1230" s="16" t="s">
        <v>75</v>
      </c>
    </row>
    <row r="1255" spans="12:12" x14ac:dyDescent="0.2">
      <c r="L1255" s="16" t="s">
        <v>76</v>
      </c>
    </row>
    <row r="1257" spans="12:12" x14ac:dyDescent="0.2">
      <c r="L1257" s="32"/>
    </row>
    <row r="1258" spans="12:12" x14ac:dyDescent="0.2">
      <c r="L1258" s="32"/>
    </row>
    <row r="1259" spans="12:12" x14ac:dyDescent="0.2">
      <c r="L1259" s="32"/>
    </row>
    <row r="1260" spans="12:12" x14ac:dyDescent="0.2">
      <c r="L1260" s="32"/>
    </row>
    <row r="1261" spans="12:12" x14ac:dyDescent="0.2">
      <c r="L1261" s="32"/>
    </row>
    <row r="1262" spans="12:12" x14ac:dyDescent="0.2">
      <c r="L1262" s="32"/>
    </row>
    <row r="1263" spans="12:12" x14ac:dyDescent="0.2">
      <c r="L1263" s="32"/>
    </row>
    <row r="1264" spans="12:12" x14ac:dyDescent="0.2">
      <c r="L1264" s="32"/>
    </row>
    <row r="1265" spans="12:12" x14ac:dyDescent="0.2">
      <c r="L1265" s="32"/>
    </row>
    <row r="1266" spans="12:12" x14ac:dyDescent="0.2">
      <c r="L1266" s="32"/>
    </row>
    <row r="1267" spans="12:12" x14ac:dyDescent="0.2">
      <c r="L1267" s="32"/>
    </row>
    <row r="1268" spans="12:12" x14ac:dyDescent="0.2">
      <c r="L1268" s="32"/>
    </row>
    <row r="1280" spans="12:12" x14ac:dyDescent="0.2">
      <c r="L1280" s="16" t="s">
        <v>77</v>
      </c>
    </row>
    <row r="1305" spans="12:12" x14ac:dyDescent="0.2">
      <c r="L1305" s="16" t="s">
        <v>78</v>
      </c>
    </row>
    <row r="1307" spans="12:12" x14ac:dyDescent="0.2">
      <c r="L1307" s="32"/>
    </row>
    <row r="1308" spans="12:12" x14ac:dyDescent="0.2">
      <c r="L1308" s="32"/>
    </row>
    <row r="1309" spans="12:12" x14ac:dyDescent="0.2">
      <c r="L1309" s="32"/>
    </row>
    <row r="1310" spans="12:12" x14ac:dyDescent="0.2">
      <c r="L1310" s="32"/>
    </row>
    <row r="1311" spans="12:12" x14ac:dyDescent="0.2">
      <c r="L1311" s="32"/>
    </row>
    <row r="1312" spans="12:12" x14ac:dyDescent="0.2">
      <c r="L1312" s="32"/>
    </row>
    <row r="1313" spans="12:12" x14ac:dyDescent="0.2">
      <c r="L1313" s="32"/>
    </row>
    <row r="1314" spans="12:12" x14ac:dyDescent="0.2">
      <c r="L1314" s="32"/>
    </row>
    <row r="1315" spans="12:12" x14ac:dyDescent="0.2">
      <c r="L1315" s="32"/>
    </row>
    <row r="1316" spans="12:12" x14ac:dyDescent="0.2">
      <c r="L1316" s="32"/>
    </row>
    <row r="1317" spans="12:12" x14ac:dyDescent="0.2">
      <c r="L1317" s="32"/>
    </row>
    <row r="1318" spans="12:12" x14ac:dyDescent="0.2">
      <c r="L1318" s="32"/>
    </row>
    <row r="1330" spans="12:12" x14ac:dyDescent="0.2">
      <c r="L1330" s="16" t="s">
        <v>79</v>
      </c>
    </row>
    <row r="1355" spans="12:12" x14ac:dyDescent="0.2">
      <c r="L1355" s="16" t="s">
        <v>80</v>
      </c>
    </row>
    <row r="1357" spans="12:12" x14ac:dyDescent="0.2">
      <c r="L1357" s="32"/>
    </row>
    <row r="1358" spans="12:12" x14ac:dyDescent="0.2">
      <c r="L1358" s="32"/>
    </row>
    <row r="1359" spans="12:12" x14ac:dyDescent="0.2">
      <c r="L1359" s="32"/>
    </row>
    <row r="1360" spans="12:12" x14ac:dyDescent="0.2">
      <c r="L1360" s="32"/>
    </row>
    <row r="1361" spans="12:12" x14ac:dyDescent="0.2">
      <c r="L1361" s="32"/>
    </row>
    <row r="1362" spans="12:12" x14ac:dyDescent="0.2">
      <c r="L1362" s="32"/>
    </row>
    <row r="1363" spans="12:12" x14ac:dyDescent="0.2">
      <c r="L1363" s="32"/>
    </row>
    <row r="1364" spans="12:12" x14ac:dyDescent="0.2">
      <c r="L1364" s="32"/>
    </row>
    <row r="1365" spans="12:12" x14ac:dyDescent="0.2">
      <c r="L1365" s="32"/>
    </row>
    <row r="1366" spans="12:12" x14ac:dyDescent="0.2">
      <c r="L1366" s="32"/>
    </row>
    <row r="1367" spans="12:12" x14ac:dyDescent="0.2">
      <c r="L1367" s="32"/>
    </row>
    <row r="1368" spans="12:12" x14ac:dyDescent="0.2">
      <c r="L1368" s="32"/>
    </row>
    <row r="1380" spans="12:12" x14ac:dyDescent="0.2">
      <c r="L1380" s="16" t="s">
        <v>81</v>
      </c>
    </row>
    <row r="1405" spans="12:12" x14ac:dyDescent="0.2">
      <c r="L1405" s="16" t="s">
        <v>82</v>
      </c>
    </row>
    <row r="1407" spans="12:12" x14ac:dyDescent="0.2">
      <c r="L1407" s="32"/>
    </row>
    <row r="1408" spans="12:12" x14ac:dyDescent="0.2">
      <c r="L1408" s="32"/>
    </row>
    <row r="1409" spans="12:12" x14ac:dyDescent="0.2">
      <c r="L1409" s="32"/>
    </row>
    <row r="1410" spans="12:12" x14ac:dyDescent="0.2">
      <c r="L1410" s="32"/>
    </row>
    <row r="1411" spans="12:12" x14ac:dyDescent="0.2">
      <c r="L1411" s="32"/>
    </row>
    <row r="1412" spans="12:12" x14ac:dyDescent="0.2">
      <c r="L1412" s="32"/>
    </row>
    <row r="1413" spans="12:12" x14ac:dyDescent="0.2">
      <c r="L1413" s="32"/>
    </row>
    <row r="1414" spans="12:12" x14ac:dyDescent="0.2">
      <c r="L1414" s="32"/>
    </row>
    <row r="1415" spans="12:12" x14ac:dyDescent="0.2">
      <c r="L1415" s="32"/>
    </row>
    <row r="1416" spans="12:12" x14ac:dyDescent="0.2">
      <c r="L1416" s="32"/>
    </row>
    <row r="1417" spans="12:12" x14ac:dyDescent="0.2">
      <c r="L1417" s="32"/>
    </row>
    <row r="1418" spans="12:12" x14ac:dyDescent="0.2">
      <c r="L1418" s="32"/>
    </row>
    <row r="1430" spans="12:12" x14ac:dyDescent="0.2">
      <c r="L1430" s="16" t="s">
        <v>83</v>
      </c>
    </row>
    <row r="1455" spans="12:12" x14ac:dyDescent="0.2">
      <c r="L1455" s="16" t="s">
        <v>84</v>
      </c>
    </row>
    <row r="1457" spans="12:12" x14ac:dyDescent="0.2">
      <c r="L1457" s="32"/>
    </row>
    <row r="1458" spans="12:12" x14ac:dyDescent="0.2">
      <c r="L1458" s="32"/>
    </row>
    <row r="1459" spans="12:12" x14ac:dyDescent="0.2">
      <c r="L1459" s="32"/>
    </row>
    <row r="1460" spans="12:12" x14ac:dyDescent="0.2">
      <c r="L1460" s="32"/>
    </row>
    <row r="1461" spans="12:12" x14ac:dyDescent="0.2">
      <c r="L1461" s="32"/>
    </row>
    <row r="1462" spans="12:12" x14ac:dyDescent="0.2">
      <c r="L1462" s="32"/>
    </row>
    <row r="1463" spans="12:12" x14ac:dyDescent="0.2">
      <c r="L1463" s="32"/>
    </row>
    <row r="1464" spans="12:12" x14ac:dyDescent="0.2">
      <c r="L1464" s="32"/>
    </row>
    <row r="1465" spans="12:12" x14ac:dyDescent="0.2">
      <c r="L1465" s="32"/>
    </row>
    <row r="1466" spans="12:12" x14ac:dyDescent="0.2">
      <c r="L1466" s="32"/>
    </row>
    <row r="1467" spans="12:12" x14ac:dyDescent="0.2">
      <c r="L1467" s="32"/>
    </row>
    <row r="1468" spans="12:12" x14ac:dyDescent="0.2">
      <c r="L1468" s="32"/>
    </row>
    <row r="1480" spans="12:12" x14ac:dyDescent="0.2">
      <c r="L1480" s="16" t="s">
        <v>85</v>
      </c>
    </row>
    <row r="1505" spans="12:12" x14ac:dyDescent="0.2">
      <c r="L1505" s="16" t="s">
        <v>86</v>
      </c>
    </row>
    <row r="1507" spans="12:12" x14ac:dyDescent="0.2">
      <c r="L1507" s="32"/>
    </row>
    <row r="1508" spans="12:12" x14ac:dyDescent="0.2">
      <c r="L1508" s="32"/>
    </row>
    <row r="1509" spans="12:12" x14ac:dyDescent="0.2">
      <c r="L1509" s="32"/>
    </row>
    <row r="1510" spans="12:12" x14ac:dyDescent="0.2">
      <c r="L1510" s="32"/>
    </row>
    <row r="1511" spans="12:12" x14ac:dyDescent="0.2">
      <c r="L1511" s="32"/>
    </row>
    <row r="1512" spans="12:12" x14ac:dyDescent="0.2">
      <c r="L1512" s="32"/>
    </row>
    <row r="1513" spans="12:12" x14ac:dyDescent="0.2">
      <c r="L1513" s="32"/>
    </row>
    <row r="1514" spans="12:12" x14ac:dyDescent="0.2">
      <c r="L1514" s="32"/>
    </row>
    <row r="1515" spans="12:12" x14ac:dyDescent="0.2">
      <c r="L1515" s="32"/>
    </row>
    <row r="1516" spans="12:12" x14ac:dyDescent="0.2">
      <c r="L1516" s="32"/>
    </row>
    <row r="1517" spans="12:12" x14ac:dyDescent="0.2">
      <c r="L1517" s="32"/>
    </row>
    <row r="1518" spans="12:12" x14ac:dyDescent="0.2">
      <c r="L1518" s="32"/>
    </row>
    <row r="1530" spans="12:12" x14ac:dyDescent="0.2">
      <c r="L1530" s="16" t="s">
        <v>87</v>
      </c>
    </row>
    <row r="1555" spans="12:12" x14ac:dyDescent="0.2">
      <c r="L1555" s="16" t="s">
        <v>88</v>
      </c>
    </row>
    <row r="1557" spans="12:12" x14ac:dyDescent="0.2">
      <c r="L1557" s="32"/>
    </row>
    <row r="1558" spans="12:12" x14ac:dyDescent="0.2">
      <c r="L1558" s="32"/>
    </row>
    <row r="1559" spans="12:12" x14ac:dyDescent="0.2">
      <c r="L1559" s="32"/>
    </row>
    <row r="1560" spans="12:12" x14ac:dyDescent="0.2">
      <c r="L1560" s="32"/>
    </row>
    <row r="1561" spans="12:12" x14ac:dyDescent="0.2">
      <c r="L1561" s="32"/>
    </row>
    <row r="1562" spans="12:12" x14ac:dyDescent="0.2">
      <c r="L1562" s="32"/>
    </row>
    <row r="1563" spans="12:12" x14ac:dyDescent="0.2">
      <c r="L1563" s="32"/>
    </row>
    <row r="1564" spans="12:12" x14ac:dyDescent="0.2">
      <c r="L1564" s="32"/>
    </row>
    <row r="1565" spans="12:12" x14ac:dyDescent="0.2">
      <c r="L1565" s="32"/>
    </row>
    <row r="1566" spans="12:12" x14ac:dyDescent="0.2">
      <c r="L1566" s="32"/>
    </row>
    <row r="1567" spans="12:12" x14ac:dyDescent="0.2">
      <c r="L1567" s="32"/>
    </row>
    <row r="1568" spans="12:12" x14ac:dyDescent="0.2">
      <c r="L1568" s="32"/>
    </row>
    <row r="1580" spans="12:12" x14ac:dyDescent="0.2">
      <c r="L1580" s="16" t="s">
        <v>89</v>
      </c>
    </row>
    <row r="1605" spans="12:12" x14ac:dyDescent="0.2">
      <c r="L1605" s="16" t="s">
        <v>90</v>
      </c>
    </row>
    <row r="1607" spans="12:12" x14ac:dyDescent="0.2">
      <c r="L1607" s="32"/>
    </row>
    <row r="1608" spans="12:12" x14ac:dyDescent="0.2">
      <c r="L1608" s="32"/>
    </row>
    <row r="1609" spans="12:12" x14ac:dyDescent="0.2">
      <c r="L1609" s="32"/>
    </row>
    <row r="1610" spans="12:12" x14ac:dyDescent="0.2">
      <c r="L1610" s="32"/>
    </row>
    <row r="1611" spans="12:12" x14ac:dyDescent="0.2">
      <c r="L1611" s="32"/>
    </row>
    <row r="1612" spans="12:12" x14ac:dyDescent="0.2">
      <c r="L1612" s="32"/>
    </row>
    <row r="1613" spans="12:12" x14ac:dyDescent="0.2">
      <c r="L1613" s="32"/>
    </row>
    <row r="1614" spans="12:12" x14ac:dyDescent="0.2">
      <c r="L1614" s="32"/>
    </row>
    <row r="1615" spans="12:12" x14ac:dyDescent="0.2">
      <c r="L1615" s="32"/>
    </row>
    <row r="1616" spans="12:12" x14ac:dyDescent="0.2">
      <c r="L1616" s="32"/>
    </row>
    <row r="1617" spans="12:12" x14ac:dyDescent="0.2">
      <c r="L1617" s="32"/>
    </row>
    <row r="1618" spans="12:12" x14ac:dyDescent="0.2">
      <c r="L1618" s="32"/>
    </row>
    <row r="1630" spans="12:12" x14ac:dyDescent="0.2">
      <c r="L1630" s="16" t="s">
        <v>91</v>
      </c>
    </row>
    <row r="1655" spans="12:12" x14ac:dyDescent="0.2">
      <c r="L1655" s="16" t="s">
        <v>92</v>
      </c>
    </row>
    <row r="1657" spans="12:12" x14ac:dyDescent="0.2">
      <c r="L1657" s="32"/>
    </row>
    <row r="1658" spans="12:12" x14ac:dyDescent="0.2">
      <c r="L1658" s="32"/>
    </row>
    <row r="1659" spans="12:12" x14ac:dyDescent="0.2">
      <c r="L1659" s="32"/>
    </row>
    <row r="1660" spans="12:12" x14ac:dyDescent="0.2">
      <c r="L1660" s="32"/>
    </row>
    <row r="1661" spans="12:12" x14ac:dyDescent="0.2">
      <c r="L1661" s="32"/>
    </row>
    <row r="1662" spans="12:12" x14ac:dyDescent="0.2">
      <c r="L1662" s="32"/>
    </row>
    <row r="1663" spans="12:12" x14ac:dyDescent="0.2">
      <c r="L1663" s="32"/>
    </row>
    <row r="1664" spans="12:12" x14ac:dyDescent="0.2">
      <c r="L1664" s="32"/>
    </row>
    <row r="1665" spans="12:12" x14ac:dyDescent="0.2">
      <c r="L1665" s="32"/>
    </row>
    <row r="1666" spans="12:12" x14ac:dyDescent="0.2">
      <c r="L1666" s="32"/>
    </row>
    <row r="1667" spans="12:12" x14ac:dyDescent="0.2">
      <c r="L1667" s="32"/>
    </row>
    <row r="1668" spans="12:12" x14ac:dyDescent="0.2">
      <c r="L1668" s="32"/>
    </row>
    <row r="1680" spans="12:12" x14ac:dyDescent="0.2">
      <c r="L1680" s="16" t="s">
        <v>93</v>
      </c>
    </row>
    <row r="1705" spans="12:12" x14ac:dyDescent="0.2">
      <c r="L1705" s="16" t="s">
        <v>94</v>
      </c>
    </row>
    <row r="1707" spans="12:12" x14ac:dyDescent="0.2">
      <c r="L1707" s="32"/>
    </row>
    <row r="1708" spans="12:12" x14ac:dyDescent="0.2">
      <c r="L1708" s="32"/>
    </row>
    <row r="1709" spans="12:12" x14ac:dyDescent="0.2">
      <c r="L1709" s="32"/>
    </row>
    <row r="1710" spans="12:12" x14ac:dyDescent="0.2">
      <c r="L1710" s="32"/>
    </row>
    <row r="1711" spans="12:12" x14ac:dyDescent="0.2">
      <c r="L1711" s="32"/>
    </row>
    <row r="1712" spans="12:12" x14ac:dyDescent="0.2">
      <c r="L1712" s="32"/>
    </row>
    <row r="1713" spans="12:12" x14ac:dyDescent="0.2">
      <c r="L1713" s="32"/>
    </row>
    <row r="1714" spans="12:12" x14ac:dyDescent="0.2">
      <c r="L1714" s="32"/>
    </row>
    <row r="1715" spans="12:12" x14ac:dyDescent="0.2">
      <c r="L1715" s="32"/>
    </row>
    <row r="1716" spans="12:12" x14ac:dyDescent="0.2">
      <c r="L1716" s="32"/>
    </row>
    <row r="1717" spans="12:12" x14ac:dyDescent="0.2">
      <c r="L1717" s="32"/>
    </row>
    <row r="1718" spans="12:12" x14ac:dyDescent="0.2">
      <c r="L1718" s="32"/>
    </row>
    <row r="1730" spans="12:12" x14ac:dyDescent="0.2">
      <c r="L1730" s="16" t="s">
        <v>95</v>
      </c>
    </row>
    <row r="1755" spans="12:12" x14ac:dyDescent="0.2">
      <c r="L1755" s="16" t="s">
        <v>96</v>
      </c>
    </row>
    <row r="1757" spans="12:12" x14ac:dyDescent="0.2">
      <c r="L1757" s="32"/>
    </row>
    <row r="1758" spans="12:12" x14ac:dyDescent="0.2">
      <c r="L1758" s="32"/>
    </row>
    <row r="1759" spans="12:12" x14ac:dyDescent="0.2">
      <c r="L1759" s="32"/>
    </row>
    <row r="1760" spans="12:12" x14ac:dyDescent="0.2">
      <c r="L1760" s="32"/>
    </row>
    <row r="1761" spans="12:12" x14ac:dyDescent="0.2">
      <c r="L1761" s="32"/>
    </row>
    <row r="1762" spans="12:12" x14ac:dyDescent="0.2">
      <c r="L1762" s="32"/>
    </row>
    <row r="1763" spans="12:12" x14ac:dyDescent="0.2">
      <c r="L1763" s="32"/>
    </row>
    <row r="1764" spans="12:12" x14ac:dyDescent="0.2">
      <c r="L1764" s="32"/>
    </row>
    <row r="1765" spans="12:12" x14ac:dyDescent="0.2">
      <c r="L1765" s="32"/>
    </row>
    <row r="1766" spans="12:12" x14ac:dyDescent="0.2">
      <c r="L1766" s="32"/>
    </row>
    <row r="1767" spans="12:12" x14ac:dyDescent="0.2">
      <c r="L1767" s="32"/>
    </row>
    <row r="1768" spans="12:12" x14ac:dyDescent="0.2">
      <c r="L1768" s="32"/>
    </row>
    <row r="1780" spans="12:12" x14ac:dyDescent="0.2">
      <c r="L1780" s="16" t="s">
        <v>97</v>
      </c>
    </row>
    <row r="1805" spans="12:12" x14ac:dyDescent="0.2">
      <c r="L1805" s="16" t="s">
        <v>98</v>
      </c>
    </row>
    <row r="1807" spans="12:12" x14ac:dyDescent="0.2">
      <c r="L1807" s="32"/>
    </row>
    <row r="1808" spans="12:12" x14ac:dyDescent="0.2">
      <c r="L1808" s="32"/>
    </row>
    <row r="1809" spans="12:12" x14ac:dyDescent="0.2">
      <c r="L1809" s="32"/>
    </row>
    <row r="1810" spans="12:12" x14ac:dyDescent="0.2">
      <c r="L1810" s="32"/>
    </row>
    <row r="1811" spans="12:12" x14ac:dyDescent="0.2">
      <c r="L1811" s="32"/>
    </row>
    <row r="1812" spans="12:12" x14ac:dyDescent="0.2">
      <c r="L1812" s="32"/>
    </row>
    <row r="1813" spans="12:12" x14ac:dyDescent="0.2">
      <c r="L1813" s="32"/>
    </row>
    <row r="1814" spans="12:12" x14ac:dyDescent="0.2">
      <c r="L1814" s="32"/>
    </row>
    <row r="1815" spans="12:12" x14ac:dyDescent="0.2">
      <c r="L1815" s="32"/>
    </row>
    <row r="1816" spans="12:12" x14ac:dyDescent="0.2">
      <c r="L1816" s="32"/>
    </row>
    <row r="1817" spans="12:12" x14ac:dyDescent="0.2">
      <c r="L1817" s="32"/>
    </row>
    <row r="1818" spans="12:12" x14ac:dyDescent="0.2">
      <c r="L1818" s="32"/>
    </row>
    <row r="1830" spans="12:12" x14ac:dyDescent="0.2">
      <c r="L1830" s="16" t="s">
        <v>99</v>
      </c>
    </row>
    <row r="1855" spans="12:12" x14ac:dyDescent="0.2">
      <c r="L1855" s="16" t="s">
        <v>100</v>
      </c>
    </row>
    <row r="1857" spans="12:12" x14ac:dyDescent="0.2">
      <c r="L1857" s="32"/>
    </row>
    <row r="1858" spans="12:12" x14ac:dyDescent="0.2">
      <c r="L1858" s="32"/>
    </row>
    <row r="1859" spans="12:12" x14ac:dyDescent="0.2">
      <c r="L1859" s="32"/>
    </row>
    <row r="1860" spans="12:12" x14ac:dyDescent="0.2">
      <c r="L1860" s="32"/>
    </row>
    <row r="1861" spans="12:12" x14ac:dyDescent="0.2">
      <c r="L1861" s="32"/>
    </row>
    <row r="1862" spans="12:12" x14ac:dyDescent="0.2">
      <c r="L1862" s="32"/>
    </row>
    <row r="1863" spans="12:12" x14ac:dyDescent="0.2">
      <c r="L1863" s="32"/>
    </row>
    <row r="1864" spans="12:12" x14ac:dyDescent="0.2">
      <c r="L1864" s="32"/>
    </row>
    <row r="1865" spans="12:12" x14ac:dyDescent="0.2">
      <c r="L1865" s="32"/>
    </row>
    <row r="1866" spans="12:12" x14ac:dyDescent="0.2">
      <c r="L1866" s="32"/>
    </row>
    <row r="1867" spans="12:12" x14ac:dyDescent="0.2">
      <c r="L1867" s="32"/>
    </row>
    <row r="1868" spans="12:12" x14ac:dyDescent="0.2">
      <c r="L1868" s="32"/>
    </row>
    <row r="1880" spans="12:12" x14ac:dyDescent="0.2">
      <c r="L1880" s="16" t="s">
        <v>101</v>
      </c>
    </row>
    <row r="1905" spans="12:12" x14ac:dyDescent="0.2">
      <c r="L1905" s="16" t="s">
        <v>102</v>
      </c>
    </row>
    <row r="1907" spans="12:12" x14ac:dyDescent="0.2">
      <c r="L1907" s="32"/>
    </row>
    <row r="1908" spans="12:12" x14ac:dyDescent="0.2">
      <c r="L1908" s="32"/>
    </row>
    <row r="1909" spans="12:12" x14ac:dyDescent="0.2">
      <c r="L1909" s="32"/>
    </row>
    <row r="1910" spans="12:12" x14ac:dyDescent="0.2">
      <c r="L1910" s="32"/>
    </row>
    <row r="1911" spans="12:12" x14ac:dyDescent="0.2">
      <c r="L1911" s="32"/>
    </row>
    <row r="1912" spans="12:12" x14ac:dyDescent="0.2">
      <c r="L1912" s="32"/>
    </row>
    <row r="1913" spans="12:12" x14ac:dyDescent="0.2">
      <c r="L1913" s="32"/>
    </row>
    <row r="1914" spans="12:12" x14ac:dyDescent="0.2">
      <c r="L1914" s="32"/>
    </row>
    <row r="1915" spans="12:12" x14ac:dyDescent="0.2">
      <c r="L1915" s="32"/>
    </row>
    <row r="1916" spans="12:12" x14ac:dyDescent="0.2">
      <c r="L1916" s="32"/>
    </row>
    <row r="1917" spans="12:12" x14ac:dyDescent="0.2">
      <c r="L1917" s="32"/>
    </row>
    <row r="1918" spans="12:12" x14ac:dyDescent="0.2">
      <c r="L1918" s="32"/>
    </row>
    <row r="1930" spans="12:12" x14ac:dyDescent="0.2">
      <c r="L1930" s="16" t="s">
        <v>103</v>
      </c>
    </row>
    <row r="1955" spans="12:12" x14ac:dyDescent="0.2">
      <c r="L1955" s="16" t="s">
        <v>104</v>
      </c>
    </row>
    <row r="1957" spans="12:12" x14ac:dyDescent="0.2">
      <c r="L1957" s="32"/>
    </row>
    <row r="1958" spans="12:12" x14ac:dyDescent="0.2">
      <c r="L1958" s="32"/>
    </row>
    <row r="1959" spans="12:12" x14ac:dyDescent="0.2">
      <c r="L1959" s="32"/>
    </row>
    <row r="1960" spans="12:12" x14ac:dyDescent="0.2">
      <c r="L1960" s="32"/>
    </row>
    <row r="1961" spans="12:12" x14ac:dyDescent="0.2">
      <c r="L1961" s="32"/>
    </row>
    <row r="1962" spans="12:12" x14ac:dyDescent="0.2">
      <c r="L1962" s="32"/>
    </row>
    <row r="1963" spans="12:12" x14ac:dyDescent="0.2">
      <c r="L1963" s="32"/>
    </row>
    <row r="1964" spans="12:12" x14ac:dyDescent="0.2">
      <c r="L1964" s="32"/>
    </row>
    <row r="1965" spans="12:12" x14ac:dyDescent="0.2">
      <c r="L1965" s="32"/>
    </row>
    <row r="1966" spans="12:12" x14ac:dyDescent="0.2">
      <c r="L1966" s="32"/>
    </row>
    <row r="1967" spans="12:12" x14ac:dyDescent="0.2">
      <c r="L1967" s="32"/>
    </row>
    <row r="1968" spans="12:12" x14ac:dyDescent="0.2">
      <c r="L1968" s="32"/>
    </row>
    <row r="1980" spans="12:12" x14ac:dyDescent="0.2">
      <c r="L1980" s="16" t="s">
        <v>105</v>
      </c>
    </row>
    <row r="2005" spans="12:12" x14ac:dyDescent="0.2">
      <c r="L2005" s="16" t="s">
        <v>106</v>
      </c>
    </row>
    <row r="2007" spans="12:12" x14ac:dyDescent="0.2">
      <c r="L2007" s="32"/>
    </row>
    <row r="2008" spans="12:12" x14ac:dyDescent="0.2">
      <c r="L2008" s="32"/>
    </row>
    <row r="2009" spans="12:12" x14ac:dyDescent="0.2">
      <c r="L2009" s="32"/>
    </row>
    <row r="2010" spans="12:12" x14ac:dyDescent="0.2">
      <c r="L2010" s="32"/>
    </row>
    <row r="2011" spans="12:12" x14ac:dyDescent="0.2">
      <c r="L2011" s="32"/>
    </row>
    <row r="2012" spans="12:12" x14ac:dyDescent="0.2">
      <c r="L2012" s="32"/>
    </row>
    <row r="2013" spans="12:12" x14ac:dyDescent="0.2">
      <c r="L2013" s="32"/>
    </row>
    <row r="2014" spans="12:12" x14ac:dyDescent="0.2">
      <c r="L2014" s="32"/>
    </row>
    <row r="2015" spans="12:12" x14ac:dyDescent="0.2">
      <c r="L2015" s="32"/>
    </row>
    <row r="2016" spans="12:12" x14ac:dyDescent="0.2">
      <c r="L2016" s="32"/>
    </row>
    <row r="2017" spans="12:12" x14ac:dyDescent="0.2">
      <c r="L2017" s="32"/>
    </row>
    <row r="2018" spans="12:12" x14ac:dyDescent="0.2">
      <c r="L2018" s="32"/>
    </row>
    <row r="2030" spans="12:12" x14ac:dyDescent="0.2">
      <c r="L2030" s="16" t="s">
        <v>107</v>
      </c>
    </row>
    <row r="2055" spans="12:12" x14ac:dyDescent="0.2">
      <c r="L2055" s="16" t="s">
        <v>108</v>
      </c>
    </row>
    <row r="2057" spans="12:12" x14ac:dyDescent="0.2">
      <c r="L2057" s="32"/>
    </row>
    <row r="2058" spans="12:12" x14ac:dyDescent="0.2">
      <c r="L2058" s="32"/>
    </row>
    <row r="2059" spans="12:12" x14ac:dyDescent="0.2">
      <c r="L2059" s="32"/>
    </row>
    <row r="2060" spans="12:12" x14ac:dyDescent="0.2">
      <c r="L2060" s="32"/>
    </row>
    <row r="2061" spans="12:12" x14ac:dyDescent="0.2">
      <c r="L2061" s="32"/>
    </row>
    <row r="2062" spans="12:12" x14ac:dyDescent="0.2">
      <c r="L2062" s="32"/>
    </row>
    <row r="2063" spans="12:12" x14ac:dyDescent="0.2">
      <c r="L2063" s="32"/>
    </row>
    <row r="2064" spans="12:12" x14ac:dyDescent="0.2">
      <c r="L2064" s="32"/>
    </row>
    <row r="2065" spans="12:12" x14ac:dyDescent="0.2">
      <c r="L2065" s="32"/>
    </row>
    <row r="2066" spans="12:12" x14ac:dyDescent="0.2">
      <c r="L2066" s="32"/>
    </row>
    <row r="2067" spans="12:12" x14ac:dyDescent="0.2">
      <c r="L2067" s="32"/>
    </row>
    <row r="2068" spans="12:12" x14ac:dyDescent="0.2">
      <c r="L2068" s="32"/>
    </row>
    <row r="2080" spans="12:12" x14ac:dyDescent="0.2">
      <c r="L2080" s="16" t="s">
        <v>109</v>
      </c>
    </row>
    <row r="2105" spans="12:12" x14ac:dyDescent="0.2">
      <c r="L2105" s="16" t="s">
        <v>110</v>
      </c>
    </row>
    <row r="2107" spans="12:12" x14ac:dyDescent="0.2">
      <c r="L2107" s="32"/>
    </row>
    <row r="2108" spans="12:12" x14ac:dyDescent="0.2">
      <c r="L2108" s="32"/>
    </row>
    <row r="2109" spans="12:12" x14ac:dyDescent="0.2">
      <c r="L2109" s="32"/>
    </row>
    <row r="2110" spans="12:12" x14ac:dyDescent="0.2">
      <c r="L2110" s="32"/>
    </row>
    <row r="2111" spans="12:12" x14ac:dyDescent="0.2">
      <c r="L2111" s="32"/>
    </row>
    <row r="2112" spans="12:12" x14ac:dyDescent="0.2">
      <c r="L2112" s="32"/>
    </row>
    <row r="2113" spans="12:12" x14ac:dyDescent="0.2">
      <c r="L2113" s="32"/>
    </row>
    <row r="2114" spans="12:12" x14ac:dyDescent="0.2">
      <c r="L2114" s="32"/>
    </row>
    <row r="2115" spans="12:12" x14ac:dyDescent="0.2">
      <c r="L2115" s="32"/>
    </row>
    <row r="2116" spans="12:12" x14ac:dyDescent="0.2">
      <c r="L2116" s="32"/>
    </row>
    <row r="2117" spans="12:12" x14ac:dyDescent="0.2">
      <c r="L2117" s="32"/>
    </row>
    <row r="2118" spans="12:12" x14ac:dyDescent="0.2">
      <c r="L2118" s="32"/>
    </row>
    <row r="2130" spans="12:12" x14ac:dyDescent="0.2">
      <c r="L2130" s="16" t="s">
        <v>111</v>
      </c>
    </row>
    <row r="2155" spans="12:12" x14ac:dyDescent="0.2">
      <c r="L2155" s="16" t="s">
        <v>112</v>
      </c>
    </row>
    <row r="2157" spans="12:12" x14ac:dyDescent="0.2">
      <c r="L2157" s="32"/>
    </row>
    <row r="2158" spans="12:12" x14ac:dyDescent="0.2">
      <c r="L2158" s="32"/>
    </row>
    <row r="2159" spans="12:12" x14ac:dyDescent="0.2">
      <c r="L2159" s="32"/>
    </row>
    <row r="2160" spans="12:12" x14ac:dyDescent="0.2">
      <c r="L2160" s="32"/>
    </row>
    <row r="2161" spans="12:12" x14ac:dyDescent="0.2">
      <c r="L2161" s="32"/>
    </row>
    <row r="2162" spans="12:12" x14ac:dyDescent="0.2">
      <c r="L2162" s="32"/>
    </row>
    <row r="2163" spans="12:12" x14ac:dyDescent="0.2">
      <c r="L2163" s="32"/>
    </row>
    <row r="2164" spans="12:12" x14ac:dyDescent="0.2">
      <c r="L2164" s="32"/>
    </row>
    <row r="2165" spans="12:12" x14ac:dyDescent="0.2">
      <c r="L2165" s="32"/>
    </row>
    <row r="2166" spans="12:12" x14ac:dyDescent="0.2">
      <c r="L2166" s="32"/>
    </row>
    <row r="2167" spans="12:12" x14ac:dyDescent="0.2">
      <c r="L2167" s="32"/>
    </row>
    <row r="2168" spans="12:12" x14ac:dyDescent="0.2">
      <c r="L2168" s="32"/>
    </row>
    <row r="2180" spans="12:12" x14ac:dyDescent="0.2">
      <c r="L2180" s="16" t="s">
        <v>113</v>
      </c>
    </row>
    <row r="2205" spans="12:12" x14ac:dyDescent="0.2">
      <c r="L2205" s="16" t="s">
        <v>114</v>
      </c>
    </row>
    <row r="2207" spans="12:12" x14ac:dyDescent="0.2">
      <c r="L2207" s="32"/>
    </row>
    <row r="2208" spans="12:12" x14ac:dyDescent="0.2">
      <c r="L2208" s="32"/>
    </row>
    <row r="2209" spans="12:12" x14ac:dyDescent="0.2">
      <c r="L2209" s="32"/>
    </row>
    <row r="2210" spans="12:12" x14ac:dyDescent="0.2">
      <c r="L2210" s="32"/>
    </row>
    <row r="2211" spans="12:12" x14ac:dyDescent="0.2">
      <c r="L2211" s="32"/>
    </row>
    <row r="2212" spans="12:12" x14ac:dyDescent="0.2">
      <c r="L2212" s="32"/>
    </row>
    <row r="2213" spans="12:12" x14ac:dyDescent="0.2">
      <c r="L2213" s="32"/>
    </row>
    <row r="2214" spans="12:12" x14ac:dyDescent="0.2">
      <c r="L2214" s="32"/>
    </row>
    <row r="2215" spans="12:12" x14ac:dyDescent="0.2">
      <c r="L2215" s="32"/>
    </row>
    <row r="2216" spans="12:12" x14ac:dyDescent="0.2">
      <c r="L2216" s="32"/>
    </row>
    <row r="2217" spans="12:12" x14ac:dyDescent="0.2">
      <c r="L2217" s="32"/>
    </row>
    <row r="2218" spans="12:12" x14ac:dyDescent="0.2">
      <c r="L2218" s="32"/>
    </row>
    <row r="2230" spans="12:12" x14ac:dyDescent="0.2">
      <c r="L2230" s="16" t="s">
        <v>115</v>
      </c>
    </row>
    <row r="2255" spans="12:12" x14ac:dyDescent="0.2">
      <c r="L2255" s="16" t="s">
        <v>116</v>
      </c>
    </row>
    <row r="2257" spans="12:12" x14ac:dyDescent="0.2">
      <c r="L2257" s="32"/>
    </row>
    <row r="2258" spans="12:12" x14ac:dyDescent="0.2">
      <c r="L2258" s="32"/>
    </row>
    <row r="2259" spans="12:12" x14ac:dyDescent="0.2">
      <c r="L2259" s="32"/>
    </row>
    <row r="2260" spans="12:12" x14ac:dyDescent="0.2">
      <c r="L2260" s="32"/>
    </row>
    <row r="2261" spans="12:12" x14ac:dyDescent="0.2">
      <c r="L2261" s="32"/>
    </row>
    <row r="2262" spans="12:12" x14ac:dyDescent="0.2">
      <c r="L2262" s="32"/>
    </row>
    <row r="2263" spans="12:12" x14ac:dyDescent="0.2">
      <c r="L2263" s="32"/>
    </row>
    <row r="2264" spans="12:12" x14ac:dyDescent="0.2">
      <c r="L2264" s="32"/>
    </row>
    <row r="2265" spans="12:12" x14ac:dyDescent="0.2">
      <c r="L2265" s="32"/>
    </row>
    <row r="2266" spans="12:12" x14ac:dyDescent="0.2">
      <c r="L2266" s="32"/>
    </row>
    <row r="2267" spans="12:12" x14ac:dyDescent="0.2">
      <c r="L2267" s="32"/>
    </row>
    <row r="2268" spans="12:12" x14ac:dyDescent="0.2">
      <c r="L2268" s="32"/>
    </row>
    <row r="2280" spans="12:12" x14ac:dyDescent="0.2">
      <c r="L2280" s="16" t="s">
        <v>117</v>
      </c>
    </row>
    <row r="2305" spans="12:12" x14ac:dyDescent="0.2">
      <c r="L2305" s="16" t="s">
        <v>118</v>
      </c>
    </row>
    <row r="2307" spans="12:12" x14ac:dyDescent="0.2">
      <c r="L2307" s="32"/>
    </row>
    <row r="2308" spans="12:12" x14ac:dyDescent="0.2">
      <c r="L2308" s="32"/>
    </row>
    <row r="2309" spans="12:12" x14ac:dyDescent="0.2">
      <c r="L2309" s="32"/>
    </row>
    <row r="2310" spans="12:12" x14ac:dyDescent="0.2">
      <c r="L2310" s="32"/>
    </row>
    <row r="2311" spans="12:12" x14ac:dyDescent="0.2">
      <c r="L2311" s="32"/>
    </row>
    <row r="2312" spans="12:12" x14ac:dyDescent="0.2">
      <c r="L2312" s="32"/>
    </row>
    <row r="2313" spans="12:12" x14ac:dyDescent="0.2">
      <c r="L2313" s="32"/>
    </row>
    <row r="2314" spans="12:12" x14ac:dyDescent="0.2">
      <c r="L2314" s="32"/>
    </row>
    <row r="2315" spans="12:12" x14ac:dyDescent="0.2">
      <c r="L2315" s="32"/>
    </row>
    <row r="2316" spans="12:12" x14ac:dyDescent="0.2">
      <c r="L2316" s="32"/>
    </row>
    <row r="2317" spans="12:12" x14ac:dyDescent="0.2">
      <c r="L2317" s="32"/>
    </row>
    <row r="2318" spans="12:12" x14ac:dyDescent="0.2">
      <c r="L2318" s="32"/>
    </row>
    <row r="2330" spans="12:12" x14ac:dyDescent="0.2">
      <c r="L2330" s="16" t="s">
        <v>119</v>
      </c>
    </row>
    <row r="2355" spans="12:12" x14ac:dyDescent="0.2">
      <c r="L2355" s="16" t="s">
        <v>120</v>
      </c>
    </row>
    <row r="2357" spans="12:12" x14ac:dyDescent="0.2">
      <c r="L2357" s="32"/>
    </row>
    <row r="2358" spans="12:12" x14ac:dyDescent="0.2">
      <c r="L2358" s="32"/>
    </row>
    <row r="2359" spans="12:12" x14ac:dyDescent="0.2">
      <c r="L2359" s="32"/>
    </row>
    <row r="2360" spans="12:12" x14ac:dyDescent="0.2">
      <c r="L2360" s="32"/>
    </row>
    <row r="2361" spans="12:12" x14ac:dyDescent="0.2">
      <c r="L2361" s="32"/>
    </row>
    <row r="2362" spans="12:12" x14ac:dyDescent="0.2">
      <c r="L2362" s="32"/>
    </row>
    <row r="2363" spans="12:12" x14ac:dyDescent="0.2">
      <c r="L2363" s="32"/>
    </row>
    <row r="2364" spans="12:12" x14ac:dyDescent="0.2">
      <c r="L2364" s="32"/>
    </row>
    <row r="2365" spans="12:12" x14ac:dyDescent="0.2">
      <c r="L2365" s="32"/>
    </row>
    <row r="2366" spans="12:12" x14ac:dyDescent="0.2">
      <c r="L2366" s="32"/>
    </row>
    <row r="2367" spans="12:12" x14ac:dyDescent="0.2">
      <c r="L2367" s="32"/>
    </row>
    <row r="2368" spans="12:12" x14ac:dyDescent="0.2">
      <c r="L2368" s="32"/>
    </row>
    <row r="2380" spans="12:12" x14ac:dyDescent="0.2">
      <c r="L2380" s="16" t="s">
        <v>121</v>
      </c>
    </row>
    <row r="2405" spans="12:12" x14ac:dyDescent="0.2">
      <c r="L2405" s="16" t="s">
        <v>122</v>
      </c>
    </row>
    <row r="2407" spans="12:12" x14ac:dyDescent="0.2">
      <c r="L2407" s="32"/>
    </row>
    <row r="2408" spans="12:12" x14ac:dyDescent="0.2">
      <c r="L2408" s="32"/>
    </row>
    <row r="2409" spans="12:12" x14ac:dyDescent="0.2">
      <c r="L2409" s="32"/>
    </row>
    <row r="2410" spans="12:12" x14ac:dyDescent="0.2">
      <c r="L2410" s="32"/>
    </row>
    <row r="2411" spans="12:12" x14ac:dyDescent="0.2">
      <c r="L2411" s="32"/>
    </row>
    <row r="2412" spans="12:12" x14ac:dyDescent="0.2">
      <c r="L2412" s="32"/>
    </row>
    <row r="2413" spans="12:12" x14ac:dyDescent="0.2">
      <c r="L2413" s="32"/>
    </row>
    <row r="2414" spans="12:12" x14ac:dyDescent="0.2">
      <c r="L2414" s="32"/>
    </row>
    <row r="2415" spans="12:12" x14ac:dyDescent="0.2">
      <c r="L2415" s="32"/>
    </row>
    <row r="2416" spans="12:12" x14ac:dyDescent="0.2">
      <c r="L2416" s="32"/>
    </row>
    <row r="2417" spans="12:12" x14ac:dyDescent="0.2">
      <c r="L2417" s="32"/>
    </row>
    <row r="2418" spans="12:12" x14ac:dyDescent="0.2">
      <c r="L2418" s="32"/>
    </row>
    <row r="2430" spans="12:12" x14ac:dyDescent="0.2">
      <c r="L2430" s="16" t="s">
        <v>123</v>
      </c>
    </row>
    <row r="2455" spans="12:12" x14ac:dyDescent="0.2">
      <c r="L2455" s="16" t="s">
        <v>124</v>
      </c>
    </row>
    <row r="2457" spans="12:12" x14ac:dyDescent="0.2">
      <c r="L2457" s="32"/>
    </row>
    <row r="2458" spans="12:12" x14ac:dyDescent="0.2">
      <c r="L2458" s="32"/>
    </row>
    <row r="2459" spans="12:12" x14ac:dyDescent="0.2">
      <c r="L2459" s="32"/>
    </row>
    <row r="2460" spans="12:12" x14ac:dyDescent="0.2">
      <c r="L2460" s="32"/>
    </row>
    <row r="2461" spans="12:12" x14ac:dyDescent="0.2">
      <c r="L2461" s="32"/>
    </row>
    <row r="2462" spans="12:12" x14ac:dyDescent="0.2">
      <c r="L2462" s="32"/>
    </row>
    <row r="2463" spans="12:12" x14ac:dyDescent="0.2">
      <c r="L2463" s="32"/>
    </row>
    <row r="2464" spans="12:12" x14ac:dyDescent="0.2">
      <c r="L2464" s="32"/>
    </row>
    <row r="2465" spans="12:12" x14ac:dyDescent="0.2">
      <c r="L2465" s="32"/>
    </row>
    <row r="2466" spans="12:12" x14ac:dyDescent="0.2">
      <c r="L2466" s="32"/>
    </row>
    <row r="2467" spans="12:12" x14ac:dyDescent="0.2">
      <c r="L2467" s="32"/>
    </row>
    <row r="2468" spans="12:12" x14ac:dyDescent="0.2">
      <c r="L2468" s="32"/>
    </row>
    <row r="2480" spans="12:12" x14ac:dyDescent="0.2">
      <c r="L2480" s="16" t="s">
        <v>125</v>
      </c>
    </row>
    <row r="2505" spans="12:12" x14ac:dyDescent="0.2">
      <c r="L2505" s="16" t="s">
        <v>126</v>
      </c>
    </row>
    <row r="2507" spans="12:12" x14ac:dyDescent="0.2">
      <c r="L2507" s="32"/>
    </row>
    <row r="2508" spans="12:12" x14ac:dyDescent="0.2">
      <c r="L2508" s="32"/>
    </row>
    <row r="2509" spans="12:12" x14ac:dyDescent="0.2">
      <c r="L2509" s="32"/>
    </row>
    <row r="2510" spans="12:12" x14ac:dyDescent="0.2">
      <c r="L2510" s="32"/>
    </row>
    <row r="2511" spans="12:12" x14ac:dyDescent="0.2">
      <c r="L2511" s="32"/>
    </row>
    <row r="2512" spans="12:12" x14ac:dyDescent="0.2">
      <c r="L2512" s="32"/>
    </row>
    <row r="2513" spans="12:12" x14ac:dyDescent="0.2">
      <c r="L2513" s="32"/>
    </row>
    <row r="2514" spans="12:12" x14ac:dyDescent="0.2">
      <c r="L2514" s="32"/>
    </row>
    <row r="2515" spans="12:12" x14ac:dyDescent="0.2">
      <c r="L2515" s="32"/>
    </row>
    <row r="2516" spans="12:12" x14ac:dyDescent="0.2">
      <c r="L2516" s="32"/>
    </row>
    <row r="2517" spans="12:12" x14ac:dyDescent="0.2">
      <c r="L2517" s="32"/>
    </row>
    <row r="2518" spans="12:12" x14ac:dyDescent="0.2">
      <c r="L2518" s="32"/>
    </row>
    <row r="2530" spans="12:12" x14ac:dyDescent="0.2">
      <c r="L2530" s="16" t="s">
        <v>127</v>
      </c>
    </row>
    <row r="2555" spans="12:12" x14ac:dyDescent="0.2">
      <c r="L2555" s="16" t="s">
        <v>128</v>
      </c>
    </row>
    <row r="2557" spans="12:12" x14ac:dyDescent="0.2">
      <c r="L2557" s="32"/>
    </row>
    <row r="2558" spans="12:12" x14ac:dyDescent="0.2">
      <c r="L2558" s="32"/>
    </row>
    <row r="2559" spans="12:12" x14ac:dyDescent="0.2">
      <c r="L2559" s="32"/>
    </row>
    <row r="2560" spans="12:12" x14ac:dyDescent="0.2">
      <c r="L2560" s="32"/>
    </row>
    <row r="2561" spans="12:12" x14ac:dyDescent="0.2">
      <c r="L2561" s="32"/>
    </row>
    <row r="2562" spans="12:12" x14ac:dyDescent="0.2">
      <c r="L2562" s="32"/>
    </row>
    <row r="2563" spans="12:12" x14ac:dyDescent="0.2">
      <c r="L2563" s="32"/>
    </row>
    <row r="2564" spans="12:12" x14ac:dyDescent="0.2">
      <c r="L2564" s="32"/>
    </row>
    <row r="2565" spans="12:12" x14ac:dyDescent="0.2">
      <c r="L2565" s="32"/>
    </row>
    <row r="2566" spans="12:12" x14ac:dyDescent="0.2">
      <c r="L2566" s="32"/>
    </row>
    <row r="2567" spans="12:12" x14ac:dyDescent="0.2">
      <c r="L2567" s="32"/>
    </row>
    <row r="2568" spans="12:12" x14ac:dyDescent="0.2">
      <c r="L2568" s="32"/>
    </row>
    <row r="2580" spans="12:12" x14ac:dyDescent="0.2">
      <c r="L2580" s="16" t="s">
        <v>129</v>
      </c>
    </row>
    <row r="2605" spans="12:12" x14ac:dyDescent="0.2">
      <c r="L2605" s="16" t="s">
        <v>130</v>
      </c>
    </row>
    <row r="2607" spans="12:12" x14ac:dyDescent="0.2">
      <c r="L2607" s="32"/>
    </row>
    <row r="2608" spans="12:12" x14ac:dyDescent="0.2">
      <c r="L2608" s="32"/>
    </row>
    <row r="2609" spans="12:12" x14ac:dyDescent="0.2">
      <c r="L2609" s="32"/>
    </row>
    <row r="2610" spans="12:12" x14ac:dyDescent="0.2">
      <c r="L2610" s="32"/>
    </row>
    <row r="2611" spans="12:12" x14ac:dyDescent="0.2">
      <c r="L2611" s="32"/>
    </row>
    <row r="2612" spans="12:12" x14ac:dyDescent="0.2">
      <c r="L2612" s="32"/>
    </row>
    <row r="2613" spans="12:12" x14ac:dyDescent="0.2">
      <c r="L2613" s="32"/>
    </row>
    <row r="2614" spans="12:12" x14ac:dyDescent="0.2">
      <c r="L2614" s="32"/>
    </row>
    <row r="2615" spans="12:12" x14ac:dyDescent="0.2">
      <c r="L2615" s="32"/>
    </row>
    <row r="2616" spans="12:12" x14ac:dyDescent="0.2">
      <c r="L2616" s="32"/>
    </row>
    <row r="2617" spans="12:12" x14ac:dyDescent="0.2">
      <c r="L2617" s="32"/>
    </row>
    <row r="2618" spans="12:12" x14ac:dyDescent="0.2">
      <c r="L2618" s="32"/>
    </row>
    <row r="2630" spans="12:12" x14ac:dyDescent="0.2">
      <c r="L2630" s="16" t="s">
        <v>131</v>
      </c>
    </row>
    <row r="2655" spans="12:12" x14ac:dyDescent="0.2">
      <c r="L2655" s="16" t="s">
        <v>132</v>
      </c>
    </row>
    <row r="2657" spans="12:12" x14ac:dyDescent="0.2">
      <c r="L2657" s="32"/>
    </row>
    <row r="2658" spans="12:12" x14ac:dyDescent="0.2">
      <c r="L2658" s="32"/>
    </row>
    <row r="2659" spans="12:12" x14ac:dyDescent="0.2">
      <c r="L2659" s="32"/>
    </row>
    <row r="2660" spans="12:12" x14ac:dyDescent="0.2">
      <c r="L2660" s="32"/>
    </row>
    <row r="2661" spans="12:12" x14ac:dyDescent="0.2">
      <c r="L2661" s="32"/>
    </row>
    <row r="2662" spans="12:12" x14ac:dyDescent="0.2">
      <c r="L2662" s="32"/>
    </row>
    <row r="2663" spans="12:12" x14ac:dyDescent="0.2">
      <c r="L2663" s="32"/>
    </row>
    <row r="2664" spans="12:12" x14ac:dyDescent="0.2">
      <c r="L2664" s="32"/>
    </row>
    <row r="2665" spans="12:12" x14ac:dyDescent="0.2">
      <c r="L2665" s="32"/>
    </row>
    <row r="2666" spans="12:12" x14ac:dyDescent="0.2">
      <c r="L2666" s="32"/>
    </row>
    <row r="2667" spans="12:12" x14ac:dyDescent="0.2">
      <c r="L2667" s="32"/>
    </row>
    <row r="2668" spans="12:12" x14ac:dyDescent="0.2">
      <c r="L2668" s="32"/>
    </row>
    <row r="2680" spans="12:12" x14ac:dyDescent="0.2">
      <c r="L2680" s="16" t="s">
        <v>133</v>
      </c>
    </row>
    <row r="2705" spans="12:12" x14ac:dyDescent="0.2">
      <c r="L2705" s="16" t="s">
        <v>134</v>
      </c>
    </row>
    <row r="2707" spans="12:12" x14ac:dyDescent="0.2">
      <c r="L2707" s="32"/>
    </row>
    <row r="2708" spans="12:12" x14ac:dyDescent="0.2">
      <c r="L2708" s="32"/>
    </row>
    <row r="2709" spans="12:12" x14ac:dyDescent="0.2">
      <c r="L2709" s="32"/>
    </row>
    <row r="2710" spans="12:12" x14ac:dyDescent="0.2">
      <c r="L2710" s="32"/>
    </row>
    <row r="2711" spans="12:12" x14ac:dyDescent="0.2">
      <c r="L2711" s="32"/>
    </row>
    <row r="2712" spans="12:12" x14ac:dyDescent="0.2">
      <c r="L2712" s="32"/>
    </row>
    <row r="2713" spans="12:12" x14ac:dyDescent="0.2">
      <c r="L2713" s="32"/>
    </row>
    <row r="2714" spans="12:12" x14ac:dyDescent="0.2">
      <c r="L2714" s="32"/>
    </row>
    <row r="2715" spans="12:12" x14ac:dyDescent="0.2">
      <c r="L2715" s="32"/>
    </row>
    <row r="2716" spans="12:12" x14ac:dyDescent="0.2">
      <c r="L2716" s="32"/>
    </row>
    <row r="2717" spans="12:12" x14ac:dyDescent="0.2">
      <c r="L2717" s="32"/>
    </row>
    <row r="2718" spans="12:12" x14ac:dyDescent="0.2">
      <c r="L2718" s="32"/>
    </row>
    <row r="2730" spans="12:12" x14ac:dyDescent="0.2">
      <c r="L2730" s="16" t="s">
        <v>135</v>
      </c>
    </row>
    <row r="2755" spans="12:12" x14ac:dyDescent="0.2">
      <c r="L2755" s="16" t="s">
        <v>136</v>
      </c>
    </row>
    <row r="2757" spans="12:12" x14ac:dyDescent="0.2">
      <c r="L2757" s="32"/>
    </row>
    <row r="2758" spans="12:12" x14ac:dyDescent="0.2">
      <c r="L2758" s="32"/>
    </row>
    <row r="2759" spans="12:12" x14ac:dyDescent="0.2">
      <c r="L2759" s="32"/>
    </row>
    <row r="2760" spans="12:12" x14ac:dyDescent="0.2">
      <c r="L2760" s="32"/>
    </row>
    <row r="2761" spans="12:12" x14ac:dyDescent="0.2">
      <c r="L2761" s="32"/>
    </row>
    <row r="2762" spans="12:12" x14ac:dyDescent="0.2">
      <c r="L2762" s="32"/>
    </row>
    <row r="2763" spans="12:12" x14ac:dyDescent="0.2">
      <c r="L2763" s="32"/>
    </row>
    <row r="2764" spans="12:12" x14ac:dyDescent="0.2">
      <c r="L2764" s="32"/>
    </row>
    <row r="2765" spans="12:12" x14ac:dyDescent="0.2">
      <c r="L2765" s="32"/>
    </row>
    <row r="2766" spans="12:12" x14ac:dyDescent="0.2">
      <c r="L2766" s="32"/>
    </row>
    <row r="2767" spans="12:12" x14ac:dyDescent="0.2">
      <c r="L2767" s="32"/>
    </row>
    <row r="2768" spans="12:12" x14ac:dyDescent="0.2">
      <c r="L2768" s="32"/>
    </row>
    <row r="2780" spans="12:12" x14ac:dyDescent="0.2">
      <c r="L2780" s="16" t="s">
        <v>137</v>
      </c>
    </row>
    <row r="2805" spans="12:12" x14ac:dyDescent="0.2">
      <c r="L2805" s="16" t="s">
        <v>138</v>
      </c>
    </row>
    <row r="2807" spans="12:12" x14ac:dyDescent="0.2">
      <c r="L2807" s="32"/>
    </row>
    <row r="2808" spans="12:12" x14ac:dyDescent="0.2">
      <c r="L2808" s="32"/>
    </row>
    <row r="2809" spans="12:12" x14ac:dyDescent="0.2">
      <c r="L2809" s="32"/>
    </row>
    <row r="2810" spans="12:12" x14ac:dyDescent="0.2">
      <c r="L2810" s="32"/>
    </row>
    <row r="2811" spans="12:12" x14ac:dyDescent="0.2">
      <c r="L2811" s="32"/>
    </row>
    <row r="2812" spans="12:12" x14ac:dyDescent="0.2">
      <c r="L2812" s="32"/>
    </row>
    <row r="2813" spans="12:12" x14ac:dyDescent="0.2">
      <c r="L2813" s="32"/>
    </row>
    <row r="2814" spans="12:12" x14ac:dyDescent="0.2">
      <c r="L2814" s="32"/>
    </row>
    <row r="2815" spans="12:12" x14ac:dyDescent="0.2">
      <c r="L2815" s="32"/>
    </row>
    <row r="2816" spans="12:12" x14ac:dyDescent="0.2">
      <c r="L2816" s="32"/>
    </row>
    <row r="2817" spans="12:12" x14ac:dyDescent="0.2">
      <c r="L2817" s="32"/>
    </row>
    <row r="2818" spans="12:12" x14ac:dyDescent="0.2">
      <c r="L2818" s="32"/>
    </row>
    <row r="2830" spans="12:12" x14ac:dyDescent="0.2">
      <c r="L2830" s="16" t="s">
        <v>139</v>
      </c>
    </row>
    <row r="2855" spans="12:12" x14ac:dyDescent="0.2">
      <c r="L2855" s="16" t="s">
        <v>140</v>
      </c>
    </row>
    <row r="2857" spans="12:12" x14ac:dyDescent="0.2">
      <c r="L2857" s="32"/>
    </row>
    <row r="2858" spans="12:12" x14ac:dyDescent="0.2">
      <c r="L2858" s="32"/>
    </row>
    <row r="2859" spans="12:12" x14ac:dyDescent="0.2">
      <c r="L2859" s="32"/>
    </row>
    <row r="2860" spans="12:12" x14ac:dyDescent="0.2">
      <c r="L2860" s="32"/>
    </row>
    <row r="2861" spans="12:12" x14ac:dyDescent="0.2">
      <c r="L2861" s="32"/>
    </row>
    <row r="2862" spans="12:12" x14ac:dyDescent="0.2">
      <c r="L2862" s="32"/>
    </row>
    <row r="2863" spans="12:12" x14ac:dyDescent="0.2">
      <c r="L2863" s="32"/>
    </row>
    <row r="2864" spans="12:12" x14ac:dyDescent="0.2">
      <c r="L2864" s="32"/>
    </row>
    <row r="2865" spans="12:12" x14ac:dyDescent="0.2">
      <c r="L2865" s="32"/>
    </row>
    <row r="2866" spans="12:12" x14ac:dyDescent="0.2">
      <c r="L2866" s="32"/>
    </row>
    <row r="2867" spans="12:12" x14ac:dyDescent="0.2">
      <c r="L2867" s="32"/>
    </row>
    <row r="2868" spans="12:12" x14ac:dyDescent="0.2">
      <c r="L2868" s="32"/>
    </row>
    <row r="2880" spans="12:12" x14ac:dyDescent="0.2">
      <c r="L2880" s="16" t="s">
        <v>141</v>
      </c>
    </row>
    <row r="2905" spans="12:12" x14ac:dyDescent="0.2">
      <c r="L2905" s="16" t="s">
        <v>142</v>
      </c>
    </row>
    <row r="2907" spans="12:12" x14ac:dyDescent="0.2">
      <c r="L2907" s="32"/>
    </row>
    <row r="2908" spans="12:12" x14ac:dyDescent="0.2">
      <c r="L2908" s="32"/>
    </row>
    <row r="2909" spans="12:12" x14ac:dyDescent="0.2">
      <c r="L2909" s="32"/>
    </row>
    <row r="2910" spans="12:12" x14ac:dyDescent="0.2">
      <c r="L2910" s="32"/>
    </row>
    <row r="2911" spans="12:12" x14ac:dyDescent="0.2">
      <c r="L2911" s="32"/>
    </row>
    <row r="2912" spans="12:12" x14ac:dyDescent="0.2">
      <c r="L2912" s="32"/>
    </row>
    <row r="2913" spans="12:12" x14ac:dyDescent="0.2">
      <c r="L2913" s="32"/>
    </row>
    <row r="2914" spans="12:12" x14ac:dyDescent="0.2">
      <c r="L2914" s="32"/>
    </row>
    <row r="2915" spans="12:12" x14ac:dyDescent="0.2">
      <c r="L2915" s="32"/>
    </row>
    <row r="2916" spans="12:12" x14ac:dyDescent="0.2">
      <c r="L2916" s="32"/>
    </row>
    <row r="2917" spans="12:12" x14ac:dyDescent="0.2">
      <c r="L2917" s="32"/>
    </row>
    <row r="2918" spans="12:12" x14ac:dyDescent="0.2">
      <c r="L2918" s="32"/>
    </row>
    <row r="2930" spans="12:12" x14ac:dyDescent="0.2">
      <c r="L2930" s="16" t="s">
        <v>143</v>
      </c>
    </row>
    <row r="2955" spans="12:12" x14ac:dyDescent="0.2">
      <c r="L2955" s="16" t="s">
        <v>144</v>
      </c>
    </row>
    <row r="2957" spans="12:12" x14ac:dyDescent="0.2">
      <c r="L2957" s="32"/>
    </row>
    <row r="2958" spans="12:12" x14ac:dyDescent="0.2">
      <c r="L2958" s="32"/>
    </row>
    <row r="2959" spans="12:12" x14ac:dyDescent="0.2">
      <c r="L2959" s="32"/>
    </row>
    <row r="2960" spans="12:12" x14ac:dyDescent="0.2">
      <c r="L2960" s="32"/>
    </row>
    <row r="2961" spans="12:12" x14ac:dyDescent="0.2">
      <c r="L2961" s="32"/>
    </row>
    <row r="2962" spans="12:12" x14ac:dyDescent="0.2">
      <c r="L2962" s="32"/>
    </row>
    <row r="2963" spans="12:12" x14ac:dyDescent="0.2">
      <c r="L2963" s="32"/>
    </row>
    <row r="2964" spans="12:12" x14ac:dyDescent="0.2">
      <c r="L2964" s="32"/>
    </row>
    <row r="2965" spans="12:12" x14ac:dyDescent="0.2">
      <c r="L2965" s="32"/>
    </row>
    <row r="2966" spans="12:12" x14ac:dyDescent="0.2">
      <c r="L2966" s="32"/>
    </row>
    <row r="2967" spans="12:12" x14ac:dyDescent="0.2">
      <c r="L2967" s="32"/>
    </row>
    <row r="2968" spans="12:12" x14ac:dyDescent="0.2">
      <c r="L2968" s="32"/>
    </row>
    <row r="2980" spans="12:12" x14ac:dyDescent="0.2">
      <c r="L2980" s="16" t="s">
        <v>145</v>
      </c>
    </row>
    <row r="3005" spans="12:12" x14ac:dyDescent="0.2">
      <c r="L3005" s="16" t="s">
        <v>146</v>
      </c>
    </row>
    <row r="3007" spans="12:12" x14ac:dyDescent="0.2">
      <c r="L3007" s="32"/>
    </row>
    <row r="3008" spans="12:12" x14ac:dyDescent="0.2">
      <c r="L3008" s="32"/>
    </row>
    <row r="3009" spans="12:12" x14ac:dyDescent="0.2">
      <c r="L3009" s="32"/>
    </row>
    <row r="3010" spans="12:12" x14ac:dyDescent="0.2">
      <c r="L3010" s="32"/>
    </row>
    <row r="3011" spans="12:12" x14ac:dyDescent="0.2">
      <c r="L3011" s="32"/>
    </row>
    <row r="3012" spans="12:12" x14ac:dyDescent="0.2">
      <c r="L3012" s="32"/>
    </row>
    <row r="3013" spans="12:12" x14ac:dyDescent="0.2">
      <c r="L3013" s="32"/>
    </row>
    <row r="3014" spans="12:12" x14ac:dyDescent="0.2">
      <c r="L3014" s="32"/>
    </row>
    <row r="3015" spans="12:12" x14ac:dyDescent="0.2">
      <c r="L3015" s="32"/>
    </row>
    <row r="3016" spans="12:12" x14ac:dyDescent="0.2">
      <c r="L3016" s="32"/>
    </row>
    <row r="3017" spans="12:12" x14ac:dyDescent="0.2">
      <c r="L3017" s="32"/>
    </row>
    <row r="3018" spans="12:12" x14ac:dyDescent="0.2">
      <c r="L3018" s="32"/>
    </row>
    <row r="3030" spans="12:12" x14ac:dyDescent="0.2">
      <c r="L3030" s="16" t="s">
        <v>147</v>
      </c>
    </row>
    <row r="3055" spans="12:12" x14ac:dyDescent="0.2">
      <c r="L3055" s="16" t="s">
        <v>148</v>
      </c>
    </row>
    <row r="3057" spans="12:12" x14ac:dyDescent="0.2">
      <c r="L3057" s="32"/>
    </row>
    <row r="3058" spans="12:12" x14ac:dyDescent="0.2">
      <c r="L3058" s="32"/>
    </row>
    <row r="3059" spans="12:12" x14ac:dyDescent="0.2">
      <c r="L3059" s="32"/>
    </row>
    <row r="3060" spans="12:12" x14ac:dyDescent="0.2">
      <c r="L3060" s="32"/>
    </row>
    <row r="3061" spans="12:12" x14ac:dyDescent="0.2">
      <c r="L3061" s="32"/>
    </row>
    <row r="3062" spans="12:12" x14ac:dyDescent="0.2">
      <c r="L3062" s="32"/>
    </row>
    <row r="3063" spans="12:12" x14ac:dyDescent="0.2">
      <c r="L3063" s="32"/>
    </row>
    <row r="3064" spans="12:12" x14ac:dyDescent="0.2">
      <c r="L3064" s="32"/>
    </row>
    <row r="3065" spans="12:12" x14ac:dyDescent="0.2">
      <c r="L3065" s="32"/>
    </row>
    <row r="3066" spans="12:12" x14ac:dyDescent="0.2">
      <c r="L3066" s="32"/>
    </row>
    <row r="3067" spans="12:12" x14ac:dyDescent="0.2">
      <c r="L3067" s="32"/>
    </row>
    <row r="3068" spans="12:12" x14ac:dyDescent="0.2">
      <c r="L3068" s="32"/>
    </row>
    <row r="3080" spans="12:12" x14ac:dyDescent="0.2">
      <c r="L3080" s="16" t="s">
        <v>149</v>
      </c>
    </row>
    <row r="3105" spans="12:12" x14ac:dyDescent="0.2">
      <c r="L3105" s="16" t="s">
        <v>150</v>
      </c>
    </row>
    <row r="3107" spans="12:12" x14ac:dyDescent="0.2">
      <c r="L3107" s="32"/>
    </row>
    <row r="3108" spans="12:12" x14ac:dyDescent="0.2">
      <c r="L3108" s="32"/>
    </row>
    <row r="3109" spans="12:12" x14ac:dyDescent="0.2">
      <c r="L3109" s="32"/>
    </row>
    <row r="3110" spans="12:12" x14ac:dyDescent="0.2">
      <c r="L3110" s="32"/>
    </row>
    <row r="3111" spans="12:12" x14ac:dyDescent="0.2">
      <c r="L3111" s="32"/>
    </row>
    <row r="3112" spans="12:12" x14ac:dyDescent="0.2">
      <c r="L3112" s="32"/>
    </row>
    <row r="3113" spans="12:12" x14ac:dyDescent="0.2">
      <c r="L3113" s="32"/>
    </row>
    <row r="3114" spans="12:12" x14ac:dyDescent="0.2">
      <c r="L3114" s="32"/>
    </row>
    <row r="3115" spans="12:12" x14ac:dyDescent="0.2">
      <c r="L3115" s="32"/>
    </row>
    <row r="3116" spans="12:12" x14ac:dyDescent="0.2">
      <c r="L3116" s="32"/>
    </row>
    <row r="3117" spans="12:12" x14ac:dyDescent="0.2">
      <c r="L3117" s="32"/>
    </row>
    <row r="3118" spans="12:12" x14ac:dyDescent="0.2">
      <c r="L3118" s="32"/>
    </row>
    <row r="3130" spans="12:12" x14ac:dyDescent="0.2">
      <c r="L3130" s="16" t="s">
        <v>151</v>
      </c>
    </row>
    <row r="3155" spans="12:12" x14ac:dyDescent="0.2">
      <c r="L3155" s="16" t="s">
        <v>152</v>
      </c>
    </row>
    <row r="3157" spans="12:12" x14ac:dyDescent="0.2">
      <c r="L3157" s="32"/>
    </row>
    <row r="3158" spans="12:12" x14ac:dyDescent="0.2">
      <c r="L3158" s="32"/>
    </row>
    <row r="3159" spans="12:12" x14ac:dyDescent="0.2">
      <c r="L3159" s="32"/>
    </row>
    <row r="3160" spans="12:12" x14ac:dyDescent="0.2">
      <c r="L3160" s="32"/>
    </row>
    <row r="3161" spans="12:12" x14ac:dyDescent="0.2">
      <c r="L3161" s="32"/>
    </row>
    <row r="3162" spans="12:12" x14ac:dyDescent="0.2">
      <c r="L3162" s="32"/>
    </row>
    <row r="3163" spans="12:12" x14ac:dyDescent="0.2">
      <c r="L3163" s="32"/>
    </row>
    <row r="3164" spans="12:12" x14ac:dyDescent="0.2">
      <c r="L3164" s="32"/>
    </row>
    <row r="3165" spans="12:12" x14ac:dyDescent="0.2">
      <c r="L3165" s="32"/>
    </row>
    <row r="3166" spans="12:12" x14ac:dyDescent="0.2">
      <c r="L3166" s="32"/>
    </row>
    <row r="3167" spans="12:12" x14ac:dyDescent="0.2">
      <c r="L3167" s="32"/>
    </row>
    <row r="3168" spans="12:12" x14ac:dyDescent="0.2">
      <c r="L3168" s="32"/>
    </row>
    <row r="3180" spans="12:12" x14ac:dyDescent="0.2">
      <c r="L3180" s="16" t="s">
        <v>153</v>
      </c>
    </row>
    <row r="3205" spans="12:12" x14ac:dyDescent="0.2">
      <c r="L3205" s="16" t="s">
        <v>154</v>
      </c>
    </row>
    <row r="3207" spans="12:12" x14ac:dyDescent="0.2">
      <c r="L3207" s="32"/>
    </row>
    <row r="3208" spans="12:12" x14ac:dyDescent="0.2">
      <c r="L3208" s="32"/>
    </row>
    <row r="3209" spans="12:12" x14ac:dyDescent="0.2">
      <c r="L3209" s="32"/>
    </row>
    <row r="3210" spans="12:12" x14ac:dyDescent="0.2">
      <c r="L3210" s="32"/>
    </row>
    <row r="3211" spans="12:12" x14ac:dyDescent="0.2">
      <c r="L3211" s="32"/>
    </row>
    <row r="3212" spans="12:12" x14ac:dyDescent="0.2">
      <c r="L3212" s="32"/>
    </row>
    <row r="3213" spans="12:12" x14ac:dyDescent="0.2">
      <c r="L3213" s="32"/>
    </row>
    <row r="3214" spans="12:12" x14ac:dyDescent="0.2">
      <c r="L3214" s="32"/>
    </row>
    <row r="3215" spans="12:12" x14ac:dyDescent="0.2">
      <c r="L3215" s="32"/>
    </row>
    <row r="3216" spans="12:12" x14ac:dyDescent="0.2">
      <c r="L3216" s="32"/>
    </row>
    <row r="3217" spans="12:12" x14ac:dyDescent="0.2">
      <c r="L3217" s="32"/>
    </row>
    <row r="3218" spans="12:12" x14ac:dyDescent="0.2">
      <c r="L3218" s="32"/>
    </row>
    <row r="3230" spans="12:12" x14ac:dyDescent="0.2">
      <c r="L3230" s="16" t="s">
        <v>155</v>
      </c>
    </row>
    <row r="3255" spans="12:12" x14ac:dyDescent="0.2">
      <c r="L3255" s="16" t="s">
        <v>156</v>
      </c>
    </row>
    <row r="3257" spans="12:12" x14ac:dyDescent="0.2">
      <c r="L3257" s="32"/>
    </row>
    <row r="3258" spans="12:12" x14ac:dyDescent="0.2">
      <c r="L3258" s="32"/>
    </row>
    <row r="3259" spans="12:12" x14ac:dyDescent="0.2">
      <c r="L3259" s="32"/>
    </row>
    <row r="3260" spans="12:12" x14ac:dyDescent="0.2">
      <c r="L3260" s="32"/>
    </row>
    <row r="3261" spans="12:12" x14ac:dyDescent="0.2">
      <c r="L3261" s="32"/>
    </row>
    <row r="3262" spans="12:12" x14ac:dyDescent="0.2">
      <c r="L3262" s="32"/>
    </row>
    <row r="3263" spans="12:12" x14ac:dyDescent="0.2">
      <c r="L3263" s="32"/>
    </row>
    <row r="3264" spans="12:12" x14ac:dyDescent="0.2">
      <c r="L3264" s="32"/>
    </row>
    <row r="3265" spans="12:12" x14ac:dyDescent="0.2">
      <c r="L3265" s="32"/>
    </row>
    <row r="3266" spans="12:12" x14ac:dyDescent="0.2">
      <c r="L3266" s="32"/>
    </row>
    <row r="3267" spans="12:12" x14ac:dyDescent="0.2">
      <c r="L3267" s="32"/>
    </row>
    <row r="3268" spans="12:12" x14ac:dyDescent="0.2">
      <c r="L3268" s="32"/>
    </row>
    <row r="3280" spans="12:12" x14ac:dyDescent="0.2">
      <c r="L3280" s="16" t="s">
        <v>157</v>
      </c>
    </row>
    <row r="3305" spans="12:12" x14ac:dyDescent="0.2">
      <c r="L3305" s="16" t="s">
        <v>158</v>
      </c>
    </row>
    <row r="3307" spans="12:12" x14ac:dyDescent="0.2">
      <c r="L3307" s="32"/>
    </row>
    <row r="3308" spans="12:12" x14ac:dyDescent="0.2">
      <c r="L3308" s="32"/>
    </row>
    <row r="3309" spans="12:12" x14ac:dyDescent="0.2">
      <c r="L3309" s="32"/>
    </row>
    <row r="3310" spans="12:12" x14ac:dyDescent="0.2">
      <c r="L3310" s="32"/>
    </row>
    <row r="3311" spans="12:12" x14ac:dyDescent="0.2">
      <c r="L3311" s="32"/>
    </row>
    <row r="3312" spans="12:12" x14ac:dyDescent="0.2">
      <c r="L3312" s="32"/>
    </row>
    <row r="3313" spans="12:12" x14ac:dyDescent="0.2">
      <c r="L3313" s="32"/>
    </row>
    <row r="3314" spans="12:12" x14ac:dyDescent="0.2">
      <c r="L3314" s="32"/>
    </row>
    <row r="3315" spans="12:12" x14ac:dyDescent="0.2">
      <c r="L3315" s="32"/>
    </row>
    <row r="3316" spans="12:12" x14ac:dyDescent="0.2">
      <c r="L3316" s="32"/>
    </row>
    <row r="3317" spans="12:12" x14ac:dyDescent="0.2">
      <c r="L3317" s="32"/>
    </row>
    <row r="3318" spans="12:12" x14ac:dyDescent="0.2">
      <c r="L3318" s="32"/>
    </row>
    <row r="3330" spans="12:12" x14ac:dyDescent="0.2">
      <c r="L3330" s="16" t="s">
        <v>159</v>
      </c>
    </row>
    <row r="3355" spans="12:12" x14ac:dyDescent="0.2">
      <c r="L3355" s="16" t="s">
        <v>160</v>
      </c>
    </row>
    <row r="3357" spans="12:12" x14ac:dyDescent="0.2">
      <c r="L3357" s="32"/>
    </row>
    <row r="3358" spans="12:12" x14ac:dyDescent="0.2">
      <c r="L3358" s="32"/>
    </row>
    <row r="3359" spans="12:12" x14ac:dyDescent="0.2">
      <c r="L3359" s="32"/>
    </row>
    <row r="3360" spans="12:12" x14ac:dyDescent="0.2">
      <c r="L3360" s="32"/>
    </row>
    <row r="3361" spans="12:12" x14ac:dyDescent="0.2">
      <c r="L3361" s="32"/>
    </row>
    <row r="3362" spans="12:12" x14ac:dyDescent="0.2">
      <c r="L3362" s="32"/>
    </row>
    <row r="3363" spans="12:12" x14ac:dyDescent="0.2">
      <c r="L3363" s="32"/>
    </row>
    <row r="3364" spans="12:12" x14ac:dyDescent="0.2">
      <c r="L3364" s="32"/>
    </row>
    <row r="3365" spans="12:12" x14ac:dyDescent="0.2">
      <c r="L3365" s="32"/>
    </row>
    <row r="3366" spans="12:12" x14ac:dyDescent="0.2">
      <c r="L3366" s="32"/>
    </row>
    <row r="3367" spans="12:12" x14ac:dyDescent="0.2">
      <c r="L3367" s="32"/>
    </row>
    <row r="3368" spans="12:12" x14ac:dyDescent="0.2">
      <c r="L3368" s="32"/>
    </row>
    <row r="3380" spans="12:12" x14ac:dyDescent="0.2">
      <c r="L3380" s="16" t="s">
        <v>161</v>
      </c>
    </row>
    <row r="3405" spans="12:12" x14ac:dyDescent="0.2">
      <c r="L3405" s="16" t="s">
        <v>162</v>
      </c>
    </row>
    <row r="3407" spans="12:12" x14ac:dyDescent="0.2">
      <c r="L3407" s="32"/>
    </row>
    <row r="3408" spans="12:12" x14ac:dyDescent="0.2">
      <c r="L3408" s="32"/>
    </row>
    <row r="3409" spans="12:12" x14ac:dyDescent="0.2">
      <c r="L3409" s="32"/>
    </row>
    <row r="3410" spans="12:12" x14ac:dyDescent="0.2">
      <c r="L3410" s="32"/>
    </row>
    <row r="3411" spans="12:12" x14ac:dyDescent="0.2">
      <c r="L3411" s="32"/>
    </row>
    <row r="3412" spans="12:12" x14ac:dyDescent="0.2">
      <c r="L3412" s="32"/>
    </row>
    <row r="3413" spans="12:12" x14ac:dyDescent="0.2">
      <c r="L3413" s="32"/>
    </row>
    <row r="3414" spans="12:12" x14ac:dyDescent="0.2">
      <c r="L3414" s="32"/>
    </row>
    <row r="3415" spans="12:12" x14ac:dyDescent="0.2">
      <c r="L3415" s="32"/>
    </row>
    <row r="3416" spans="12:12" x14ac:dyDescent="0.2">
      <c r="L3416" s="32"/>
    </row>
    <row r="3417" spans="12:12" x14ac:dyDescent="0.2">
      <c r="L3417" s="32"/>
    </row>
    <row r="3418" spans="12:12" x14ac:dyDescent="0.2">
      <c r="L3418" s="32"/>
    </row>
    <row r="3430" spans="12:12" x14ac:dyDescent="0.2">
      <c r="L3430" s="16" t="s">
        <v>163</v>
      </c>
    </row>
    <row r="3455" spans="12:12" x14ac:dyDescent="0.2">
      <c r="L3455" s="16" t="s">
        <v>164</v>
      </c>
    </row>
    <row r="3457" spans="12:12" x14ac:dyDescent="0.2">
      <c r="L3457" s="32"/>
    </row>
    <row r="3458" spans="12:12" x14ac:dyDescent="0.2">
      <c r="L3458" s="32"/>
    </row>
    <row r="3459" spans="12:12" x14ac:dyDescent="0.2">
      <c r="L3459" s="32"/>
    </row>
    <row r="3460" spans="12:12" x14ac:dyDescent="0.2">
      <c r="L3460" s="32"/>
    </row>
    <row r="3461" spans="12:12" x14ac:dyDescent="0.2">
      <c r="L3461" s="32"/>
    </row>
    <row r="3462" spans="12:12" x14ac:dyDescent="0.2">
      <c r="L3462" s="32"/>
    </row>
    <row r="3463" spans="12:12" x14ac:dyDescent="0.2">
      <c r="L3463" s="32"/>
    </row>
    <row r="3464" spans="12:12" x14ac:dyDescent="0.2">
      <c r="L3464" s="32"/>
    </row>
    <row r="3465" spans="12:12" x14ac:dyDescent="0.2">
      <c r="L3465" s="32"/>
    </row>
    <row r="3466" spans="12:12" x14ac:dyDescent="0.2">
      <c r="L3466" s="32"/>
    </row>
    <row r="3467" spans="12:12" x14ac:dyDescent="0.2">
      <c r="L3467" s="32"/>
    </row>
    <row r="3468" spans="12:12" x14ac:dyDescent="0.2">
      <c r="L3468" s="32"/>
    </row>
    <row r="3480" spans="12:12" x14ac:dyDescent="0.2">
      <c r="L3480" s="16" t="s">
        <v>165</v>
      </c>
    </row>
    <row r="3505" spans="12:12" x14ac:dyDescent="0.2">
      <c r="L3505" s="16" t="s">
        <v>166</v>
      </c>
    </row>
    <row r="3507" spans="12:12" x14ac:dyDescent="0.2">
      <c r="L3507" s="32"/>
    </row>
    <row r="3508" spans="12:12" x14ac:dyDescent="0.2">
      <c r="L3508" s="32"/>
    </row>
    <row r="3509" spans="12:12" x14ac:dyDescent="0.2">
      <c r="L3509" s="32"/>
    </row>
    <row r="3510" spans="12:12" x14ac:dyDescent="0.2">
      <c r="L3510" s="32"/>
    </row>
    <row r="3511" spans="12:12" x14ac:dyDescent="0.2">
      <c r="L3511" s="32"/>
    </row>
    <row r="3512" spans="12:12" x14ac:dyDescent="0.2">
      <c r="L3512" s="32"/>
    </row>
    <row r="3513" spans="12:12" x14ac:dyDescent="0.2">
      <c r="L3513" s="32"/>
    </row>
    <row r="3514" spans="12:12" x14ac:dyDescent="0.2">
      <c r="L3514" s="32"/>
    </row>
    <row r="3515" spans="12:12" x14ac:dyDescent="0.2">
      <c r="L3515" s="32"/>
    </row>
    <row r="3516" spans="12:12" x14ac:dyDescent="0.2">
      <c r="L3516" s="32"/>
    </row>
    <row r="3517" spans="12:12" x14ac:dyDescent="0.2">
      <c r="L3517" s="32"/>
    </row>
    <row r="3518" spans="12:12" x14ac:dyDescent="0.2">
      <c r="L3518" s="32"/>
    </row>
    <row r="3530" spans="12:12" x14ac:dyDescent="0.2">
      <c r="L3530" s="16" t="s">
        <v>167</v>
      </c>
    </row>
    <row r="3555" spans="12:12" x14ac:dyDescent="0.2">
      <c r="L3555" s="16" t="s">
        <v>168</v>
      </c>
    </row>
    <row r="3557" spans="12:12" x14ac:dyDescent="0.2">
      <c r="L3557" s="32"/>
    </row>
    <row r="3558" spans="12:12" x14ac:dyDescent="0.2">
      <c r="L3558" s="32"/>
    </row>
    <row r="3559" spans="12:12" x14ac:dyDescent="0.2">
      <c r="L3559" s="32"/>
    </row>
    <row r="3560" spans="12:12" x14ac:dyDescent="0.2">
      <c r="L3560" s="32"/>
    </row>
    <row r="3561" spans="12:12" x14ac:dyDescent="0.2">
      <c r="L3561" s="32"/>
    </row>
    <row r="3562" spans="12:12" x14ac:dyDescent="0.2">
      <c r="L3562" s="32"/>
    </row>
    <row r="3563" spans="12:12" x14ac:dyDescent="0.2">
      <c r="L3563" s="32"/>
    </row>
    <row r="3564" spans="12:12" x14ac:dyDescent="0.2">
      <c r="L3564" s="32"/>
    </row>
    <row r="3565" spans="12:12" x14ac:dyDescent="0.2">
      <c r="L3565" s="32"/>
    </row>
    <row r="3566" spans="12:12" x14ac:dyDescent="0.2">
      <c r="L3566" s="32"/>
    </row>
    <row r="3567" spans="12:12" x14ac:dyDescent="0.2">
      <c r="L3567" s="32"/>
    </row>
    <row r="3568" spans="12:12" x14ac:dyDescent="0.2">
      <c r="L3568" s="32"/>
    </row>
    <row r="3580" spans="12:12" x14ac:dyDescent="0.2">
      <c r="L3580" s="16" t="s">
        <v>169</v>
      </c>
    </row>
    <row r="3605" spans="12:12" x14ac:dyDescent="0.2">
      <c r="L3605" s="16" t="s">
        <v>170</v>
      </c>
    </row>
    <row r="3607" spans="12:12" x14ac:dyDescent="0.2">
      <c r="L3607" s="32"/>
    </row>
    <row r="3608" spans="12:12" x14ac:dyDescent="0.2">
      <c r="L3608" s="32"/>
    </row>
    <row r="3609" spans="12:12" x14ac:dyDescent="0.2">
      <c r="L3609" s="32"/>
    </row>
    <row r="3610" spans="12:12" x14ac:dyDescent="0.2">
      <c r="L3610" s="32"/>
    </row>
    <row r="3611" spans="12:12" x14ac:dyDescent="0.2">
      <c r="L3611" s="32"/>
    </row>
    <row r="3612" spans="12:12" x14ac:dyDescent="0.2">
      <c r="L3612" s="32"/>
    </row>
    <row r="3613" spans="12:12" x14ac:dyDescent="0.2">
      <c r="L3613" s="32"/>
    </row>
    <row r="3614" spans="12:12" x14ac:dyDescent="0.2">
      <c r="L3614" s="32"/>
    </row>
    <row r="3615" spans="12:12" x14ac:dyDescent="0.2">
      <c r="L3615" s="32"/>
    </row>
    <row r="3616" spans="12:12" x14ac:dyDescent="0.2">
      <c r="L3616" s="32"/>
    </row>
    <row r="3617" spans="12:12" x14ac:dyDescent="0.2">
      <c r="L3617" s="32"/>
    </row>
    <row r="3618" spans="12:12" x14ac:dyDescent="0.2">
      <c r="L3618" s="32"/>
    </row>
    <row r="3630" spans="12:12" x14ac:dyDescent="0.2">
      <c r="L3630" s="16" t="s">
        <v>171</v>
      </c>
    </row>
    <row r="3655" spans="12:12" x14ac:dyDescent="0.2">
      <c r="L3655" s="16" t="s">
        <v>172</v>
      </c>
    </row>
    <row r="3657" spans="12:12" x14ac:dyDescent="0.2">
      <c r="L3657" s="32"/>
    </row>
    <row r="3658" spans="12:12" x14ac:dyDescent="0.2">
      <c r="L3658" s="32"/>
    </row>
    <row r="3659" spans="12:12" x14ac:dyDescent="0.2">
      <c r="L3659" s="32"/>
    </row>
    <row r="3660" spans="12:12" x14ac:dyDescent="0.2">
      <c r="L3660" s="32"/>
    </row>
    <row r="3661" spans="12:12" x14ac:dyDescent="0.2">
      <c r="L3661" s="32"/>
    </row>
    <row r="3662" spans="12:12" x14ac:dyDescent="0.2">
      <c r="L3662" s="32"/>
    </row>
    <row r="3663" spans="12:12" x14ac:dyDescent="0.2">
      <c r="L3663" s="32"/>
    </row>
    <row r="3664" spans="12:12" x14ac:dyDescent="0.2">
      <c r="L3664" s="32"/>
    </row>
    <row r="3665" spans="12:12" x14ac:dyDescent="0.2">
      <c r="L3665" s="32"/>
    </row>
    <row r="3666" spans="12:12" x14ac:dyDescent="0.2">
      <c r="L3666" s="32"/>
    </row>
    <row r="3667" spans="12:12" x14ac:dyDescent="0.2">
      <c r="L3667" s="32"/>
    </row>
    <row r="3668" spans="12:12" x14ac:dyDescent="0.2">
      <c r="L3668" s="32"/>
    </row>
    <row r="3680" spans="12:12" x14ac:dyDescent="0.2">
      <c r="L3680" s="16" t="s">
        <v>173</v>
      </c>
    </row>
    <row r="3705" spans="12:12" x14ac:dyDescent="0.2">
      <c r="L3705" s="16" t="s">
        <v>174</v>
      </c>
    </row>
    <row r="3707" spans="12:12" x14ac:dyDescent="0.2">
      <c r="L3707" s="32"/>
    </row>
    <row r="3708" spans="12:12" x14ac:dyDescent="0.2">
      <c r="L3708" s="32"/>
    </row>
    <row r="3709" spans="12:12" x14ac:dyDescent="0.2">
      <c r="L3709" s="32"/>
    </row>
    <row r="3710" spans="12:12" x14ac:dyDescent="0.2">
      <c r="L3710" s="32"/>
    </row>
    <row r="3711" spans="12:12" x14ac:dyDescent="0.2">
      <c r="L3711" s="32"/>
    </row>
    <row r="3712" spans="12:12" x14ac:dyDescent="0.2">
      <c r="L3712" s="32"/>
    </row>
    <row r="3713" spans="12:12" x14ac:dyDescent="0.2">
      <c r="L3713" s="32"/>
    </row>
    <row r="3714" spans="12:12" x14ac:dyDescent="0.2">
      <c r="L3714" s="32"/>
    </row>
    <row r="3715" spans="12:12" x14ac:dyDescent="0.2">
      <c r="L3715" s="32"/>
    </row>
    <row r="3716" spans="12:12" x14ac:dyDescent="0.2">
      <c r="L3716" s="32"/>
    </row>
    <row r="3717" spans="12:12" x14ac:dyDescent="0.2">
      <c r="L3717" s="32"/>
    </row>
    <row r="3718" spans="12:12" x14ac:dyDescent="0.2">
      <c r="L3718" s="32"/>
    </row>
    <row r="3730" spans="12:12" x14ac:dyDescent="0.2">
      <c r="L3730" s="16" t="s">
        <v>175</v>
      </c>
    </row>
    <row r="3755" spans="12:12" x14ac:dyDescent="0.2">
      <c r="L3755" s="16" t="s">
        <v>176</v>
      </c>
    </row>
    <row r="3757" spans="12:12" x14ac:dyDescent="0.2">
      <c r="L3757" s="32"/>
    </row>
    <row r="3758" spans="12:12" x14ac:dyDescent="0.2">
      <c r="L3758" s="32"/>
    </row>
    <row r="3759" spans="12:12" x14ac:dyDescent="0.2">
      <c r="L3759" s="32"/>
    </row>
    <row r="3760" spans="12:12" x14ac:dyDescent="0.2">
      <c r="L3760" s="32"/>
    </row>
    <row r="3761" spans="12:12" x14ac:dyDescent="0.2">
      <c r="L3761" s="32"/>
    </row>
    <row r="3762" spans="12:12" x14ac:dyDescent="0.2">
      <c r="L3762" s="32"/>
    </row>
    <row r="3763" spans="12:12" x14ac:dyDescent="0.2">
      <c r="L3763" s="32"/>
    </row>
    <row r="3764" spans="12:12" x14ac:dyDescent="0.2">
      <c r="L3764" s="32"/>
    </row>
    <row r="3765" spans="12:12" x14ac:dyDescent="0.2">
      <c r="L3765" s="32"/>
    </row>
    <row r="3766" spans="12:12" x14ac:dyDescent="0.2">
      <c r="L3766" s="32"/>
    </row>
    <row r="3767" spans="12:12" x14ac:dyDescent="0.2">
      <c r="L3767" s="32"/>
    </row>
    <row r="3768" spans="12:12" x14ac:dyDescent="0.2">
      <c r="L3768" s="32"/>
    </row>
    <row r="3780" spans="12:12" x14ac:dyDescent="0.2">
      <c r="L3780" s="16" t="s">
        <v>177</v>
      </c>
    </row>
    <row r="3805" spans="12:12" x14ac:dyDescent="0.2">
      <c r="L3805" s="16" t="s">
        <v>178</v>
      </c>
    </row>
    <row r="3807" spans="12:12" x14ac:dyDescent="0.2">
      <c r="L3807" s="32"/>
    </row>
    <row r="3808" spans="12:12" x14ac:dyDescent="0.2">
      <c r="L3808" s="32"/>
    </row>
    <row r="3809" spans="12:12" x14ac:dyDescent="0.2">
      <c r="L3809" s="32"/>
    </row>
    <row r="3810" spans="12:12" x14ac:dyDescent="0.2">
      <c r="L3810" s="32"/>
    </row>
    <row r="3811" spans="12:12" x14ac:dyDescent="0.2">
      <c r="L3811" s="32"/>
    </row>
    <row r="3812" spans="12:12" x14ac:dyDescent="0.2">
      <c r="L3812" s="32"/>
    </row>
    <row r="3813" spans="12:12" x14ac:dyDescent="0.2">
      <c r="L3813" s="32"/>
    </row>
    <row r="3814" spans="12:12" x14ac:dyDescent="0.2">
      <c r="L3814" s="32"/>
    </row>
    <row r="3815" spans="12:12" x14ac:dyDescent="0.2">
      <c r="L3815" s="32"/>
    </row>
    <row r="3816" spans="12:12" x14ac:dyDescent="0.2">
      <c r="L3816" s="32"/>
    </row>
    <row r="3817" spans="12:12" x14ac:dyDescent="0.2">
      <c r="L3817" s="32"/>
    </row>
    <row r="3818" spans="12:12" x14ac:dyDescent="0.2">
      <c r="L3818" s="32"/>
    </row>
    <row r="3830" spans="12:12" x14ac:dyDescent="0.2">
      <c r="L3830" s="16" t="s">
        <v>179</v>
      </c>
    </row>
    <row r="3855" spans="12:12" x14ac:dyDescent="0.2">
      <c r="L3855" s="16" t="s">
        <v>180</v>
      </c>
    </row>
    <row r="3857" spans="12:12" x14ac:dyDescent="0.2">
      <c r="L3857" s="32"/>
    </row>
    <row r="3858" spans="12:12" x14ac:dyDescent="0.2">
      <c r="L3858" s="32"/>
    </row>
    <row r="3859" spans="12:12" x14ac:dyDescent="0.2">
      <c r="L3859" s="32"/>
    </row>
    <row r="3860" spans="12:12" x14ac:dyDescent="0.2">
      <c r="L3860" s="32"/>
    </row>
    <row r="3861" spans="12:12" x14ac:dyDescent="0.2">
      <c r="L3861" s="32"/>
    </row>
    <row r="3862" spans="12:12" x14ac:dyDescent="0.2">
      <c r="L3862" s="32"/>
    </row>
    <row r="3863" spans="12:12" x14ac:dyDescent="0.2">
      <c r="L3863" s="32"/>
    </row>
    <row r="3864" spans="12:12" x14ac:dyDescent="0.2">
      <c r="L3864" s="32"/>
    </row>
    <row r="3865" spans="12:12" x14ac:dyDescent="0.2">
      <c r="L3865" s="32"/>
    </row>
    <row r="3866" spans="12:12" x14ac:dyDescent="0.2">
      <c r="L3866" s="32"/>
    </row>
    <row r="3867" spans="12:12" x14ac:dyDescent="0.2">
      <c r="L3867" s="32"/>
    </row>
    <row r="3868" spans="12:12" x14ac:dyDescent="0.2">
      <c r="L3868" s="32"/>
    </row>
    <row r="3880" spans="12:12" x14ac:dyDescent="0.2">
      <c r="L3880" s="16" t="s">
        <v>181</v>
      </c>
    </row>
    <row r="3905" spans="12:12" x14ac:dyDescent="0.2">
      <c r="L3905" s="16" t="s">
        <v>182</v>
      </c>
    </row>
    <row r="3907" spans="12:12" x14ac:dyDescent="0.2">
      <c r="L3907" s="32"/>
    </row>
    <row r="3908" spans="12:12" x14ac:dyDescent="0.2">
      <c r="L3908" s="32"/>
    </row>
    <row r="3909" spans="12:12" x14ac:dyDescent="0.2">
      <c r="L3909" s="32"/>
    </row>
    <row r="3910" spans="12:12" x14ac:dyDescent="0.2">
      <c r="L3910" s="32"/>
    </row>
    <row r="3911" spans="12:12" x14ac:dyDescent="0.2">
      <c r="L3911" s="32"/>
    </row>
    <row r="3912" spans="12:12" x14ac:dyDescent="0.2">
      <c r="L3912" s="32"/>
    </row>
    <row r="3913" spans="12:12" x14ac:dyDescent="0.2">
      <c r="L3913" s="32"/>
    </row>
    <row r="3914" spans="12:12" x14ac:dyDescent="0.2">
      <c r="L3914" s="32"/>
    </row>
    <row r="3915" spans="12:12" x14ac:dyDescent="0.2">
      <c r="L3915" s="32"/>
    </row>
    <row r="3916" spans="12:12" x14ac:dyDescent="0.2">
      <c r="L3916" s="32"/>
    </row>
    <row r="3917" spans="12:12" x14ac:dyDescent="0.2">
      <c r="L3917" s="32"/>
    </row>
    <row r="3918" spans="12:12" x14ac:dyDescent="0.2">
      <c r="L3918" s="32"/>
    </row>
    <row r="3930" spans="12:12" x14ac:dyDescent="0.2">
      <c r="L3930" s="16" t="s">
        <v>183</v>
      </c>
    </row>
    <row r="3955" spans="12:12" x14ac:dyDescent="0.2">
      <c r="L3955" s="16" t="s">
        <v>184</v>
      </c>
    </row>
    <row r="3957" spans="12:12" x14ac:dyDescent="0.2">
      <c r="L3957" s="32"/>
    </row>
    <row r="3958" spans="12:12" x14ac:dyDescent="0.2">
      <c r="L3958" s="32"/>
    </row>
    <row r="3959" spans="12:12" x14ac:dyDescent="0.2">
      <c r="L3959" s="32"/>
    </row>
    <row r="3960" spans="12:12" x14ac:dyDescent="0.2">
      <c r="L3960" s="32"/>
    </row>
    <row r="3961" spans="12:12" x14ac:dyDescent="0.2">
      <c r="L3961" s="32"/>
    </row>
    <row r="3962" spans="12:12" x14ac:dyDescent="0.2">
      <c r="L3962" s="32"/>
    </row>
    <row r="3963" spans="12:12" x14ac:dyDescent="0.2">
      <c r="L3963" s="32"/>
    </row>
    <row r="3964" spans="12:12" x14ac:dyDescent="0.2">
      <c r="L3964" s="32"/>
    </row>
    <row r="3965" spans="12:12" x14ac:dyDescent="0.2">
      <c r="L3965" s="32"/>
    </row>
    <row r="3966" spans="12:12" x14ac:dyDescent="0.2">
      <c r="L3966" s="32"/>
    </row>
    <row r="3967" spans="12:12" x14ac:dyDescent="0.2">
      <c r="L3967" s="32"/>
    </row>
    <row r="3968" spans="12:12" x14ac:dyDescent="0.2">
      <c r="L3968" s="32"/>
    </row>
    <row r="3980" spans="12:12" x14ac:dyDescent="0.2">
      <c r="L3980" s="16" t="s">
        <v>185</v>
      </c>
    </row>
    <row r="4005" spans="12:12" x14ac:dyDescent="0.2">
      <c r="L4005" s="16" t="s">
        <v>186</v>
      </c>
    </row>
    <row r="4007" spans="12:12" x14ac:dyDescent="0.2">
      <c r="L4007" s="32"/>
    </row>
    <row r="4008" spans="12:12" x14ac:dyDescent="0.2">
      <c r="L4008" s="32"/>
    </row>
    <row r="4009" spans="12:12" x14ac:dyDescent="0.2">
      <c r="L4009" s="32"/>
    </row>
    <row r="4010" spans="12:12" x14ac:dyDescent="0.2">
      <c r="L4010" s="32"/>
    </row>
    <row r="4011" spans="12:12" x14ac:dyDescent="0.2">
      <c r="L4011" s="32"/>
    </row>
    <row r="4012" spans="12:12" x14ac:dyDescent="0.2">
      <c r="L4012" s="32"/>
    </row>
    <row r="4013" spans="12:12" x14ac:dyDescent="0.2">
      <c r="L4013" s="32"/>
    </row>
    <row r="4014" spans="12:12" x14ac:dyDescent="0.2">
      <c r="L4014" s="32"/>
    </row>
    <row r="4015" spans="12:12" x14ac:dyDescent="0.2">
      <c r="L4015" s="32"/>
    </row>
    <row r="4016" spans="12:12" x14ac:dyDescent="0.2">
      <c r="L4016" s="32"/>
    </row>
    <row r="4017" spans="12:12" x14ac:dyDescent="0.2">
      <c r="L4017" s="32"/>
    </row>
    <row r="4018" spans="12:12" x14ac:dyDescent="0.2">
      <c r="L4018" s="32"/>
    </row>
    <row r="4030" spans="12:12" x14ac:dyDescent="0.2">
      <c r="L4030" s="16" t="s">
        <v>187</v>
      </c>
    </row>
    <row r="4055" spans="12:12" x14ac:dyDescent="0.2">
      <c r="L4055" s="16" t="s">
        <v>188</v>
      </c>
    </row>
    <row r="4057" spans="12:12" x14ac:dyDescent="0.2">
      <c r="L4057" s="32"/>
    </row>
    <row r="4058" spans="12:12" x14ac:dyDescent="0.2">
      <c r="L4058" s="32"/>
    </row>
    <row r="4059" spans="12:12" x14ac:dyDescent="0.2">
      <c r="L4059" s="32"/>
    </row>
    <row r="4060" spans="12:12" x14ac:dyDescent="0.2">
      <c r="L4060" s="32"/>
    </row>
    <row r="4061" spans="12:12" x14ac:dyDescent="0.2">
      <c r="L4061" s="32"/>
    </row>
    <row r="4062" spans="12:12" x14ac:dyDescent="0.2">
      <c r="L4062" s="32"/>
    </row>
    <row r="4063" spans="12:12" x14ac:dyDescent="0.2">
      <c r="L4063" s="32"/>
    </row>
    <row r="4064" spans="12:12" x14ac:dyDescent="0.2">
      <c r="L4064" s="32"/>
    </row>
    <row r="4065" spans="12:12" x14ac:dyDescent="0.2">
      <c r="L4065" s="32"/>
    </row>
    <row r="4066" spans="12:12" x14ac:dyDescent="0.2">
      <c r="L4066" s="32"/>
    </row>
    <row r="4067" spans="12:12" x14ac:dyDescent="0.2">
      <c r="L4067" s="32"/>
    </row>
    <row r="4068" spans="12:12" x14ac:dyDescent="0.2">
      <c r="L4068" s="32"/>
    </row>
    <row r="4080" spans="12:12" x14ac:dyDescent="0.2">
      <c r="L4080" s="16" t="s">
        <v>189</v>
      </c>
    </row>
    <row r="4105" spans="12:12" x14ac:dyDescent="0.2">
      <c r="L4105" s="16" t="s">
        <v>190</v>
      </c>
    </row>
    <row r="4107" spans="12:12" x14ac:dyDescent="0.2">
      <c r="L4107" s="32"/>
    </row>
    <row r="4108" spans="12:12" x14ac:dyDescent="0.2">
      <c r="L4108" s="32"/>
    </row>
    <row r="4109" spans="12:12" x14ac:dyDescent="0.2">
      <c r="L4109" s="32"/>
    </row>
    <row r="4110" spans="12:12" x14ac:dyDescent="0.2">
      <c r="L4110" s="32"/>
    </row>
    <row r="4111" spans="12:12" x14ac:dyDescent="0.2">
      <c r="L4111" s="32"/>
    </row>
    <row r="4112" spans="12:12" x14ac:dyDescent="0.2">
      <c r="L4112" s="32"/>
    </row>
    <row r="4113" spans="12:12" x14ac:dyDescent="0.2">
      <c r="L4113" s="32"/>
    </row>
    <row r="4114" spans="12:12" x14ac:dyDescent="0.2">
      <c r="L4114" s="32"/>
    </row>
    <row r="4115" spans="12:12" x14ac:dyDescent="0.2">
      <c r="L4115" s="32"/>
    </row>
    <row r="4116" spans="12:12" x14ac:dyDescent="0.2">
      <c r="L4116" s="32"/>
    </row>
    <row r="4117" spans="12:12" x14ac:dyDescent="0.2">
      <c r="L4117" s="32"/>
    </row>
    <row r="4118" spans="12:12" x14ac:dyDescent="0.2">
      <c r="L4118" s="32"/>
    </row>
    <row r="4130" spans="12:12" x14ac:dyDescent="0.2">
      <c r="L4130" s="16" t="s">
        <v>191</v>
      </c>
    </row>
    <row r="4155" spans="12:12" x14ac:dyDescent="0.2">
      <c r="L4155" s="16" t="s">
        <v>192</v>
      </c>
    </row>
    <row r="4157" spans="12:12" x14ac:dyDescent="0.2">
      <c r="L4157" s="32"/>
    </row>
    <row r="4158" spans="12:12" x14ac:dyDescent="0.2">
      <c r="L4158" s="32"/>
    </row>
    <row r="4159" spans="12:12" x14ac:dyDescent="0.2">
      <c r="L4159" s="32"/>
    </row>
    <row r="4160" spans="12:12" x14ac:dyDescent="0.2">
      <c r="L4160" s="32"/>
    </row>
    <row r="4161" spans="12:12" x14ac:dyDescent="0.2">
      <c r="L4161" s="32"/>
    </row>
    <row r="4162" spans="12:12" x14ac:dyDescent="0.2">
      <c r="L4162" s="32"/>
    </row>
    <row r="4163" spans="12:12" x14ac:dyDescent="0.2">
      <c r="L4163" s="32"/>
    </row>
    <row r="4164" spans="12:12" x14ac:dyDescent="0.2">
      <c r="L4164" s="32"/>
    </row>
    <row r="4165" spans="12:12" x14ac:dyDescent="0.2">
      <c r="L4165" s="32"/>
    </row>
    <row r="4166" spans="12:12" x14ac:dyDescent="0.2">
      <c r="L4166" s="32"/>
    </row>
    <row r="4167" spans="12:12" x14ac:dyDescent="0.2">
      <c r="L4167" s="32"/>
    </row>
    <row r="4168" spans="12:12" x14ac:dyDescent="0.2">
      <c r="L4168" s="32"/>
    </row>
    <row r="4180" spans="12:12" x14ac:dyDescent="0.2">
      <c r="L4180" s="16" t="s">
        <v>193</v>
      </c>
    </row>
    <row r="4205" spans="12:12" x14ac:dyDescent="0.2">
      <c r="L4205" s="16" t="s">
        <v>194</v>
      </c>
    </row>
    <row r="4207" spans="12:12" x14ac:dyDescent="0.2">
      <c r="L4207" s="32"/>
    </row>
    <row r="4208" spans="12:12" x14ac:dyDescent="0.2">
      <c r="L4208" s="32"/>
    </row>
    <row r="4209" spans="12:12" x14ac:dyDescent="0.2">
      <c r="L4209" s="32"/>
    </row>
    <row r="4210" spans="12:12" x14ac:dyDescent="0.2">
      <c r="L4210" s="32"/>
    </row>
    <row r="4211" spans="12:12" x14ac:dyDescent="0.2">
      <c r="L4211" s="32"/>
    </row>
    <row r="4212" spans="12:12" x14ac:dyDescent="0.2">
      <c r="L4212" s="32"/>
    </row>
    <row r="4213" spans="12:12" x14ac:dyDescent="0.2">
      <c r="L4213" s="32"/>
    </row>
    <row r="4214" spans="12:12" x14ac:dyDescent="0.2">
      <c r="L4214" s="32"/>
    </row>
    <row r="4215" spans="12:12" x14ac:dyDescent="0.2">
      <c r="L4215" s="32"/>
    </row>
    <row r="4216" spans="12:12" x14ac:dyDescent="0.2">
      <c r="L4216" s="32"/>
    </row>
    <row r="4217" spans="12:12" x14ac:dyDescent="0.2">
      <c r="L4217" s="32"/>
    </row>
    <row r="4218" spans="12:12" x14ac:dyDescent="0.2">
      <c r="L4218" s="32"/>
    </row>
    <row r="4230" spans="12:12" x14ac:dyDescent="0.2">
      <c r="L4230" s="16" t="s">
        <v>195</v>
      </c>
    </row>
    <row r="4255" spans="12:12" x14ac:dyDescent="0.2">
      <c r="L4255" s="16" t="s">
        <v>196</v>
      </c>
    </row>
    <row r="4257" spans="12:12" x14ac:dyDescent="0.2">
      <c r="L4257" s="32"/>
    </row>
    <row r="4258" spans="12:12" x14ac:dyDescent="0.2">
      <c r="L4258" s="32"/>
    </row>
    <row r="4259" spans="12:12" x14ac:dyDescent="0.2">
      <c r="L4259" s="32"/>
    </row>
    <row r="4260" spans="12:12" x14ac:dyDescent="0.2">
      <c r="L4260" s="32"/>
    </row>
    <row r="4261" spans="12:12" x14ac:dyDescent="0.2">
      <c r="L4261" s="32"/>
    </row>
    <row r="4262" spans="12:12" x14ac:dyDescent="0.2">
      <c r="L4262" s="32"/>
    </row>
    <row r="4263" spans="12:12" x14ac:dyDescent="0.2">
      <c r="L4263" s="32"/>
    </row>
    <row r="4264" spans="12:12" x14ac:dyDescent="0.2">
      <c r="L4264" s="32"/>
    </row>
    <row r="4265" spans="12:12" x14ac:dyDescent="0.2">
      <c r="L4265" s="32"/>
    </row>
    <row r="4266" spans="12:12" x14ac:dyDescent="0.2">
      <c r="L4266" s="32"/>
    </row>
    <row r="4267" spans="12:12" x14ac:dyDescent="0.2">
      <c r="L4267" s="32"/>
    </row>
    <row r="4268" spans="12:12" x14ac:dyDescent="0.2">
      <c r="L4268" s="32"/>
    </row>
    <row r="4280" spans="12:12" x14ac:dyDescent="0.2">
      <c r="L4280" s="16" t="s">
        <v>197</v>
      </c>
    </row>
    <row r="4305" spans="12:12" x14ac:dyDescent="0.2">
      <c r="L4305" s="16" t="s">
        <v>198</v>
      </c>
    </row>
    <row r="4307" spans="12:12" x14ac:dyDescent="0.2">
      <c r="L4307" s="32"/>
    </row>
    <row r="4308" spans="12:12" x14ac:dyDescent="0.2">
      <c r="L4308" s="32"/>
    </row>
    <row r="4309" spans="12:12" x14ac:dyDescent="0.2">
      <c r="L4309" s="32"/>
    </row>
    <row r="4310" spans="12:12" x14ac:dyDescent="0.2">
      <c r="L4310" s="32"/>
    </row>
    <row r="4311" spans="12:12" x14ac:dyDescent="0.2">
      <c r="L4311" s="32"/>
    </row>
    <row r="4312" spans="12:12" x14ac:dyDescent="0.2">
      <c r="L4312" s="32"/>
    </row>
    <row r="4313" spans="12:12" x14ac:dyDescent="0.2">
      <c r="L4313" s="32"/>
    </row>
    <row r="4314" spans="12:12" x14ac:dyDescent="0.2">
      <c r="L4314" s="32"/>
    </row>
    <row r="4315" spans="12:12" x14ac:dyDescent="0.2">
      <c r="L4315" s="32"/>
    </row>
    <row r="4316" spans="12:12" x14ac:dyDescent="0.2">
      <c r="L4316" s="32"/>
    </row>
    <row r="4317" spans="12:12" x14ac:dyDescent="0.2">
      <c r="L4317" s="32"/>
    </row>
    <row r="4318" spans="12:12" x14ac:dyDescent="0.2">
      <c r="L4318" s="32"/>
    </row>
    <row r="4330" spans="12:12" x14ac:dyDescent="0.2">
      <c r="L4330" s="16" t="s">
        <v>199</v>
      </c>
    </row>
    <row r="4355" spans="12:12" x14ac:dyDescent="0.2">
      <c r="L4355" s="16" t="s">
        <v>200</v>
      </c>
    </row>
    <row r="4357" spans="12:12" x14ac:dyDescent="0.2">
      <c r="L4357" s="32"/>
    </row>
    <row r="4358" spans="12:12" x14ac:dyDescent="0.2">
      <c r="L4358" s="32"/>
    </row>
    <row r="4359" spans="12:12" x14ac:dyDescent="0.2">
      <c r="L4359" s="32"/>
    </row>
    <row r="4360" spans="12:12" x14ac:dyDescent="0.2">
      <c r="L4360" s="32"/>
    </row>
    <row r="4361" spans="12:12" x14ac:dyDescent="0.2">
      <c r="L4361" s="32"/>
    </row>
    <row r="4362" spans="12:12" x14ac:dyDescent="0.2">
      <c r="L4362" s="32"/>
    </row>
    <row r="4363" spans="12:12" x14ac:dyDescent="0.2">
      <c r="L4363" s="32"/>
    </row>
    <row r="4364" spans="12:12" x14ac:dyDescent="0.2">
      <c r="L4364" s="32"/>
    </row>
    <row r="4365" spans="12:12" x14ac:dyDescent="0.2">
      <c r="L4365" s="32"/>
    </row>
    <row r="4366" spans="12:12" x14ac:dyDescent="0.2">
      <c r="L4366" s="32"/>
    </row>
    <row r="4367" spans="12:12" x14ac:dyDescent="0.2">
      <c r="L4367" s="32"/>
    </row>
    <row r="4368" spans="12:12" x14ac:dyDescent="0.2">
      <c r="L4368" s="32"/>
    </row>
    <row r="4380" spans="12:12" x14ac:dyDescent="0.2">
      <c r="L4380" s="16" t="s">
        <v>201</v>
      </c>
    </row>
    <row r="4405" spans="12:12" x14ac:dyDescent="0.2">
      <c r="L4405" s="16" t="s">
        <v>202</v>
      </c>
    </row>
    <row r="4407" spans="12:12" x14ac:dyDescent="0.2">
      <c r="L4407" s="32"/>
    </row>
    <row r="4408" spans="12:12" x14ac:dyDescent="0.2">
      <c r="L4408" s="32"/>
    </row>
    <row r="4409" spans="12:12" x14ac:dyDescent="0.2">
      <c r="L4409" s="32"/>
    </row>
    <row r="4410" spans="12:12" x14ac:dyDescent="0.2">
      <c r="L4410" s="32"/>
    </row>
    <row r="4411" spans="12:12" x14ac:dyDescent="0.2">
      <c r="L4411" s="32"/>
    </row>
    <row r="4412" spans="12:12" x14ac:dyDescent="0.2">
      <c r="L4412" s="32"/>
    </row>
    <row r="4413" spans="12:12" x14ac:dyDescent="0.2">
      <c r="L4413" s="32"/>
    </row>
    <row r="4414" spans="12:12" x14ac:dyDescent="0.2">
      <c r="L4414" s="32"/>
    </row>
    <row r="4415" spans="12:12" x14ac:dyDescent="0.2">
      <c r="L4415" s="32"/>
    </row>
    <row r="4416" spans="12:12" x14ac:dyDescent="0.2">
      <c r="L4416" s="32"/>
    </row>
    <row r="4417" spans="12:12" x14ac:dyDescent="0.2">
      <c r="L4417" s="32"/>
    </row>
    <row r="4418" spans="12:12" x14ac:dyDescent="0.2">
      <c r="L4418" s="32"/>
    </row>
    <row r="4430" spans="12:12" x14ac:dyDescent="0.2">
      <c r="L4430" s="16" t="s">
        <v>203</v>
      </c>
    </row>
    <row r="4455" spans="12:12" x14ac:dyDescent="0.2">
      <c r="L4455" s="16" t="s">
        <v>204</v>
      </c>
    </row>
    <row r="4457" spans="12:12" x14ac:dyDescent="0.2">
      <c r="L4457" s="32"/>
    </row>
    <row r="4458" spans="12:12" x14ac:dyDescent="0.2">
      <c r="L4458" s="32"/>
    </row>
    <row r="4459" spans="12:12" x14ac:dyDescent="0.2">
      <c r="L4459" s="32"/>
    </row>
    <row r="4460" spans="12:12" x14ac:dyDescent="0.2">
      <c r="L4460" s="32"/>
    </row>
    <row r="4461" spans="12:12" x14ac:dyDescent="0.2">
      <c r="L4461" s="32"/>
    </row>
    <row r="4462" spans="12:12" x14ac:dyDescent="0.2">
      <c r="L4462" s="32"/>
    </row>
    <row r="4463" spans="12:12" x14ac:dyDescent="0.2">
      <c r="L4463" s="32"/>
    </row>
    <row r="4464" spans="12:12" x14ac:dyDescent="0.2">
      <c r="L4464" s="32"/>
    </row>
    <row r="4465" spans="12:12" x14ac:dyDescent="0.2">
      <c r="L4465" s="32"/>
    </row>
    <row r="4466" spans="12:12" x14ac:dyDescent="0.2">
      <c r="L4466" s="32"/>
    </row>
    <row r="4467" spans="12:12" x14ac:dyDescent="0.2">
      <c r="L4467" s="32"/>
    </row>
    <row r="4468" spans="12:12" x14ac:dyDescent="0.2">
      <c r="L4468" s="32"/>
    </row>
    <row r="4480" spans="12:12" x14ac:dyDescent="0.2">
      <c r="L4480" s="16" t="s">
        <v>205</v>
      </c>
    </row>
    <row r="4505" spans="12:12" x14ac:dyDescent="0.2">
      <c r="L4505" s="16" t="s">
        <v>206</v>
      </c>
    </row>
    <row r="4507" spans="12:12" x14ac:dyDescent="0.2">
      <c r="L4507" s="32"/>
    </row>
    <row r="4508" spans="12:12" x14ac:dyDescent="0.2">
      <c r="L4508" s="32"/>
    </row>
    <row r="4509" spans="12:12" x14ac:dyDescent="0.2">
      <c r="L4509" s="32"/>
    </row>
    <row r="4510" spans="12:12" x14ac:dyDescent="0.2">
      <c r="L4510" s="32"/>
    </row>
    <row r="4511" spans="12:12" x14ac:dyDescent="0.2">
      <c r="L4511" s="32"/>
    </row>
    <row r="4512" spans="12:12" x14ac:dyDescent="0.2">
      <c r="L4512" s="32"/>
    </row>
    <row r="4513" spans="12:12" x14ac:dyDescent="0.2">
      <c r="L4513" s="32"/>
    </row>
    <row r="4514" spans="12:12" x14ac:dyDescent="0.2">
      <c r="L4514" s="32"/>
    </row>
    <row r="4515" spans="12:12" x14ac:dyDescent="0.2">
      <c r="L4515" s="32"/>
    </row>
    <row r="4516" spans="12:12" x14ac:dyDescent="0.2">
      <c r="L4516" s="32"/>
    </row>
    <row r="4517" spans="12:12" x14ac:dyDescent="0.2">
      <c r="L4517" s="32"/>
    </row>
    <row r="4518" spans="12:12" x14ac:dyDescent="0.2">
      <c r="L4518" s="32"/>
    </row>
    <row r="4530" spans="12:12" x14ac:dyDescent="0.2">
      <c r="L4530" s="16" t="s">
        <v>207</v>
      </c>
    </row>
    <row r="4555" spans="12:12" x14ac:dyDescent="0.2">
      <c r="L4555" s="16" t="s">
        <v>208</v>
      </c>
    </row>
    <row r="4557" spans="12:12" x14ac:dyDescent="0.2">
      <c r="L4557" s="32"/>
    </row>
    <row r="4558" spans="12:12" x14ac:dyDescent="0.2">
      <c r="L4558" s="32"/>
    </row>
    <row r="4559" spans="12:12" x14ac:dyDescent="0.2">
      <c r="L4559" s="32"/>
    </row>
    <row r="4560" spans="12:12" x14ac:dyDescent="0.2">
      <c r="L4560" s="32"/>
    </row>
    <row r="4561" spans="12:12" x14ac:dyDescent="0.2">
      <c r="L4561" s="32"/>
    </row>
    <row r="4562" spans="12:12" x14ac:dyDescent="0.2">
      <c r="L4562" s="32"/>
    </row>
    <row r="4563" spans="12:12" x14ac:dyDescent="0.2">
      <c r="L4563" s="32"/>
    </row>
    <row r="4564" spans="12:12" x14ac:dyDescent="0.2">
      <c r="L4564" s="32"/>
    </row>
    <row r="4565" spans="12:12" x14ac:dyDescent="0.2">
      <c r="L4565" s="32"/>
    </row>
    <row r="4566" spans="12:12" x14ac:dyDescent="0.2">
      <c r="L4566" s="32"/>
    </row>
    <row r="4567" spans="12:12" x14ac:dyDescent="0.2">
      <c r="L4567" s="32"/>
    </row>
    <row r="4568" spans="12:12" x14ac:dyDescent="0.2">
      <c r="L4568" s="32"/>
    </row>
    <row r="4580" spans="12:12" x14ac:dyDescent="0.2">
      <c r="L4580" s="16" t="s">
        <v>209</v>
      </c>
    </row>
    <row r="4605" spans="12:12" x14ac:dyDescent="0.2">
      <c r="L4605" s="16" t="s">
        <v>210</v>
      </c>
    </row>
    <row r="4607" spans="12:12" x14ac:dyDescent="0.2">
      <c r="L4607" s="32"/>
    </row>
    <row r="4608" spans="12:12" x14ac:dyDescent="0.2">
      <c r="L4608" s="32"/>
    </row>
    <row r="4609" spans="12:12" x14ac:dyDescent="0.2">
      <c r="L4609" s="32"/>
    </row>
    <row r="4610" spans="12:12" x14ac:dyDescent="0.2">
      <c r="L4610" s="32"/>
    </row>
    <row r="4611" spans="12:12" x14ac:dyDescent="0.2">
      <c r="L4611" s="32"/>
    </row>
    <row r="4612" spans="12:12" x14ac:dyDescent="0.2">
      <c r="L4612" s="32"/>
    </row>
    <row r="4613" spans="12:12" x14ac:dyDescent="0.2">
      <c r="L4613" s="32"/>
    </row>
    <row r="4614" spans="12:12" x14ac:dyDescent="0.2">
      <c r="L4614" s="32"/>
    </row>
    <row r="4615" spans="12:12" x14ac:dyDescent="0.2">
      <c r="L4615" s="32"/>
    </row>
    <row r="4616" spans="12:12" x14ac:dyDescent="0.2">
      <c r="L4616" s="32"/>
    </row>
    <row r="4617" spans="12:12" x14ac:dyDescent="0.2">
      <c r="L4617" s="32"/>
    </row>
    <row r="4618" spans="12:12" x14ac:dyDescent="0.2">
      <c r="L4618" s="32"/>
    </row>
    <row r="4630" spans="12:12" x14ac:dyDescent="0.2">
      <c r="L4630" s="16" t="s">
        <v>211</v>
      </c>
    </row>
    <row r="4655" spans="12:12" x14ac:dyDescent="0.2">
      <c r="L4655" s="16" t="s">
        <v>212</v>
      </c>
    </row>
    <row r="4657" spans="12:12" x14ac:dyDescent="0.2">
      <c r="L4657" s="32"/>
    </row>
    <row r="4658" spans="12:12" x14ac:dyDescent="0.2">
      <c r="L4658" s="32"/>
    </row>
    <row r="4659" spans="12:12" x14ac:dyDescent="0.2">
      <c r="L4659" s="32"/>
    </row>
    <row r="4660" spans="12:12" x14ac:dyDescent="0.2">
      <c r="L4660" s="32"/>
    </row>
    <row r="4661" spans="12:12" x14ac:dyDescent="0.2">
      <c r="L4661" s="32"/>
    </row>
    <row r="4662" spans="12:12" x14ac:dyDescent="0.2">
      <c r="L4662" s="32"/>
    </row>
    <row r="4663" spans="12:12" x14ac:dyDescent="0.2">
      <c r="L4663" s="32"/>
    </row>
    <row r="4664" spans="12:12" x14ac:dyDescent="0.2">
      <c r="L4664" s="32"/>
    </row>
    <row r="4665" spans="12:12" x14ac:dyDescent="0.2">
      <c r="L4665" s="32"/>
    </row>
    <row r="4666" spans="12:12" x14ac:dyDescent="0.2">
      <c r="L4666" s="32"/>
    </row>
    <row r="4667" spans="12:12" x14ac:dyDescent="0.2">
      <c r="L4667" s="32"/>
    </row>
    <row r="4668" spans="12:12" x14ac:dyDescent="0.2">
      <c r="L4668" s="32"/>
    </row>
    <row r="4680" spans="12:12" x14ac:dyDescent="0.2">
      <c r="L4680" s="16" t="s">
        <v>213</v>
      </c>
    </row>
    <row r="4705" spans="12:12" x14ac:dyDescent="0.2">
      <c r="L4705" s="16" t="s">
        <v>214</v>
      </c>
    </row>
    <row r="4707" spans="12:12" x14ac:dyDescent="0.2">
      <c r="L4707" s="32"/>
    </row>
    <row r="4708" spans="12:12" x14ac:dyDescent="0.2">
      <c r="L4708" s="32"/>
    </row>
    <row r="4709" spans="12:12" x14ac:dyDescent="0.2">
      <c r="L4709" s="32"/>
    </row>
    <row r="4710" spans="12:12" x14ac:dyDescent="0.2">
      <c r="L4710" s="32"/>
    </row>
    <row r="4711" spans="12:12" x14ac:dyDescent="0.2">
      <c r="L4711" s="32"/>
    </row>
    <row r="4712" spans="12:12" x14ac:dyDescent="0.2">
      <c r="L4712" s="32"/>
    </row>
    <row r="4713" spans="12:12" x14ac:dyDescent="0.2">
      <c r="L4713" s="32"/>
    </row>
    <row r="4714" spans="12:12" x14ac:dyDescent="0.2">
      <c r="L4714" s="32"/>
    </row>
    <row r="4715" spans="12:12" x14ac:dyDescent="0.2">
      <c r="L4715" s="32"/>
    </row>
    <row r="4716" spans="12:12" x14ac:dyDescent="0.2">
      <c r="L4716" s="32"/>
    </row>
    <row r="4717" spans="12:12" x14ac:dyDescent="0.2">
      <c r="L4717" s="32"/>
    </row>
    <row r="4718" spans="12:12" x14ac:dyDescent="0.2">
      <c r="L4718" s="32"/>
    </row>
    <row r="4730" spans="12:12" x14ac:dyDescent="0.2">
      <c r="L4730" s="16" t="s">
        <v>215</v>
      </c>
    </row>
    <row r="4755" spans="12:12" x14ac:dyDescent="0.2">
      <c r="L4755" s="16" t="s">
        <v>216</v>
      </c>
    </row>
    <row r="4757" spans="12:12" x14ac:dyDescent="0.2">
      <c r="L4757" s="32"/>
    </row>
    <row r="4758" spans="12:12" x14ac:dyDescent="0.2">
      <c r="L4758" s="32"/>
    </row>
    <row r="4759" spans="12:12" x14ac:dyDescent="0.2">
      <c r="L4759" s="32"/>
    </row>
    <row r="4760" spans="12:12" x14ac:dyDescent="0.2">
      <c r="L4760" s="32"/>
    </row>
    <row r="4761" spans="12:12" x14ac:dyDescent="0.2">
      <c r="L4761" s="32"/>
    </row>
    <row r="4762" spans="12:12" x14ac:dyDescent="0.2">
      <c r="L4762" s="32"/>
    </row>
    <row r="4763" spans="12:12" x14ac:dyDescent="0.2">
      <c r="L4763" s="32"/>
    </row>
    <row r="4764" spans="12:12" x14ac:dyDescent="0.2">
      <c r="L4764" s="32"/>
    </row>
    <row r="4765" spans="12:12" x14ac:dyDescent="0.2">
      <c r="L4765" s="32"/>
    </row>
    <row r="4766" spans="12:12" x14ac:dyDescent="0.2">
      <c r="L4766" s="32"/>
    </row>
    <row r="4767" spans="12:12" x14ac:dyDescent="0.2">
      <c r="L4767" s="32"/>
    </row>
    <row r="4768" spans="12:12" x14ac:dyDescent="0.2">
      <c r="L4768" s="32"/>
    </row>
    <row r="4780" spans="12:12" x14ac:dyDescent="0.2">
      <c r="L4780" s="16" t="s">
        <v>217</v>
      </c>
    </row>
    <row r="4805" spans="12:22" x14ac:dyDescent="0.2">
      <c r="L4805" s="16" t="s">
        <v>218</v>
      </c>
    </row>
    <row r="4807" spans="12:22" x14ac:dyDescent="0.2">
      <c r="L4807" s="32"/>
    </row>
    <row r="4808" spans="12:22" x14ac:dyDescent="0.2">
      <c r="L4808" s="32"/>
    </row>
    <row r="4809" spans="12:22" x14ac:dyDescent="0.2">
      <c r="L4809" s="32"/>
    </row>
    <row r="4810" spans="12:22" x14ac:dyDescent="0.2">
      <c r="L4810" s="32"/>
    </row>
    <row r="4811" spans="12:22" x14ac:dyDescent="0.2">
      <c r="L4811" s="32"/>
    </row>
    <row r="4812" spans="12:22" x14ac:dyDescent="0.2">
      <c r="L4812" s="32"/>
    </row>
    <row r="4813" spans="12:22" x14ac:dyDescent="0.2">
      <c r="L4813" s="32"/>
      <c r="M4813" s="33"/>
      <c r="N4813" s="29"/>
      <c r="O4813" s="29"/>
      <c r="P4813" s="29"/>
      <c r="Q4813" s="34"/>
      <c r="S4813" s="36"/>
      <c r="T4813" s="36"/>
      <c r="U4813" s="36"/>
      <c r="V4813" s="37"/>
    </row>
    <row r="4814" spans="12:22" x14ac:dyDescent="0.2">
      <c r="L4814" s="32"/>
      <c r="M4814" s="33"/>
      <c r="N4814" s="29"/>
      <c r="O4814" s="29"/>
      <c r="P4814" s="29"/>
      <c r="Q4814" s="38"/>
      <c r="R4814" s="35"/>
      <c r="S4814" s="36"/>
      <c r="T4814" s="36"/>
      <c r="U4814" s="36"/>
      <c r="V4814" s="37"/>
    </row>
    <row r="4815" spans="12:22" x14ac:dyDescent="0.2">
      <c r="L4815" s="32"/>
      <c r="M4815" s="33"/>
      <c r="N4815" s="29"/>
      <c r="O4815" s="29"/>
      <c r="P4815" s="29"/>
      <c r="Q4815" s="34"/>
      <c r="R4815" s="35"/>
      <c r="S4815" s="36"/>
      <c r="T4815" s="36"/>
      <c r="U4815" s="36"/>
      <c r="V4815" s="37"/>
    </row>
    <row r="4816" spans="12:22" x14ac:dyDescent="0.2">
      <c r="L4816" s="32"/>
      <c r="M4816" s="33"/>
      <c r="N4816" s="29"/>
      <c r="O4816" s="29"/>
      <c r="P4816" s="29"/>
      <c r="Q4816" s="34"/>
      <c r="R4816" s="35"/>
      <c r="S4816" s="36"/>
      <c r="T4816" s="36"/>
      <c r="U4816" s="36"/>
      <c r="V4816" s="37"/>
    </row>
    <row r="4817" spans="12:22" x14ac:dyDescent="0.2">
      <c r="L4817" s="32"/>
      <c r="M4817" s="33"/>
      <c r="N4817" s="29"/>
      <c r="O4817" s="29"/>
      <c r="P4817" s="29"/>
      <c r="Q4817" s="34"/>
      <c r="R4817" s="35"/>
      <c r="S4817" s="36"/>
      <c r="T4817" s="36"/>
      <c r="U4817" s="36"/>
      <c r="V4817" s="37"/>
    </row>
    <row r="4818" spans="12:22" x14ac:dyDescent="0.2">
      <c r="L4818" s="32"/>
      <c r="M4818" s="33"/>
      <c r="N4818" s="29"/>
      <c r="O4818" s="29"/>
      <c r="P4818" s="29"/>
      <c r="Q4818" s="34"/>
      <c r="R4818" s="35"/>
      <c r="S4818" s="36"/>
      <c r="T4818" s="36"/>
      <c r="U4818" s="36"/>
      <c r="V4818" s="37"/>
    </row>
    <row r="4819" spans="12:22" x14ac:dyDescent="0.2">
      <c r="M4819" s="26"/>
      <c r="N4819" s="15"/>
      <c r="O4819" s="15"/>
      <c r="P4819" s="15"/>
      <c r="Q4819" s="39"/>
      <c r="R4819" s="35"/>
      <c r="S4819" s="36"/>
      <c r="T4819" s="36"/>
      <c r="U4819" s="36"/>
      <c r="V4819" s="37"/>
    </row>
    <row r="4820" spans="12:22" x14ac:dyDescent="0.2">
      <c r="M4820" s="26"/>
      <c r="N4820" s="15"/>
      <c r="O4820" s="15"/>
      <c r="P4820" s="15"/>
      <c r="Q4820" s="39"/>
      <c r="R4820" s="35"/>
      <c r="S4820" s="36"/>
      <c r="T4820" s="36"/>
      <c r="U4820" s="36"/>
      <c r="V4820" s="37"/>
    </row>
    <row r="4821" spans="12:22" x14ac:dyDescent="0.2">
      <c r="M4821" s="40"/>
      <c r="N4821" s="15"/>
      <c r="O4821" s="15"/>
      <c r="P4821" s="15"/>
      <c r="Q4821" s="39"/>
      <c r="R4821" s="35"/>
      <c r="S4821" s="36"/>
      <c r="T4821" s="36"/>
      <c r="U4821" s="36"/>
      <c r="V4821" s="37"/>
    </row>
    <row r="4822" spans="12:22" x14ac:dyDescent="0.2">
      <c r="M4822" s="40"/>
      <c r="N4822" s="15"/>
      <c r="O4822" s="15"/>
      <c r="P4822" s="15"/>
      <c r="Q4822" s="39"/>
      <c r="R4822" s="41"/>
      <c r="S4822" s="36"/>
      <c r="T4822" s="36"/>
      <c r="U4822" s="36"/>
      <c r="V4822" s="37"/>
    </row>
    <row r="4823" spans="12:22" x14ac:dyDescent="0.2">
      <c r="M4823" s="40"/>
      <c r="N4823" s="15"/>
      <c r="O4823" s="15"/>
      <c r="P4823" s="15"/>
      <c r="Q4823" s="39"/>
      <c r="R4823" s="41"/>
      <c r="S4823" s="36"/>
      <c r="T4823" s="36"/>
      <c r="U4823" s="36"/>
      <c r="V4823" s="37"/>
    </row>
    <row r="4824" spans="12:22" x14ac:dyDescent="0.2">
      <c r="M4824" s="40"/>
      <c r="N4824" s="15"/>
      <c r="O4824" s="15"/>
      <c r="P4824" s="15"/>
      <c r="Q4824" s="39"/>
      <c r="R4824" s="41"/>
      <c r="S4824" s="36"/>
      <c r="T4824" s="36"/>
      <c r="U4824" s="36"/>
      <c r="V4824" s="37"/>
    </row>
    <row r="4825" spans="12:22" x14ac:dyDescent="0.2">
      <c r="M4825" s="40"/>
      <c r="N4825" s="15"/>
      <c r="O4825" s="15"/>
      <c r="P4825" s="15"/>
      <c r="Q4825" s="39"/>
      <c r="R4825" s="41"/>
      <c r="S4825" s="36"/>
      <c r="T4825" s="36"/>
      <c r="U4825" s="36"/>
      <c r="V4825" s="37"/>
    </row>
    <row r="4826" spans="12:22" x14ac:dyDescent="0.2">
      <c r="M4826" s="40"/>
      <c r="N4826" s="15"/>
      <c r="O4826" s="15"/>
      <c r="P4826" s="15"/>
      <c r="Q4826" s="39"/>
      <c r="R4826" s="41"/>
      <c r="S4826" s="36"/>
      <c r="T4826" s="36"/>
      <c r="U4826" s="36"/>
      <c r="V4826" s="37"/>
    </row>
    <row r="4827" spans="12:22" x14ac:dyDescent="0.2">
      <c r="M4827" s="40"/>
      <c r="N4827" s="15"/>
      <c r="O4827" s="15"/>
      <c r="P4827" s="15"/>
      <c r="Q4827" s="39"/>
      <c r="R4827" s="41"/>
      <c r="S4827" s="36"/>
      <c r="T4827" s="36"/>
      <c r="U4827" s="36"/>
      <c r="V4827" s="37"/>
    </row>
    <row r="4828" spans="12:22" x14ac:dyDescent="0.2">
      <c r="M4828" s="40"/>
      <c r="N4828" s="15"/>
      <c r="O4828" s="15"/>
      <c r="P4828" s="15"/>
      <c r="Q4828" s="39"/>
      <c r="R4828" s="41"/>
      <c r="S4828" s="36"/>
      <c r="T4828" s="36"/>
      <c r="U4828" s="36"/>
      <c r="V4828" s="37"/>
    </row>
    <row r="4829" spans="12:22" x14ac:dyDescent="0.2">
      <c r="M4829" s="40"/>
      <c r="N4829" s="15"/>
      <c r="O4829" s="15"/>
      <c r="P4829" s="15"/>
      <c r="Q4829" s="39"/>
      <c r="R4829" s="41"/>
      <c r="S4829" s="36"/>
      <c r="T4829" s="36"/>
      <c r="U4829" s="36"/>
      <c r="V4829" s="37"/>
    </row>
    <row r="4830" spans="12:22" x14ac:dyDescent="0.2">
      <c r="L4830" s="16" t="s">
        <v>219</v>
      </c>
      <c r="M4830" s="40"/>
      <c r="N4830" s="15"/>
      <c r="O4830" s="15"/>
      <c r="P4830" s="15"/>
      <c r="Q4830" s="39"/>
      <c r="R4830" s="41"/>
      <c r="S4830" s="36"/>
      <c r="T4830" s="36"/>
      <c r="U4830" s="36"/>
      <c r="V4830" s="37"/>
    </row>
    <row r="4831" spans="12:22" ht="13.5" thickBot="1" x14ac:dyDescent="0.25">
      <c r="M4831" s="42"/>
      <c r="N4831" s="43"/>
      <c r="O4831" s="43"/>
      <c r="P4831" s="43"/>
      <c r="Q4831" s="44"/>
      <c r="R4831" s="41"/>
      <c r="S4831" s="46"/>
      <c r="T4831" s="46"/>
      <c r="U4831" s="46"/>
      <c r="V4831" s="47"/>
    </row>
    <row r="4832" spans="12:22" ht="13.5" thickBot="1" x14ac:dyDescent="0.25">
      <c r="M4832" s="48"/>
      <c r="N4832" s="49"/>
      <c r="O4832" s="49"/>
      <c r="P4832" s="49"/>
      <c r="Q4832" s="50"/>
      <c r="R4832" s="45"/>
      <c r="S4832" s="52"/>
      <c r="T4832" s="52"/>
      <c r="U4832" s="52"/>
      <c r="V4832" s="53"/>
    </row>
    <row r="4833" spans="13:22" x14ac:dyDescent="0.2">
      <c r="M4833" s="54"/>
      <c r="N4833" s="29"/>
      <c r="O4833" s="29"/>
      <c r="P4833" s="29"/>
      <c r="Q4833" s="34"/>
      <c r="R4833" s="51"/>
      <c r="S4833" s="36"/>
      <c r="T4833" s="36"/>
      <c r="U4833" s="36"/>
      <c r="V4833" s="37"/>
    </row>
    <row r="4834" spans="13:22" x14ac:dyDescent="0.2">
      <c r="M4834" s="33"/>
      <c r="N4834" s="29"/>
      <c r="O4834" s="29"/>
      <c r="P4834" s="29"/>
      <c r="Q4834" s="34"/>
      <c r="R4834" s="41"/>
      <c r="S4834" s="36"/>
      <c r="T4834" s="36"/>
      <c r="U4834" s="36"/>
      <c r="V4834" s="37"/>
    </row>
    <row r="4835" spans="13:22" x14ac:dyDescent="0.2">
      <c r="M4835" s="33"/>
      <c r="N4835" s="29"/>
      <c r="O4835" s="29"/>
      <c r="P4835" s="29"/>
      <c r="Q4835" s="34"/>
      <c r="R4835" s="35"/>
      <c r="S4835" s="36"/>
      <c r="T4835" s="36"/>
      <c r="U4835" s="36"/>
      <c r="V4835" s="37"/>
    </row>
    <row r="4836" spans="13:22" x14ac:dyDescent="0.2">
      <c r="M4836" s="33"/>
      <c r="N4836" s="29"/>
      <c r="O4836" s="29"/>
      <c r="P4836" s="29"/>
      <c r="Q4836" s="34"/>
      <c r="R4836" s="35"/>
      <c r="S4836" s="36"/>
      <c r="T4836" s="36"/>
      <c r="U4836" s="36"/>
      <c r="V4836" s="37"/>
    </row>
    <row r="4837" spans="13:22" x14ac:dyDescent="0.2">
      <c r="M4837" s="33"/>
      <c r="N4837" s="29"/>
      <c r="O4837" s="29"/>
      <c r="P4837" s="29"/>
      <c r="Q4837" s="34"/>
      <c r="R4837" s="35"/>
      <c r="S4837" s="36"/>
      <c r="T4837" s="36"/>
      <c r="U4837" s="36"/>
      <c r="V4837" s="37"/>
    </row>
    <row r="4838" spans="13:22" x14ac:dyDescent="0.2">
      <c r="M4838" s="33"/>
      <c r="N4838" s="29"/>
      <c r="O4838" s="29"/>
      <c r="P4838" s="29"/>
      <c r="Q4838" s="34"/>
      <c r="R4838" s="35"/>
      <c r="S4838" s="36"/>
      <c r="T4838" s="36"/>
      <c r="U4838" s="36"/>
      <c r="V4838" s="37"/>
    </row>
    <row r="4839" spans="13:22" x14ac:dyDescent="0.2">
      <c r="M4839" s="33"/>
      <c r="N4839" s="29"/>
      <c r="O4839" s="29"/>
      <c r="P4839" s="29"/>
      <c r="Q4839" s="38"/>
      <c r="R4839" s="35"/>
      <c r="S4839" s="36"/>
      <c r="T4839" s="36"/>
      <c r="U4839" s="36"/>
      <c r="V4839" s="37"/>
    </row>
    <row r="4840" spans="13:22" x14ac:dyDescent="0.2">
      <c r="M4840" s="33"/>
      <c r="N4840" s="29"/>
      <c r="O4840" s="29"/>
      <c r="P4840" s="29"/>
      <c r="Q4840" s="34"/>
      <c r="R4840" s="35"/>
      <c r="S4840" s="36"/>
      <c r="T4840" s="36"/>
      <c r="U4840" s="36"/>
      <c r="V4840" s="37"/>
    </row>
    <row r="4841" spans="13:22" x14ac:dyDescent="0.2">
      <c r="M4841" s="33"/>
      <c r="N4841" s="29"/>
      <c r="O4841" s="29"/>
      <c r="P4841" s="29"/>
      <c r="Q4841" s="34"/>
      <c r="R4841" s="35"/>
      <c r="S4841" s="36"/>
      <c r="T4841" s="36"/>
      <c r="U4841" s="36"/>
      <c r="V4841" s="37"/>
    </row>
    <row r="4842" spans="13:22" x14ac:dyDescent="0.2">
      <c r="M4842" s="33"/>
      <c r="N4842" s="29"/>
      <c r="O4842" s="29"/>
      <c r="P4842" s="29"/>
      <c r="Q4842" s="34"/>
      <c r="R4842" s="35"/>
      <c r="S4842" s="36"/>
      <c r="T4842" s="36"/>
      <c r="U4842" s="36"/>
      <c r="V4842" s="37"/>
    </row>
    <row r="4843" spans="13:22" x14ac:dyDescent="0.2">
      <c r="M4843" s="33"/>
      <c r="N4843" s="29"/>
      <c r="O4843" s="29"/>
      <c r="P4843" s="29"/>
      <c r="Q4843" s="34"/>
      <c r="R4843" s="35"/>
      <c r="S4843" s="36"/>
      <c r="T4843" s="36"/>
      <c r="U4843" s="36"/>
      <c r="V4843" s="37"/>
    </row>
    <row r="4844" spans="13:22" x14ac:dyDescent="0.2">
      <c r="M4844" s="26"/>
      <c r="N4844" s="15"/>
      <c r="O4844" s="15"/>
      <c r="P4844" s="15"/>
      <c r="Q4844" s="39"/>
      <c r="R4844" s="35"/>
      <c r="S4844" s="36"/>
      <c r="T4844" s="36"/>
      <c r="U4844" s="36"/>
      <c r="V4844" s="37"/>
    </row>
    <row r="4845" spans="13:22" x14ac:dyDescent="0.2">
      <c r="M4845" s="26"/>
      <c r="N4845" s="15"/>
      <c r="O4845" s="15"/>
      <c r="P4845" s="15"/>
      <c r="Q4845" s="39"/>
      <c r="R4845" s="35"/>
      <c r="S4845" s="36"/>
      <c r="T4845" s="36"/>
      <c r="U4845" s="36"/>
      <c r="V4845" s="37"/>
    </row>
    <row r="4846" spans="13:22" x14ac:dyDescent="0.2">
      <c r="M4846" s="40"/>
      <c r="N4846" s="15"/>
      <c r="O4846" s="15"/>
      <c r="P4846" s="15"/>
      <c r="Q4846" s="39"/>
      <c r="R4846" s="35"/>
      <c r="S4846" s="36"/>
      <c r="T4846" s="36"/>
      <c r="U4846" s="36"/>
      <c r="V4846" s="37"/>
    </row>
    <row r="4847" spans="13:22" x14ac:dyDescent="0.2">
      <c r="M4847" s="40"/>
      <c r="N4847" s="15"/>
      <c r="O4847" s="15"/>
      <c r="P4847" s="15"/>
      <c r="Q4847" s="39"/>
      <c r="R4847" s="41"/>
      <c r="S4847" s="36"/>
      <c r="T4847" s="36"/>
      <c r="U4847" s="36"/>
      <c r="V4847" s="37"/>
    </row>
    <row r="4848" spans="13:22" x14ac:dyDescent="0.2">
      <c r="M4848" s="40"/>
      <c r="N4848" s="15"/>
      <c r="O4848" s="15"/>
      <c r="P4848" s="15"/>
      <c r="Q4848" s="39"/>
      <c r="R4848" s="41"/>
      <c r="S4848" s="36"/>
      <c r="T4848" s="36"/>
      <c r="U4848" s="36"/>
      <c r="V4848" s="37"/>
    </row>
    <row r="4849" spans="12:22" x14ac:dyDescent="0.2">
      <c r="M4849" s="40"/>
      <c r="N4849" s="15"/>
      <c r="O4849" s="15"/>
      <c r="P4849" s="15"/>
      <c r="Q4849" s="39"/>
      <c r="R4849" s="41"/>
      <c r="S4849" s="36"/>
      <c r="T4849" s="36"/>
      <c r="U4849" s="36"/>
      <c r="V4849" s="37"/>
    </row>
    <row r="4850" spans="12:22" x14ac:dyDescent="0.2">
      <c r="M4850" s="40"/>
      <c r="N4850" s="15"/>
      <c r="O4850" s="15"/>
      <c r="P4850" s="15"/>
      <c r="Q4850" s="39"/>
      <c r="R4850" s="41"/>
      <c r="S4850" s="36"/>
      <c r="T4850" s="36"/>
      <c r="U4850" s="36"/>
      <c r="V4850" s="37"/>
    </row>
    <row r="4851" spans="12:22" x14ac:dyDescent="0.2">
      <c r="M4851" s="40"/>
      <c r="N4851" s="15"/>
      <c r="O4851" s="15"/>
      <c r="P4851" s="15"/>
      <c r="Q4851" s="39"/>
      <c r="R4851" s="41"/>
      <c r="S4851" s="36"/>
      <c r="T4851" s="36"/>
      <c r="U4851" s="36"/>
      <c r="V4851" s="37"/>
    </row>
    <row r="4852" spans="12:22" x14ac:dyDescent="0.2">
      <c r="M4852" s="40"/>
      <c r="N4852" s="15"/>
      <c r="O4852" s="15"/>
      <c r="P4852" s="15"/>
      <c r="Q4852" s="39"/>
      <c r="R4852" s="41"/>
      <c r="S4852" s="36"/>
      <c r="T4852" s="36"/>
      <c r="U4852" s="36"/>
      <c r="V4852" s="37"/>
    </row>
    <row r="4853" spans="12:22" x14ac:dyDescent="0.2">
      <c r="M4853" s="40"/>
      <c r="N4853" s="15"/>
      <c r="O4853" s="15"/>
      <c r="P4853" s="15"/>
      <c r="Q4853" s="39"/>
      <c r="R4853" s="41"/>
      <c r="S4853" s="36"/>
      <c r="T4853" s="36"/>
      <c r="U4853" s="36"/>
      <c r="V4853" s="37"/>
    </row>
    <row r="4854" spans="12:22" x14ac:dyDescent="0.2">
      <c r="M4854" s="40"/>
      <c r="N4854" s="15"/>
      <c r="O4854" s="15"/>
      <c r="P4854" s="15"/>
      <c r="Q4854" s="39"/>
      <c r="R4854" s="41"/>
      <c r="S4854" s="36"/>
      <c r="T4854" s="36"/>
      <c r="U4854" s="36"/>
      <c r="V4854" s="37"/>
    </row>
    <row r="4855" spans="12:22" x14ac:dyDescent="0.2">
      <c r="L4855" s="16" t="s">
        <v>220</v>
      </c>
      <c r="M4855" s="40"/>
      <c r="N4855" s="15"/>
      <c r="O4855" s="15"/>
      <c r="P4855" s="15"/>
      <c r="Q4855" s="39"/>
      <c r="R4855" s="41"/>
      <c r="S4855" s="36"/>
      <c r="T4855" s="36"/>
      <c r="U4855" s="36"/>
      <c r="V4855" s="37"/>
    </row>
    <row r="4856" spans="12:22" ht="13.5" thickBot="1" x14ac:dyDescent="0.25">
      <c r="M4856" s="42"/>
      <c r="N4856" s="43"/>
      <c r="O4856" s="43"/>
      <c r="P4856" s="43"/>
      <c r="Q4856" s="44"/>
      <c r="R4856" s="41"/>
      <c r="S4856" s="46"/>
      <c r="T4856" s="46"/>
      <c r="U4856" s="46"/>
      <c r="V4856" s="47"/>
    </row>
    <row r="4857" spans="12:22" ht="13.5" thickBot="1" x14ac:dyDescent="0.25">
      <c r="L4857" s="32"/>
      <c r="M4857" s="48"/>
      <c r="N4857" s="49"/>
      <c r="O4857" s="49"/>
      <c r="P4857" s="49"/>
      <c r="Q4857" s="50"/>
      <c r="R4857" s="45"/>
      <c r="S4857" s="52"/>
      <c r="T4857" s="52"/>
      <c r="U4857" s="52"/>
      <c r="V4857" s="53"/>
    </row>
    <row r="4858" spans="12:22" x14ac:dyDescent="0.2">
      <c r="L4858" s="32"/>
      <c r="M4858" s="54"/>
      <c r="N4858" s="29"/>
      <c r="O4858" s="29"/>
      <c r="P4858" s="29"/>
      <c r="Q4858" s="34"/>
      <c r="R4858" s="51"/>
      <c r="S4858" s="36"/>
      <c r="T4858" s="36"/>
      <c r="U4858" s="36"/>
      <c r="V4858" s="37"/>
    </row>
    <row r="4859" spans="12:22" x14ac:dyDescent="0.2">
      <c r="L4859" s="32"/>
      <c r="M4859" s="33"/>
      <c r="N4859" s="29"/>
      <c r="O4859" s="29"/>
      <c r="P4859" s="29"/>
      <c r="Q4859" s="34"/>
      <c r="R4859" s="41"/>
      <c r="S4859" s="36"/>
      <c r="T4859" s="36"/>
      <c r="U4859" s="36"/>
      <c r="V4859" s="37"/>
    </row>
    <row r="4860" spans="12:22" x14ac:dyDescent="0.2">
      <c r="L4860" s="32"/>
      <c r="M4860" s="33"/>
      <c r="N4860" s="29"/>
      <c r="O4860" s="29"/>
      <c r="P4860" s="29"/>
      <c r="Q4860" s="34"/>
      <c r="R4860" s="35"/>
      <c r="S4860" s="36"/>
      <c r="T4860" s="36"/>
      <c r="U4860" s="36"/>
      <c r="V4860" s="37"/>
    </row>
    <row r="4861" spans="12:22" x14ac:dyDescent="0.2">
      <c r="L4861" s="32"/>
      <c r="M4861" s="33"/>
      <c r="N4861" s="29"/>
      <c r="O4861" s="29"/>
      <c r="P4861" s="29"/>
      <c r="Q4861" s="34"/>
      <c r="R4861" s="35"/>
      <c r="S4861" s="36"/>
      <c r="T4861" s="36"/>
      <c r="U4861" s="36"/>
      <c r="V4861" s="37"/>
    </row>
    <row r="4862" spans="12:22" x14ac:dyDescent="0.2">
      <c r="L4862" s="32"/>
      <c r="M4862" s="33"/>
      <c r="N4862" s="29"/>
      <c r="O4862" s="29"/>
      <c r="P4862" s="29"/>
      <c r="Q4862" s="34"/>
      <c r="R4862" s="35"/>
      <c r="S4862" s="36"/>
      <c r="T4862" s="36"/>
      <c r="U4862" s="36"/>
      <c r="V4862" s="37"/>
    </row>
    <row r="4863" spans="12:22" x14ac:dyDescent="0.2">
      <c r="L4863" s="32"/>
      <c r="M4863" s="33"/>
      <c r="N4863" s="29"/>
      <c r="O4863" s="29"/>
      <c r="P4863" s="29"/>
      <c r="Q4863" s="34"/>
      <c r="R4863" s="35"/>
      <c r="S4863" s="36"/>
      <c r="T4863" s="36"/>
      <c r="U4863" s="36"/>
      <c r="V4863" s="37"/>
    </row>
    <row r="4864" spans="12:22" x14ac:dyDescent="0.2">
      <c r="L4864" s="32"/>
      <c r="M4864" s="33"/>
      <c r="N4864" s="29"/>
      <c r="O4864" s="29"/>
      <c r="P4864" s="29"/>
      <c r="Q4864" s="38"/>
      <c r="R4864" s="35"/>
      <c r="S4864" s="36"/>
      <c r="T4864" s="36"/>
      <c r="U4864" s="36"/>
      <c r="V4864" s="37"/>
    </row>
    <row r="4865" spans="12:22" x14ac:dyDescent="0.2">
      <c r="L4865" s="32"/>
      <c r="M4865" s="33"/>
      <c r="N4865" s="29"/>
      <c r="O4865" s="29"/>
      <c r="P4865" s="29"/>
      <c r="Q4865" s="34"/>
      <c r="R4865" s="35"/>
      <c r="S4865" s="36"/>
      <c r="T4865" s="36"/>
      <c r="U4865" s="36"/>
      <c r="V4865" s="37"/>
    </row>
    <row r="4866" spans="12:22" x14ac:dyDescent="0.2">
      <c r="L4866" s="32"/>
      <c r="M4866" s="33"/>
      <c r="N4866" s="29"/>
      <c r="O4866" s="29"/>
      <c r="P4866" s="29"/>
      <c r="Q4866" s="34"/>
      <c r="R4866" s="35"/>
      <c r="S4866" s="36"/>
      <c r="T4866" s="36"/>
      <c r="U4866" s="36"/>
      <c r="V4866" s="37"/>
    </row>
    <row r="4867" spans="12:22" x14ac:dyDescent="0.2">
      <c r="L4867" s="32"/>
      <c r="M4867" s="33"/>
      <c r="N4867" s="29"/>
      <c r="O4867" s="29"/>
      <c r="P4867" s="29"/>
      <c r="Q4867" s="34"/>
      <c r="R4867" s="35"/>
      <c r="S4867" s="36"/>
      <c r="T4867" s="36"/>
      <c r="U4867" s="36"/>
      <c r="V4867" s="37"/>
    </row>
    <row r="4868" spans="12:22" x14ac:dyDescent="0.2">
      <c r="L4868" s="32"/>
      <c r="M4868" s="33"/>
      <c r="N4868" s="29"/>
      <c r="O4868" s="29"/>
      <c r="P4868" s="29"/>
      <c r="Q4868" s="34"/>
      <c r="R4868" s="35"/>
      <c r="S4868" s="36"/>
      <c r="T4868" s="36"/>
      <c r="U4868" s="36"/>
      <c r="V4868" s="37"/>
    </row>
    <row r="4869" spans="12:22" x14ac:dyDescent="0.2">
      <c r="M4869" s="26"/>
      <c r="N4869" s="15"/>
      <c r="O4869" s="15"/>
      <c r="P4869" s="15"/>
      <c r="Q4869" s="39"/>
      <c r="R4869" s="35"/>
      <c r="S4869" s="36"/>
      <c r="T4869" s="36"/>
      <c r="U4869" s="36"/>
      <c r="V4869" s="37"/>
    </row>
    <row r="4870" spans="12:22" x14ac:dyDescent="0.2">
      <c r="M4870" s="26"/>
      <c r="N4870" s="15"/>
      <c r="O4870" s="15"/>
      <c r="P4870" s="15"/>
      <c r="Q4870" s="39"/>
      <c r="R4870" s="35"/>
      <c r="S4870" s="36"/>
      <c r="T4870" s="36"/>
      <c r="U4870" s="36"/>
      <c r="V4870" s="37"/>
    </row>
    <row r="4871" spans="12:22" x14ac:dyDescent="0.2">
      <c r="M4871" s="40"/>
      <c r="N4871" s="15"/>
      <c r="O4871" s="15"/>
      <c r="P4871" s="15"/>
      <c r="Q4871" s="39"/>
      <c r="R4871" s="35"/>
      <c r="S4871" s="36"/>
      <c r="T4871" s="36"/>
      <c r="U4871" s="36"/>
      <c r="V4871" s="37"/>
    </row>
    <row r="4872" spans="12:22" x14ac:dyDescent="0.2">
      <c r="M4872" s="40"/>
      <c r="N4872" s="15"/>
      <c r="O4872" s="15"/>
      <c r="P4872" s="15"/>
      <c r="Q4872" s="39"/>
      <c r="R4872" s="41"/>
      <c r="S4872" s="36"/>
      <c r="T4872" s="36"/>
      <c r="U4872" s="36"/>
      <c r="V4872" s="37"/>
    </row>
    <row r="4873" spans="12:22" x14ac:dyDescent="0.2">
      <c r="M4873" s="40"/>
      <c r="N4873" s="15"/>
      <c r="O4873" s="15"/>
      <c r="P4873" s="15"/>
      <c r="Q4873" s="39"/>
      <c r="R4873" s="41"/>
      <c r="S4873" s="36"/>
      <c r="T4873" s="36"/>
      <c r="U4873" s="36"/>
      <c r="V4873" s="37"/>
    </row>
    <row r="4874" spans="12:22" x14ac:dyDescent="0.2">
      <c r="M4874" s="40"/>
      <c r="N4874" s="15"/>
      <c r="O4874" s="15"/>
      <c r="P4874" s="15"/>
      <c r="Q4874" s="39"/>
      <c r="R4874" s="41"/>
      <c r="S4874" s="36"/>
      <c r="T4874" s="36"/>
      <c r="U4874" s="36"/>
      <c r="V4874" s="37"/>
    </row>
    <row r="4875" spans="12:22" x14ac:dyDescent="0.2">
      <c r="M4875" s="40"/>
      <c r="N4875" s="15"/>
      <c r="O4875" s="15"/>
      <c r="P4875" s="15"/>
      <c r="Q4875" s="39"/>
      <c r="R4875" s="41"/>
      <c r="S4875" s="36"/>
      <c r="T4875" s="36"/>
      <c r="U4875" s="36"/>
      <c r="V4875" s="37"/>
    </row>
    <row r="4876" spans="12:22" x14ac:dyDescent="0.2">
      <c r="M4876" s="40"/>
      <c r="N4876" s="15"/>
      <c r="O4876" s="15"/>
      <c r="P4876" s="15"/>
      <c r="Q4876" s="39"/>
      <c r="R4876" s="41"/>
      <c r="S4876" s="36"/>
      <c r="T4876" s="36"/>
      <c r="U4876" s="36"/>
      <c r="V4876" s="37"/>
    </row>
    <row r="4877" spans="12:22" x14ac:dyDescent="0.2">
      <c r="M4877" s="40"/>
      <c r="N4877" s="15"/>
      <c r="O4877" s="15"/>
      <c r="P4877" s="15"/>
      <c r="Q4877" s="39"/>
      <c r="R4877" s="41"/>
      <c r="S4877" s="36"/>
      <c r="T4877" s="36"/>
      <c r="U4877" s="36"/>
      <c r="V4877" s="37"/>
    </row>
    <row r="4878" spans="12:22" x14ac:dyDescent="0.2">
      <c r="M4878" s="40"/>
      <c r="N4878" s="15"/>
      <c r="O4878" s="15"/>
      <c r="P4878" s="15"/>
      <c r="Q4878" s="39"/>
      <c r="R4878" s="41"/>
      <c r="S4878" s="36"/>
      <c r="T4878" s="36"/>
      <c r="U4878" s="36"/>
      <c r="V4878" s="37"/>
    </row>
    <row r="4879" spans="12:22" x14ac:dyDescent="0.2">
      <c r="M4879" s="40"/>
      <c r="N4879" s="15"/>
      <c r="O4879" s="15"/>
      <c r="P4879" s="15"/>
      <c r="Q4879" s="39"/>
      <c r="R4879" s="41"/>
      <c r="S4879" s="36"/>
      <c r="T4879" s="36"/>
      <c r="U4879" s="36"/>
      <c r="V4879" s="37"/>
    </row>
    <row r="4880" spans="12:22" x14ac:dyDescent="0.2">
      <c r="L4880" s="16" t="s">
        <v>221</v>
      </c>
      <c r="M4880" s="40"/>
      <c r="N4880" s="15"/>
      <c r="O4880" s="15"/>
      <c r="P4880" s="15"/>
      <c r="Q4880" s="39"/>
      <c r="R4880" s="41"/>
      <c r="S4880" s="36"/>
      <c r="T4880" s="36"/>
      <c r="U4880" s="36"/>
      <c r="V4880" s="37"/>
    </row>
    <row r="4881" spans="13:22" ht="13.5" thickBot="1" x14ac:dyDescent="0.25">
      <c r="M4881" s="42"/>
      <c r="N4881" s="43"/>
      <c r="O4881" s="43"/>
      <c r="P4881" s="43"/>
      <c r="Q4881" s="44"/>
      <c r="R4881" s="41"/>
      <c r="S4881" s="46"/>
      <c r="T4881" s="46"/>
      <c r="U4881" s="46"/>
      <c r="V4881" s="47"/>
    </row>
    <row r="4882" spans="13:22" ht="13.5" thickBot="1" x14ac:dyDescent="0.25">
      <c r="M4882" s="48"/>
      <c r="N4882" s="49"/>
      <c r="O4882" s="49"/>
      <c r="P4882" s="49"/>
      <c r="Q4882" s="50"/>
      <c r="R4882" s="45"/>
      <c r="S4882" s="52"/>
      <c r="T4882" s="52"/>
      <c r="U4882" s="52"/>
      <c r="V4882" s="53"/>
    </row>
    <row r="4883" spans="13:22" x14ac:dyDescent="0.2">
      <c r="M4883" s="54"/>
      <c r="N4883" s="29"/>
      <c r="O4883" s="29"/>
      <c r="P4883" s="29"/>
      <c r="Q4883" s="34"/>
      <c r="R4883" s="51"/>
      <c r="S4883" s="36"/>
      <c r="T4883" s="36"/>
      <c r="U4883" s="36"/>
      <c r="V4883" s="37"/>
    </row>
    <row r="4884" spans="13:22" x14ac:dyDescent="0.2">
      <c r="M4884" s="33"/>
      <c r="N4884" s="29"/>
      <c r="O4884" s="29"/>
      <c r="P4884" s="29"/>
      <c r="Q4884" s="34"/>
      <c r="R4884" s="41"/>
      <c r="S4884" s="36"/>
      <c r="T4884" s="36"/>
      <c r="U4884" s="36"/>
      <c r="V4884" s="37"/>
    </row>
    <row r="4885" spans="13:22" x14ac:dyDescent="0.2">
      <c r="M4885" s="33"/>
      <c r="N4885" s="29"/>
      <c r="O4885" s="29"/>
      <c r="P4885" s="29"/>
      <c r="Q4885" s="34"/>
      <c r="R4885" s="35"/>
      <c r="S4885" s="36"/>
      <c r="T4885" s="36"/>
      <c r="U4885" s="36"/>
      <c r="V4885" s="37"/>
    </row>
    <row r="4886" spans="13:22" x14ac:dyDescent="0.2">
      <c r="M4886" s="33"/>
      <c r="N4886" s="29"/>
      <c r="O4886" s="29"/>
      <c r="P4886" s="29"/>
      <c r="Q4886" s="34"/>
      <c r="R4886" s="35"/>
      <c r="S4886" s="36"/>
      <c r="T4886" s="36"/>
      <c r="U4886" s="36"/>
      <c r="V4886" s="37"/>
    </row>
    <row r="4887" spans="13:22" x14ac:dyDescent="0.2">
      <c r="M4887" s="33"/>
      <c r="N4887" s="29"/>
      <c r="O4887" s="29"/>
      <c r="P4887" s="29"/>
      <c r="Q4887" s="34"/>
      <c r="R4887" s="35"/>
      <c r="S4887" s="36"/>
      <c r="T4887" s="36"/>
      <c r="U4887" s="36"/>
      <c r="V4887" s="37"/>
    </row>
    <row r="4888" spans="13:22" x14ac:dyDescent="0.2">
      <c r="M4888" s="33"/>
      <c r="N4888" s="29"/>
      <c r="O4888" s="29"/>
      <c r="P4888" s="29"/>
      <c r="Q4888" s="34"/>
      <c r="R4888" s="35"/>
      <c r="S4888" s="36"/>
      <c r="T4888" s="36"/>
      <c r="U4888" s="36"/>
      <c r="V4888" s="37"/>
    </row>
    <row r="4889" spans="13:22" x14ac:dyDescent="0.2">
      <c r="M4889" s="33"/>
      <c r="N4889" s="29"/>
      <c r="O4889" s="29"/>
      <c r="P4889" s="29"/>
      <c r="Q4889" s="38"/>
      <c r="R4889" s="35"/>
      <c r="S4889" s="36"/>
      <c r="T4889" s="36"/>
      <c r="U4889" s="36"/>
      <c r="V4889" s="37"/>
    </row>
    <row r="4890" spans="13:22" x14ac:dyDescent="0.2">
      <c r="M4890" s="33"/>
      <c r="N4890" s="29"/>
      <c r="O4890" s="29"/>
      <c r="P4890" s="29"/>
      <c r="Q4890" s="34"/>
      <c r="R4890" s="35"/>
      <c r="S4890" s="36"/>
      <c r="T4890" s="36"/>
      <c r="U4890" s="36"/>
      <c r="V4890" s="37"/>
    </row>
    <row r="4891" spans="13:22" x14ac:dyDescent="0.2">
      <c r="M4891" s="33"/>
      <c r="N4891" s="29"/>
      <c r="O4891" s="29"/>
      <c r="P4891" s="29"/>
      <c r="Q4891" s="34"/>
      <c r="R4891" s="35"/>
      <c r="S4891" s="36"/>
      <c r="T4891" s="36"/>
      <c r="U4891" s="36"/>
      <c r="V4891" s="37"/>
    </row>
    <row r="4892" spans="13:22" x14ac:dyDescent="0.2">
      <c r="M4892" s="33"/>
      <c r="N4892" s="29"/>
      <c r="O4892" s="29"/>
      <c r="P4892" s="29"/>
      <c r="Q4892" s="34"/>
      <c r="R4892" s="35"/>
      <c r="S4892" s="36"/>
      <c r="T4892" s="36"/>
      <c r="U4892" s="36"/>
      <c r="V4892" s="37"/>
    </row>
    <row r="4893" spans="13:22" x14ac:dyDescent="0.2">
      <c r="M4893" s="33"/>
      <c r="N4893" s="29"/>
      <c r="O4893" s="29"/>
      <c r="P4893" s="29"/>
      <c r="Q4893" s="34"/>
      <c r="R4893" s="35"/>
      <c r="S4893" s="36"/>
      <c r="T4893" s="36"/>
      <c r="U4893" s="36"/>
      <c r="V4893" s="37"/>
    </row>
    <row r="4894" spans="13:22" x14ac:dyDescent="0.2">
      <c r="M4894" s="26"/>
      <c r="N4894" s="15"/>
      <c r="O4894" s="15"/>
      <c r="P4894" s="15"/>
      <c r="Q4894" s="39"/>
      <c r="R4894" s="35"/>
      <c r="S4894" s="36"/>
      <c r="T4894" s="36"/>
      <c r="U4894" s="36"/>
      <c r="V4894" s="37"/>
    </row>
    <row r="4895" spans="13:22" x14ac:dyDescent="0.2">
      <c r="M4895" s="26"/>
      <c r="N4895" s="15"/>
      <c r="O4895" s="15"/>
      <c r="P4895" s="15"/>
      <c r="Q4895" s="39"/>
      <c r="R4895" s="35"/>
      <c r="S4895" s="36"/>
      <c r="T4895" s="36"/>
      <c r="U4895" s="36"/>
      <c r="V4895" s="37"/>
    </row>
    <row r="4896" spans="13:22" x14ac:dyDescent="0.2">
      <c r="M4896" s="40"/>
      <c r="N4896" s="15"/>
      <c r="O4896" s="15"/>
      <c r="P4896" s="15"/>
      <c r="Q4896" s="39"/>
      <c r="R4896" s="35"/>
      <c r="S4896" s="36"/>
      <c r="T4896" s="36"/>
      <c r="U4896" s="36"/>
      <c r="V4896" s="37"/>
    </row>
    <row r="4897" spans="12:22" x14ac:dyDescent="0.2">
      <c r="M4897" s="40"/>
      <c r="N4897" s="15"/>
      <c r="O4897" s="15"/>
      <c r="P4897" s="15"/>
      <c r="Q4897" s="39"/>
      <c r="R4897" s="41"/>
      <c r="S4897" s="36"/>
      <c r="T4897" s="36"/>
      <c r="U4897" s="36"/>
      <c r="V4897" s="37"/>
    </row>
    <row r="4898" spans="12:22" x14ac:dyDescent="0.2">
      <c r="M4898" s="40"/>
      <c r="N4898" s="15"/>
      <c r="O4898" s="15"/>
      <c r="P4898" s="15"/>
      <c r="Q4898" s="39"/>
      <c r="R4898" s="41"/>
      <c r="S4898" s="36"/>
      <c r="T4898" s="36"/>
      <c r="U4898" s="36"/>
      <c r="V4898" s="37"/>
    </row>
    <row r="4899" spans="12:22" x14ac:dyDescent="0.2">
      <c r="M4899" s="40"/>
      <c r="N4899" s="15"/>
      <c r="O4899" s="15"/>
      <c r="P4899" s="15"/>
      <c r="Q4899" s="39"/>
      <c r="R4899" s="41"/>
      <c r="S4899" s="36"/>
      <c r="T4899" s="36"/>
      <c r="U4899" s="36"/>
      <c r="V4899" s="37"/>
    </row>
    <row r="4900" spans="12:22" x14ac:dyDescent="0.2">
      <c r="M4900" s="40"/>
      <c r="N4900" s="15"/>
      <c r="O4900" s="15"/>
      <c r="P4900" s="15"/>
      <c r="Q4900" s="39"/>
      <c r="R4900" s="41"/>
      <c r="S4900" s="36"/>
      <c r="T4900" s="36"/>
      <c r="U4900" s="36"/>
      <c r="V4900" s="37"/>
    </row>
    <row r="4901" spans="12:22" x14ac:dyDescent="0.2">
      <c r="M4901" s="40"/>
      <c r="N4901" s="15"/>
      <c r="O4901" s="15"/>
      <c r="P4901" s="15"/>
      <c r="Q4901" s="39"/>
      <c r="R4901" s="41"/>
      <c r="S4901" s="36"/>
      <c r="T4901" s="36"/>
      <c r="U4901" s="36"/>
      <c r="V4901" s="37"/>
    </row>
    <row r="4902" spans="12:22" x14ac:dyDescent="0.2">
      <c r="M4902" s="40"/>
      <c r="N4902" s="15"/>
      <c r="O4902" s="15"/>
      <c r="P4902" s="15"/>
      <c r="Q4902" s="39"/>
      <c r="R4902" s="41"/>
      <c r="S4902" s="36"/>
      <c r="T4902" s="36"/>
      <c r="U4902" s="36"/>
      <c r="V4902" s="37"/>
    </row>
    <row r="4903" spans="12:22" x14ac:dyDescent="0.2">
      <c r="M4903" s="40"/>
      <c r="N4903" s="15"/>
      <c r="O4903" s="15"/>
      <c r="P4903" s="15"/>
      <c r="Q4903" s="39"/>
      <c r="R4903" s="41"/>
      <c r="S4903" s="36"/>
      <c r="T4903" s="36"/>
      <c r="U4903" s="36"/>
      <c r="V4903" s="37"/>
    </row>
    <row r="4904" spans="12:22" x14ac:dyDescent="0.2">
      <c r="M4904" s="40"/>
      <c r="N4904" s="15"/>
      <c r="O4904" s="15"/>
      <c r="P4904" s="15"/>
      <c r="Q4904" s="39"/>
      <c r="R4904" s="41"/>
      <c r="S4904" s="36"/>
      <c r="T4904" s="36"/>
      <c r="U4904" s="36"/>
      <c r="V4904" s="37"/>
    </row>
    <row r="4905" spans="12:22" x14ac:dyDescent="0.2">
      <c r="L4905" s="16" t="s">
        <v>222</v>
      </c>
      <c r="M4905" s="40"/>
      <c r="N4905" s="15"/>
      <c r="O4905" s="15"/>
      <c r="P4905" s="15"/>
      <c r="Q4905" s="39"/>
      <c r="R4905" s="41"/>
      <c r="S4905" s="36"/>
      <c r="T4905" s="36"/>
      <c r="U4905" s="36"/>
      <c r="V4905" s="37"/>
    </row>
    <row r="4906" spans="12:22" ht="13.5" thickBot="1" x14ac:dyDescent="0.25">
      <c r="M4906" s="42"/>
      <c r="N4906" s="43"/>
      <c r="O4906" s="43"/>
      <c r="P4906" s="43"/>
      <c r="Q4906" s="44"/>
      <c r="R4906" s="41"/>
      <c r="S4906" s="46"/>
      <c r="T4906" s="46"/>
      <c r="U4906" s="46"/>
      <c r="V4906" s="47"/>
    </row>
    <row r="4907" spans="12:22" ht="13.5" thickBot="1" x14ac:dyDescent="0.25">
      <c r="L4907" s="32"/>
      <c r="M4907" s="48"/>
      <c r="N4907" s="49"/>
      <c r="O4907" s="49"/>
      <c r="P4907" s="49"/>
      <c r="Q4907" s="50"/>
      <c r="R4907" s="45"/>
      <c r="S4907" s="52"/>
      <c r="T4907" s="52"/>
      <c r="U4907" s="52"/>
      <c r="V4907" s="53"/>
    </row>
    <row r="4908" spans="12:22" x14ac:dyDescent="0.2">
      <c r="L4908" s="32"/>
      <c r="M4908" s="54"/>
      <c r="N4908" s="29"/>
      <c r="O4908" s="29"/>
      <c r="P4908" s="29"/>
      <c r="Q4908" s="34"/>
      <c r="R4908" s="51"/>
      <c r="S4908" s="36"/>
      <c r="T4908" s="36"/>
      <c r="U4908" s="36"/>
      <c r="V4908" s="37"/>
    </row>
    <row r="4909" spans="12:22" x14ac:dyDescent="0.2">
      <c r="L4909" s="32"/>
      <c r="M4909" s="33"/>
      <c r="N4909" s="29"/>
      <c r="O4909" s="29"/>
      <c r="P4909" s="29"/>
      <c r="Q4909" s="34"/>
      <c r="R4909" s="41"/>
      <c r="S4909" s="36"/>
      <c r="T4909" s="36"/>
      <c r="U4909" s="36"/>
      <c r="V4909" s="37"/>
    </row>
    <row r="4910" spans="12:22" x14ac:dyDescent="0.2">
      <c r="L4910" s="32"/>
      <c r="M4910" s="33"/>
      <c r="N4910" s="29"/>
      <c r="O4910" s="29"/>
      <c r="P4910" s="29"/>
      <c r="Q4910" s="34"/>
      <c r="R4910" s="35"/>
      <c r="S4910" s="36"/>
      <c r="T4910" s="36"/>
      <c r="U4910" s="36"/>
      <c r="V4910" s="37"/>
    </row>
    <row r="4911" spans="12:22" x14ac:dyDescent="0.2">
      <c r="L4911" s="32"/>
      <c r="M4911" s="33"/>
      <c r="N4911" s="29"/>
      <c r="O4911" s="29"/>
      <c r="P4911" s="29"/>
      <c r="Q4911" s="34"/>
      <c r="R4911" s="35"/>
      <c r="S4911" s="36"/>
      <c r="T4911" s="36"/>
      <c r="U4911" s="36"/>
      <c r="V4911" s="37"/>
    </row>
    <row r="4912" spans="12:22" x14ac:dyDescent="0.2">
      <c r="L4912" s="32"/>
      <c r="M4912" s="33"/>
      <c r="N4912" s="29"/>
      <c r="O4912" s="29"/>
      <c r="P4912" s="29"/>
      <c r="Q4912" s="34"/>
      <c r="R4912" s="35"/>
      <c r="S4912" s="36"/>
      <c r="T4912" s="36"/>
      <c r="U4912" s="36"/>
      <c r="V4912" s="37"/>
    </row>
    <row r="4913" spans="12:22" x14ac:dyDescent="0.2">
      <c r="L4913" s="32"/>
      <c r="M4913" s="33"/>
      <c r="N4913" s="29"/>
      <c r="O4913" s="29"/>
      <c r="P4913" s="29"/>
      <c r="Q4913" s="34"/>
      <c r="R4913" s="35"/>
      <c r="S4913" s="36"/>
      <c r="T4913" s="36"/>
      <c r="U4913" s="36"/>
      <c r="V4913" s="37"/>
    </row>
    <row r="4914" spans="12:22" x14ac:dyDescent="0.2">
      <c r="L4914" s="32"/>
      <c r="M4914" s="33"/>
      <c r="N4914" s="29"/>
      <c r="O4914" s="29"/>
      <c r="P4914" s="29"/>
      <c r="Q4914" s="38"/>
      <c r="R4914" s="35"/>
      <c r="S4914" s="36"/>
      <c r="T4914" s="36"/>
      <c r="U4914" s="36"/>
      <c r="V4914" s="37"/>
    </row>
    <row r="4915" spans="12:22" x14ac:dyDescent="0.2">
      <c r="L4915" s="32"/>
      <c r="M4915" s="33"/>
      <c r="N4915" s="29"/>
      <c r="O4915" s="29"/>
      <c r="P4915" s="29"/>
      <c r="Q4915" s="34"/>
      <c r="R4915" s="35"/>
      <c r="S4915" s="36"/>
      <c r="T4915" s="36"/>
      <c r="U4915" s="36"/>
      <c r="V4915" s="37"/>
    </row>
    <row r="4916" spans="12:22" x14ac:dyDescent="0.2">
      <c r="L4916" s="32"/>
      <c r="M4916" s="33"/>
      <c r="N4916" s="29"/>
      <c r="O4916" s="29"/>
      <c r="P4916" s="29"/>
      <c r="Q4916" s="34"/>
      <c r="R4916" s="35"/>
      <c r="S4916" s="36"/>
      <c r="T4916" s="36"/>
      <c r="U4916" s="36"/>
      <c r="V4916" s="37"/>
    </row>
    <row r="4917" spans="12:22" x14ac:dyDescent="0.2">
      <c r="L4917" s="32"/>
      <c r="M4917" s="33"/>
      <c r="N4917" s="29"/>
      <c r="O4917" s="29"/>
      <c r="P4917" s="29"/>
      <c r="Q4917" s="34"/>
      <c r="R4917" s="35"/>
      <c r="S4917" s="36"/>
      <c r="T4917" s="36"/>
      <c r="U4917" s="36"/>
      <c r="V4917" s="37"/>
    </row>
    <row r="4918" spans="12:22" x14ac:dyDescent="0.2">
      <c r="L4918" s="32"/>
      <c r="M4918" s="33"/>
      <c r="N4918" s="29"/>
      <c r="O4918" s="29"/>
      <c r="P4918" s="29"/>
      <c r="Q4918" s="34"/>
      <c r="R4918" s="35"/>
      <c r="S4918" s="36"/>
      <c r="T4918" s="36"/>
      <c r="U4918" s="36"/>
      <c r="V4918" s="37"/>
    </row>
    <row r="4919" spans="12:22" x14ac:dyDescent="0.2">
      <c r="M4919" s="26"/>
      <c r="N4919" s="15"/>
      <c r="O4919" s="15"/>
      <c r="P4919" s="15"/>
      <c r="Q4919" s="39"/>
      <c r="R4919" s="35"/>
      <c r="S4919" s="36"/>
      <c r="T4919" s="36"/>
      <c r="U4919" s="36"/>
      <c r="V4919" s="37"/>
    </row>
    <row r="4920" spans="12:22" x14ac:dyDescent="0.2">
      <c r="M4920" s="26"/>
      <c r="N4920" s="15"/>
      <c r="O4920" s="15"/>
      <c r="P4920" s="15"/>
      <c r="Q4920" s="39"/>
      <c r="R4920" s="35"/>
      <c r="S4920" s="36"/>
      <c r="T4920" s="36"/>
      <c r="U4920" s="36"/>
      <c r="V4920" s="37"/>
    </row>
    <row r="4921" spans="12:22" x14ac:dyDescent="0.2">
      <c r="M4921" s="40"/>
      <c r="N4921" s="15"/>
      <c r="O4921" s="15"/>
      <c r="P4921" s="15"/>
      <c r="Q4921" s="39"/>
      <c r="R4921" s="35"/>
      <c r="S4921" s="36"/>
      <c r="T4921" s="36"/>
      <c r="U4921" s="36"/>
      <c r="V4921" s="37"/>
    </row>
    <row r="4922" spans="12:22" x14ac:dyDescent="0.2">
      <c r="M4922" s="40"/>
      <c r="N4922" s="15"/>
      <c r="O4922" s="15"/>
      <c r="P4922" s="15"/>
      <c r="Q4922" s="39"/>
      <c r="R4922" s="41"/>
      <c r="S4922" s="36"/>
      <c r="T4922" s="36"/>
      <c r="U4922" s="36"/>
      <c r="V4922" s="37"/>
    </row>
    <row r="4923" spans="12:22" x14ac:dyDescent="0.2">
      <c r="M4923" s="40"/>
      <c r="N4923" s="15"/>
      <c r="O4923" s="15"/>
      <c r="P4923" s="15"/>
      <c r="Q4923" s="39"/>
      <c r="R4923" s="41"/>
      <c r="S4923" s="36"/>
      <c r="T4923" s="36"/>
      <c r="U4923" s="36"/>
      <c r="V4923" s="37"/>
    </row>
    <row r="4924" spans="12:22" x14ac:dyDescent="0.2">
      <c r="M4924" s="40"/>
      <c r="N4924" s="15"/>
      <c r="O4924" s="15"/>
      <c r="P4924" s="15"/>
      <c r="Q4924" s="39"/>
      <c r="R4924" s="41"/>
      <c r="S4924" s="36"/>
      <c r="T4924" s="36"/>
      <c r="U4924" s="36"/>
      <c r="V4924" s="37"/>
    </row>
    <row r="4925" spans="12:22" x14ac:dyDescent="0.2">
      <c r="M4925" s="40"/>
      <c r="N4925" s="15"/>
      <c r="O4925" s="15"/>
      <c r="P4925" s="15"/>
      <c r="Q4925" s="39"/>
      <c r="R4925" s="41"/>
      <c r="S4925" s="36"/>
      <c r="T4925" s="36"/>
      <c r="U4925" s="36"/>
      <c r="V4925" s="37"/>
    </row>
    <row r="4926" spans="12:22" x14ac:dyDescent="0.2">
      <c r="M4926" s="40"/>
      <c r="N4926" s="15"/>
      <c r="O4926" s="15"/>
      <c r="P4926" s="15"/>
      <c r="Q4926" s="39"/>
      <c r="R4926" s="41"/>
      <c r="S4926" s="36"/>
      <c r="T4926" s="36"/>
      <c r="U4926" s="36"/>
      <c r="V4926" s="37"/>
    </row>
    <row r="4927" spans="12:22" x14ac:dyDescent="0.2">
      <c r="M4927" s="40"/>
      <c r="N4927" s="15"/>
      <c r="O4927" s="15"/>
      <c r="P4927" s="15"/>
      <c r="Q4927" s="39"/>
      <c r="R4927" s="41"/>
      <c r="S4927" s="36"/>
      <c r="T4927" s="36"/>
      <c r="U4927" s="36"/>
      <c r="V4927" s="37"/>
    </row>
    <row r="4928" spans="12:22" x14ac:dyDescent="0.2">
      <c r="M4928" s="40"/>
      <c r="N4928" s="15"/>
      <c r="O4928" s="15"/>
      <c r="P4928" s="15"/>
      <c r="Q4928" s="39"/>
      <c r="R4928" s="41"/>
      <c r="S4928" s="36"/>
      <c r="T4928" s="36"/>
      <c r="U4928" s="36"/>
      <c r="V4928" s="37"/>
    </row>
    <row r="4929" spans="12:22" x14ac:dyDescent="0.2">
      <c r="M4929" s="40"/>
      <c r="N4929" s="15"/>
      <c r="O4929" s="15"/>
      <c r="P4929" s="15"/>
      <c r="Q4929" s="39"/>
      <c r="R4929" s="41"/>
      <c r="S4929" s="36"/>
      <c r="T4929" s="36"/>
      <c r="U4929" s="36"/>
      <c r="V4929" s="37"/>
    </row>
    <row r="4930" spans="12:22" x14ac:dyDescent="0.2">
      <c r="L4930" s="16" t="s">
        <v>223</v>
      </c>
      <c r="M4930" s="40"/>
      <c r="N4930" s="15"/>
      <c r="O4930" s="15"/>
      <c r="P4930" s="15"/>
      <c r="Q4930" s="39"/>
      <c r="R4930" s="41"/>
      <c r="S4930" s="36"/>
      <c r="T4930" s="36"/>
      <c r="U4930" s="36"/>
      <c r="V4930" s="37"/>
    </row>
    <row r="4931" spans="12:22" ht="13.5" thickBot="1" x14ac:dyDescent="0.25">
      <c r="M4931" s="42"/>
      <c r="N4931" s="43"/>
      <c r="O4931" s="43"/>
      <c r="P4931" s="43"/>
      <c r="Q4931" s="44"/>
      <c r="R4931" s="41"/>
      <c r="S4931" s="46"/>
      <c r="T4931" s="46"/>
      <c r="U4931" s="46"/>
      <c r="V4931" s="47"/>
    </row>
    <row r="4932" spans="12:22" ht="13.5" thickBot="1" x14ac:dyDescent="0.25">
      <c r="M4932" s="48"/>
      <c r="N4932" s="49"/>
      <c r="O4932" s="49"/>
      <c r="P4932" s="49"/>
      <c r="Q4932" s="50"/>
      <c r="R4932" s="45"/>
      <c r="S4932" s="52"/>
      <c r="T4932" s="52"/>
      <c r="U4932" s="52"/>
      <c r="V4932" s="53"/>
    </row>
    <row r="4933" spans="12:22" x14ac:dyDescent="0.2">
      <c r="M4933" s="54"/>
      <c r="N4933" s="29"/>
      <c r="O4933" s="29"/>
      <c r="P4933" s="29"/>
      <c r="Q4933" s="34"/>
      <c r="R4933" s="51"/>
      <c r="S4933" s="36"/>
      <c r="T4933" s="36"/>
      <c r="U4933" s="36"/>
      <c r="V4933" s="37"/>
    </row>
    <row r="4934" spans="12:22" x14ac:dyDescent="0.2">
      <c r="M4934" s="33"/>
      <c r="N4934" s="29"/>
      <c r="O4934" s="29"/>
      <c r="P4934" s="29"/>
      <c r="Q4934" s="34"/>
      <c r="R4934" s="41"/>
      <c r="S4934" s="36"/>
      <c r="T4934" s="36"/>
      <c r="U4934" s="36"/>
      <c r="V4934" s="37"/>
    </row>
    <row r="4935" spans="12:22" x14ac:dyDescent="0.2">
      <c r="M4935" s="33"/>
      <c r="N4935" s="29"/>
      <c r="O4935" s="29"/>
      <c r="P4935" s="29"/>
      <c r="Q4935" s="34"/>
      <c r="R4935" s="35"/>
      <c r="S4935" s="36"/>
      <c r="T4935" s="36"/>
      <c r="U4935" s="36"/>
      <c r="V4935" s="37"/>
    </row>
    <row r="4936" spans="12:22" x14ac:dyDescent="0.2">
      <c r="M4936" s="33"/>
      <c r="N4936" s="29"/>
      <c r="O4936" s="29"/>
      <c r="P4936" s="29"/>
      <c r="Q4936" s="34"/>
      <c r="R4936" s="35"/>
      <c r="S4936" s="36"/>
      <c r="T4936" s="36"/>
      <c r="U4936" s="36"/>
      <c r="V4936" s="37"/>
    </row>
    <row r="4937" spans="12:22" x14ac:dyDescent="0.2">
      <c r="M4937" s="33"/>
      <c r="N4937" s="29"/>
      <c r="O4937" s="29"/>
      <c r="P4937" s="29"/>
      <c r="Q4937" s="34"/>
      <c r="R4937" s="35"/>
      <c r="S4937" s="36"/>
      <c r="T4937" s="36"/>
      <c r="U4937" s="36"/>
      <c r="V4937" s="37"/>
    </row>
    <row r="4938" spans="12:22" x14ac:dyDescent="0.2">
      <c r="M4938" s="33"/>
      <c r="N4938" s="29"/>
      <c r="O4938" s="29"/>
      <c r="P4938" s="29"/>
      <c r="Q4938" s="34"/>
      <c r="R4938" s="35"/>
      <c r="S4938" s="36"/>
      <c r="T4938" s="36"/>
      <c r="U4938" s="36"/>
      <c r="V4938" s="37"/>
    </row>
    <row r="4939" spans="12:22" x14ac:dyDescent="0.2">
      <c r="M4939" s="33"/>
      <c r="N4939" s="29"/>
      <c r="O4939" s="29"/>
      <c r="P4939" s="29"/>
      <c r="Q4939" s="38"/>
      <c r="R4939" s="35"/>
      <c r="S4939" s="36"/>
      <c r="T4939" s="36"/>
      <c r="U4939" s="36"/>
      <c r="V4939" s="37"/>
    </row>
    <row r="4940" spans="12:22" x14ac:dyDescent="0.2">
      <c r="M4940" s="33"/>
      <c r="N4940" s="29"/>
      <c r="O4940" s="29"/>
      <c r="P4940" s="29"/>
      <c r="Q4940" s="34"/>
      <c r="R4940" s="35"/>
      <c r="S4940" s="36"/>
      <c r="T4940" s="36"/>
      <c r="U4940" s="36"/>
      <c r="V4940" s="37"/>
    </row>
    <row r="4941" spans="12:22" x14ac:dyDescent="0.2">
      <c r="M4941" s="33"/>
      <c r="N4941" s="29"/>
      <c r="O4941" s="29"/>
      <c r="P4941" s="29"/>
      <c r="Q4941" s="34"/>
      <c r="R4941" s="35"/>
      <c r="S4941" s="36"/>
      <c r="T4941" s="36"/>
      <c r="U4941" s="36"/>
      <c r="V4941" s="37"/>
    </row>
    <row r="4942" spans="12:22" x14ac:dyDescent="0.2">
      <c r="M4942" s="33"/>
      <c r="N4942" s="29"/>
      <c r="O4942" s="29"/>
      <c r="P4942" s="29"/>
      <c r="Q4942" s="34"/>
      <c r="R4942" s="35"/>
      <c r="S4942" s="36"/>
      <c r="T4942" s="36"/>
      <c r="U4942" s="36"/>
      <c r="V4942" s="37"/>
    </row>
    <row r="4943" spans="12:22" x14ac:dyDescent="0.2">
      <c r="M4943" s="33"/>
      <c r="N4943" s="29"/>
      <c r="O4943" s="29"/>
      <c r="P4943" s="29"/>
      <c r="Q4943" s="34"/>
      <c r="R4943" s="35"/>
      <c r="S4943" s="36"/>
      <c r="T4943" s="36"/>
      <c r="U4943" s="36"/>
      <c r="V4943" s="37"/>
    </row>
    <row r="4944" spans="12:22" x14ac:dyDescent="0.2">
      <c r="M4944" s="26"/>
      <c r="N4944" s="15"/>
      <c r="O4944" s="15"/>
      <c r="P4944" s="15"/>
      <c r="Q4944" s="39"/>
      <c r="R4944" s="35"/>
      <c r="S4944" s="36"/>
      <c r="T4944" s="36"/>
      <c r="U4944" s="36"/>
      <c r="V4944" s="37"/>
    </row>
    <row r="4945" spans="12:22" x14ac:dyDescent="0.2">
      <c r="M4945" s="26"/>
      <c r="N4945" s="15"/>
      <c r="O4945" s="15"/>
      <c r="P4945" s="15"/>
      <c r="Q4945" s="39"/>
      <c r="R4945" s="35"/>
      <c r="S4945" s="36"/>
      <c r="T4945" s="36"/>
      <c r="U4945" s="36"/>
      <c r="V4945" s="37"/>
    </row>
    <row r="4946" spans="12:22" x14ac:dyDescent="0.2">
      <c r="M4946" s="40"/>
      <c r="N4946" s="15"/>
      <c r="O4946" s="15"/>
      <c r="P4946" s="15"/>
      <c r="Q4946" s="39"/>
      <c r="R4946" s="35"/>
      <c r="S4946" s="36"/>
      <c r="T4946" s="36"/>
      <c r="U4946" s="36"/>
      <c r="V4946" s="37"/>
    </row>
    <row r="4947" spans="12:22" x14ac:dyDescent="0.2">
      <c r="M4947" s="40"/>
      <c r="N4947" s="15"/>
      <c r="O4947" s="15"/>
      <c r="P4947" s="15"/>
      <c r="Q4947" s="39"/>
      <c r="R4947" s="41"/>
      <c r="S4947" s="36"/>
      <c r="T4947" s="36"/>
      <c r="U4947" s="36"/>
      <c r="V4947" s="37"/>
    </row>
    <row r="4948" spans="12:22" x14ac:dyDescent="0.2">
      <c r="M4948" s="40"/>
      <c r="N4948" s="15"/>
      <c r="O4948" s="15"/>
      <c r="P4948" s="15"/>
      <c r="Q4948" s="39"/>
      <c r="R4948" s="41"/>
      <c r="S4948" s="36"/>
      <c r="T4948" s="36"/>
      <c r="U4948" s="36"/>
      <c r="V4948" s="37"/>
    </row>
    <row r="4949" spans="12:22" x14ac:dyDescent="0.2">
      <c r="M4949" s="40"/>
      <c r="N4949" s="15"/>
      <c r="O4949" s="15"/>
      <c r="P4949" s="15"/>
      <c r="Q4949" s="39"/>
      <c r="R4949" s="41"/>
      <c r="S4949" s="36"/>
      <c r="T4949" s="36"/>
      <c r="U4949" s="36"/>
      <c r="V4949" s="37"/>
    </row>
    <row r="4950" spans="12:22" x14ac:dyDescent="0.2">
      <c r="M4950" s="40"/>
      <c r="N4950" s="15"/>
      <c r="O4950" s="15"/>
      <c r="P4950" s="15"/>
      <c r="Q4950" s="39"/>
      <c r="R4950" s="41"/>
      <c r="S4950" s="36"/>
      <c r="T4950" s="36"/>
      <c r="U4950" s="36"/>
      <c r="V4950" s="37"/>
    </row>
    <row r="4951" spans="12:22" x14ac:dyDescent="0.2">
      <c r="M4951" s="40"/>
      <c r="N4951" s="15"/>
      <c r="O4951" s="15"/>
      <c r="P4951" s="15"/>
      <c r="Q4951" s="39"/>
      <c r="R4951" s="41"/>
      <c r="S4951" s="36"/>
      <c r="T4951" s="36"/>
      <c r="U4951" s="36"/>
      <c r="V4951" s="37"/>
    </row>
    <row r="4952" spans="12:22" x14ac:dyDescent="0.2">
      <c r="M4952" s="40"/>
      <c r="N4952" s="15"/>
      <c r="O4952" s="15"/>
      <c r="P4952" s="15"/>
      <c r="Q4952" s="39"/>
      <c r="R4952" s="41"/>
      <c r="S4952" s="36"/>
      <c r="T4952" s="36"/>
      <c r="U4952" s="36"/>
      <c r="V4952" s="37"/>
    </row>
    <row r="4953" spans="12:22" x14ac:dyDescent="0.2">
      <c r="M4953" s="40"/>
      <c r="N4953" s="15"/>
      <c r="O4953" s="15"/>
      <c r="P4953" s="15"/>
      <c r="Q4953" s="39"/>
      <c r="R4953" s="41"/>
      <c r="S4953" s="36"/>
      <c r="T4953" s="36"/>
      <c r="U4953" s="36"/>
      <c r="V4953" s="37"/>
    </row>
    <row r="4954" spans="12:22" x14ac:dyDescent="0.2">
      <c r="M4954" s="40"/>
      <c r="N4954" s="15"/>
      <c r="O4954" s="15"/>
      <c r="P4954" s="15"/>
      <c r="Q4954" s="39"/>
      <c r="R4954" s="41"/>
      <c r="S4954" s="36"/>
      <c r="T4954" s="36"/>
      <c r="U4954" s="36"/>
      <c r="V4954" s="37"/>
    </row>
    <row r="4955" spans="12:22" x14ac:dyDescent="0.2">
      <c r="L4955" s="16" t="s">
        <v>224</v>
      </c>
      <c r="M4955" s="40"/>
      <c r="N4955" s="15"/>
      <c r="O4955" s="15"/>
      <c r="P4955" s="15"/>
      <c r="Q4955" s="39"/>
      <c r="R4955" s="41"/>
      <c r="S4955" s="36"/>
      <c r="T4955" s="36"/>
      <c r="U4955" s="36"/>
      <c r="V4955" s="37"/>
    </row>
    <row r="4956" spans="12:22" ht="13.5" thickBot="1" x14ac:dyDescent="0.25">
      <c r="M4956" s="42"/>
      <c r="N4956" s="43"/>
      <c r="O4956" s="43"/>
      <c r="P4956" s="43"/>
      <c r="Q4956" s="44"/>
      <c r="R4956" s="41"/>
      <c r="S4956" s="46"/>
      <c r="T4956" s="46"/>
      <c r="U4956" s="46"/>
      <c r="V4956" s="47"/>
    </row>
    <row r="4957" spans="12:22" ht="13.5" thickBot="1" x14ac:dyDescent="0.25">
      <c r="L4957" s="32"/>
      <c r="M4957" s="48"/>
      <c r="N4957" s="49"/>
      <c r="O4957" s="49"/>
      <c r="P4957" s="49"/>
      <c r="Q4957" s="50"/>
      <c r="R4957" s="45"/>
      <c r="S4957" s="52"/>
      <c r="T4957" s="52"/>
      <c r="U4957" s="52"/>
      <c r="V4957" s="53"/>
    </row>
    <row r="4958" spans="12:22" x14ac:dyDescent="0.2">
      <c r="L4958" s="32"/>
      <c r="M4958" s="54"/>
      <c r="N4958" s="29"/>
      <c r="O4958" s="29"/>
      <c r="P4958" s="29"/>
      <c r="Q4958" s="34"/>
      <c r="R4958" s="51"/>
      <c r="S4958" s="36"/>
      <c r="T4958" s="36"/>
      <c r="U4958" s="36"/>
      <c r="V4958" s="37"/>
    </row>
    <row r="4959" spans="12:22" x14ac:dyDescent="0.2">
      <c r="L4959" s="32"/>
      <c r="M4959" s="33"/>
      <c r="N4959" s="29"/>
      <c r="O4959" s="29"/>
      <c r="P4959" s="29"/>
      <c r="Q4959" s="34"/>
      <c r="R4959" s="41"/>
      <c r="S4959" s="36"/>
      <c r="T4959" s="36"/>
      <c r="U4959" s="36"/>
      <c r="V4959" s="37"/>
    </row>
    <row r="4960" spans="12:22" x14ac:dyDescent="0.2">
      <c r="L4960" s="32"/>
      <c r="M4960" s="33"/>
      <c r="N4960" s="29"/>
      <c r="O4960" s="29"/>
      <c r="P4960" s="29"/>
      <c r="Q4960" s="34"/>
      <c r="R4960" s="35"/>
      <c r="S4960" s="36"/>
      <c r="T4960" s="36"/>
      <c r="U4960" s="36"/>
      <c r="V4960" s="37"/>
    </row>
    <row r="4961" spans="12:22" x14ac:dyDescent="0.2">
      <c r="L4961" s="32"/>
      <c r="M4961" s="33"/>
      <c r="N4961" s="29"/>
      <c r="O4961" s="29"/>
      <c r="P4961" s="29"/>
      <c r="Q4961" s="34"/>
      <c r="R4961" s="35"/>
      <c r="S4961" s="36"/>
      <c r="T4961" s="36"/>
      <c r="U4961" s="36"/>
      <c r="V4961" s="37"/>
    </row>
    <row r="4962" spans="12:22" x14ac:dyDescent="0.2">
      <c r="L4962" s="32"/>
      <c r="M4962" s="33"/>
      <c r="N4962" s="29"/>
      <c r="O4962" s="29"/>
      <c r="P4962" s="29"/>
      <c r="Q4962" s="34"/>
      <c r="R4962" s="35"/>
      <c r="S4962" s="36"/>
      <c r="T4962" s="36"/>
      <c r="U4962" s="36"/>
      <c r="V4962" s="37"/>
    </row>
    <row r="4963" spans="12:22" x14ac:dyDescent="0.2">
      <c r="L4963" s="32"/>
      <c r="M4963" s="33"/>
      <c r="N4963" s="29"/>
      <c r="O4963" s="29"/>
      <c r="P4963" s="29"/>
      <c r="Q4963" s="34"/>
      <c r="R4963" s="35"/>
      <c r="S4963" s="36"/>
      <c r="T4963" s="36"/>
      <c r="U4963" s="36"/>
      <c r="V4963" s="37"/>
    </row>
    <row r="4964" spans="12:22" x14ac:dyDescent="0.2">
      <c r="L4964" s="32"/>
      <c r="M4964" s="33"/>
      <c r="N4964" s="29"/>
      <c r="O4964" s="29"/>
      <c r="P4964" s="29"/>
      <c r="Q4964" s="38"/>
      <c r="R4964" s="35"/>
      <c r="S4964" s="36"/>
      <c r="T4964" s="36"/>
      <c r="U4964" s="36"/>
      <c r="V4964" s="37"/>
    </row>
    <row r="4965" spans="12:22" x14ac:dyDescent="0.2">
      <c r="L4965" s="32"/>
      <c r="M4965" s="33"/>
      <c r="N4965" s="29"/>
      <c r="O4965" s="29"/>
      <c r="P4965" s="29"/>
      <c r="Q4965" s="34"/>
      <c r="R4965" s="35"/>
      <c r="S4965" s="36"/>
      <c r="T4965" s="36"/>
      <c r="U4965" s="36"/>
      <c r="V4965" s="37"/>
    </row>
    <row r="4966" spans="12:22" x14ac:dyDescent="0.2">
      <c r="L4966" s="32"/>
      <c r="M4966" s="33"/>
      <c r="N4966" s="29"/>
      <c r="O4966" s="29"/>
      <c r="P4966" s="29"/>
      <c r="Q4966" s="34"/>
      <c r="R4966" s="35"/>
      <c r="S4966" s="36"/>
      <c r="T4966" s="36"/>
      <c r="U4966" s="36"/>
      <c r="V4966" s="37"/>
    </row>
    <row r="4967" spans="12:22" x14ac:dyDescent="0.2">
      <c r="L4967" s="32"/>
      <c r="M4967" s="33"/>
      <c r="N4967" s="29"/>
      <c r="O4967" s="29"/>
      <c r="P4967" s="29"/>
      <c r="Q4967" s="34"/>
      <c r="R4967" s="35"/>
      <c r="S4967" s="36"/>
      <c r="T4967" s="36"/>
      <c r="U4967" s="36"/>
      <c r="V4967" s="37"/>
    </row>
    <row r="4968" spans="12:22" x14ac:dyDescent="0.2">
      <c r="L4968" s="32"/>
      <c r="M4968" s="33"/>
      <c r="N4968" s="29"/>
      <c r="O4968" s="29"/>
      <c r="P4968" s="29"/>
      <c r="Q4968" s="34"/>
      <c r="R4968" s="35"/>
      <c r="S4968" s="36"/>
      <c r="T4968" s="36"/>
      <c r="U4968" s="36"/>
      <c r="V4968" s="37"/>
    </row>
    <row r="4969" spans="12:22" x14ac:dyDescent="0.2">
      <c r="M4969" s="26"/>
      <c r="N4969" s="15"/>
      <c r="O4969" s="15"/>
      <c r="P4969" s="15"/>
      <c r="Q4969" s="39"/>
      <c r="R4969" s="35"/>
      <c r="S4969" s="36"/>
      <c r="T4969" s="36"/>
      <c r="U4969" s="36"/>
      <c r="V4969" s="37"/>
    </row>
    <row r="4970" spans="12:22" x14ac:dyDescent="0.2">
      <c r="M4970" s="26"/>
      <c r="N4970" s="15"/>
      <c r="O4970" s="15"/>
      <c r="P4970" s="15"/>
      <c r="Q4970" s="39"/>
      <c r="R4970" s="35"/>
      <c r="S4970" s="36"/>
      <c r="T4970" s="36"/>
      <c r="U4970" s="36"/>
      <c r="V4970" s="37"/>
    </row>
    <row r="4971" spans="12:22" x14ac:dyDescent="0.2">
      <c r="M4971" s="40"/>
      <c r="N4971" s="15"/>
      <c r="O4971" s="15"/>
      <c r="P4971" s="15"/>
      <c r="Q4971" s="39"/>
      <c r="R4971" s="35"/>
      <c r="S4971" s="36"/>
      <c r="T4971" s="36"/>
      <c r="U4971" s="36"/>
      <c r="V4971" s="37"/>
    </row>
    <row r="4972" spans="12:22" x14ac:dyDescent="0.2">
      <c r="M4972" s="40"/>
      <c r="N4972" s="15"/>
      <c r="O4972" s="15"/>
      <c r="P4972" s="15"/>
      <c r="Q4972" s="39"/>
      <c r="R4972" s="41"/>
      <c r="S4972" s="36"/>
      <c r="T4972" s="36"/>
      <c r="U4972" s="36"/>
      <c r="V4972" s="37"/>
    </row>
    <row r="4973" spans="12:22" x14ac:dyDescent="0.2">
      <c r="M4973" s="40"/>
      <c r="N4973" s="15"/>
      <c r="O4973" s="15"/>
      <c r="P4973" s="15"/>
      <c r="Q4973" s="39"/>
      <c r="R4973" s="41"/>
      <c r="S4973" s="36"/>
      <c r="T4973" s="36"/>
      <c r="U4973" s="36"/>
      <c r="V4973" s="37"/>
    </row>
    <row r="4974" spans="12:22" x14ac:dyDescent="0.2">
      <c r="M4974" s="40"/>
      <c r="N4974" s="15"/>
      <c r="O4974" s="15"/>
      <c r="P4974" s="15"/>
      <c r="Q4974" s="39"/>
      <c r="R4974" s="41"/>
      <c r="S4974" s="36"/>
      <c r="T4974" s="36"/>
      <c r="U4974" s="36"/>
      <c r="V4974" s="37"/>
    </row>
    <row r="4975" spans="12:22" x14ac:dyDescent="0.2">
      <c r="M4975" s="40"/>
      <c r="N4975" s="15"/>
      <c r="O4975" s="15"/>
      <c r="P4975" s="15"/>
      <c r="Q4975" s="39"/>
      <c r="R4975" s="41"/>
      <c r="S4975" s="36"/>
      <c r="T4975" s="36"/>
      <c r="U4975" s="36"/>
      <c r="V4975" s="37"/>
    </row>
    <row r="4976" spans="12:22" x14ac:dyDescent="0.2">
      <c r="M4976" s="40"/>
      <c r="N4976" s="15"/>
      <c r="O4976" s="15"/>
      <c r="P4976" s="15"/>
      <c r="Q4976" s="39"/>
      <c r="R4976" s="41"/>
      <c r="S4976" s="36"/>
      <c r="T4976" s="36"/>
      <c r="U4976" s="36"/>
      <c r="V4976" s="37"/>
    </row>
    <row r="4977" spans="12:22" x14ac:dyDescent="0.2">
      <c r="M4977" s="40"/>
      <c r="N4977" s="15"/>
      <c r="O4977" s="15"/>
      <c r="P4977" s="15"/>
      <c r="Q4977" s="39"/>
      <c r="R4977" s="41"/>
      <c r="S4977" s="36"/>
      <c r="T4977" s="36"/>
      <c r="U4977" s="36"/>
      <c r="V4977" s="37"/>
    </row>
    <row r="4978" spans="12:22" x14ac:dyDescent="0.2">
      <c r="M4978" s="40"/>
      <c r="N4978" s="15"/>
      <c r="O4978" s="15"/>
      <c r="P4978" s="15"/>
      <c r="Q4978" s="39"/>
      <c r="R4978" s="41"/>
      <c r="S4978" s="36"/>
      <c r="T4978" s="36"/>
      <c r="U4978" s="36"/>
      <c r="V4978" s="37"/>
    </row>
    <row r="4979" spans="12:22" x14ac:dyDescent="0.2">
      <c r="M4979" s="40"/>
      <c r="N4979" s="15"/>
      <c r="O4979" s="15"/>
      <c r="P4979" s="15"/>
      <c r="Q4979" s="39"/>
      <c r="R4979" s="41"/>
      <c r="S4979" s="36"/>
      <c r="T4979" s="36"/>
      <c r="U4979" s="36"/>
      <c r="V4979" s="37"/>
    </row>
    <row r="4980" spans="12:22" x14ac:dyDescent="0.2">
      <c r="L4980" s="16" t="s">
        <v>225</v>
      </c>
      <c r="M4980" s="40"/>
      <c r="N4980" s="15"/>
      <c r="O4980" s="15"/>
      <c r="P4980" s="15"/>
      <c r="Q4980" s="39"/>
      <c r="R4980" s="41"/>
      <c r="S4980" s="36"/>
      <c r="T4980" s="36"/>
      <c r="U4980" s="36"/>
      <c r="V4980" s="37"/>
    </row>
    <row r="4981" spans="12:22" ht="13.5" thickBot="1" x14ac:dyDescent="0.25">
      <c r="M4981" s="42"/>
      <c r="N4981" s="43"/>
      <c r="O4981" s="43"/>
      <c r="P4981" s="43"/>
      <c r="Q4981" s="44"/>
      <c r="R4981" s="41"/>
      <c r="S4981" s="46"/>
      <c r="T4981" s="46"/>
      <c r="U4981" s="46"/>
      <c r="V4981" s="47"/>
    </row>
    <row r="4982" spans="12:22" ht="13.5" thickBot="1" x14ac:dyDescent="0.25">
      <c r="M4982" s="48"/>
      <c r="N4982" s="49"/>
      <c r="O4982" s="49"/>
      <c r="P4982" s="49"/>
      <c r="Q4982" s="50"/>
      <c r="R4982" s="45"/>
      <c r="S4982" s="52"/>
      <c r="T4982" s="52"/>
      <c r="U4982" s="52"/>
      <c r="V4982" s="53"/>
    </row>
    <row r="4983" spans="12:22" x14ac:dyDescent="0.2">
      <c r="M4983" s="54"/>
      <c r="N4983" s="29"/>
      <c r="O4983" s="29"/>
      <c r="P4983" s="29"/>
      <c r="Q4983" s="34"/>
      <c r="R4983" s="51"/>
      <c r="S4983" s="36"/>
      <c r="T4983" s="36"/>
      <c r="U4983" s="36"/>
      <c r="V4983" s="37"/>
    </row>
    <row r="4984" spans="12:22" x14ac:dyDescent="0.2">
      <c r="M4984" s="33"/>
      <c r="N4984" s="29"/>
      <c r="O4984" s="29"/>
      <c r="P4984" s="29"/>
      <c r="Q4984" s="34"/>
      <c r="R4984" s="41"/>
      <c r="S4984" s="36"/>
      <c r="T4984" s="36"/>
      <c r="U4984" s="36"/>
      <c r="V4984" s="37"/>
    </row>
    <row r="4985" spans="12:22" x14ac:dyDescent="0.2">
      <c r="M4985" s="33"/>
      <c r="N4985" s="29"/>
      <c r="O4985" s="29"/>
      <c r="P4985" s="29"/>
      <c r="Q4985" s="34"/>
      <c r="R4985" s="35"/>
      <c r="S4985" s="36"/>
      <c r="T4985" s="36"/>
      <c r="U4985" s="36"/>
      <c r="V4985" s="37"/>
    </row>
    <row r="4986" spans="12:22" x14ac:dyDescent="0.2">
      <c r="M4986" s="33"/>
      <c r="N4986" s="29"/>
      <c r="O4986" s="29"/>
      <c r="P4986" s="29"/>
      <c r="Q4986" s="34"/>
      <c r="R4986" s="35"/>
      <c r="S4986" s="36"/>
      <c r="T4986" s="36"/>
      <c r="U4986" s="36"/>
      <c r="V4986" s="37"/>
    </row>
    <row r="4987" spans="12:22" x14ac:dyDescent="0.2">
      <c r="M4987" s="33"/>
      <c r="N4987" s="29"/>
      <c r="O4987" s="29"/>
      <c r="P4987" s="29"/>
      <c r="Q4987" s="34"/>
      <c r="R4987" s="35"/>
      <c r="S4987" s="36"/>
      <c r="T4987" s="36"/>
      <c r="U4987" s="36"/>
      <c r="V4987" s="37"/>
    </row>
    <row r="4988" spans="12:22" x14ac:dyDescent="0.2">
      <c r="M4988" s="33"/>
      <c r="N4988" s="29"/>
      <c r="O4988" s="29"/>
      <c r="P4988" s="29"/>
      <c r="Q4988" s="34"/>
      <c r="R4988" s="35"/>
      <c r="S4988" s="36"/>
      <c r="T4988" s="36"/>
      <c r="U4988" s="36"/>
      <c r="V4988" s="37"/>
    </row>
    <row r="4989" spans="12:22" x14ac:dyDescent="0.2">
      <c r="M4989" s="33"/>
      <c r="N4989" s="29"/>
      <c r="O4989" s="29"/>
      <c r="P4989" s="29"/>
      <c r="Q4989" s="38"/>
      <c r="R4989" s="35"/>
      <c r="S4989" s="36"/>
      <c r="T4989" s="36"/>
      <c r="U4989" s="36"/>
      <c r="V4989" s="37"/>
    </row>
    <row r="4990" spans="12:22" x14ac:dyDescent="0.2">
      <c r="M4990" s="33"/>
      <c r="N4990" s="29"/>
      <c r="O4990" s="29"/>
      <c r="P4990" s="29"/>
      <c r="Q4990" s="34"/>
      <c r="R4990" s="35"/>
      <c r="S4990" s="36"/>
      <c r="T4990" s="36"/>
      <c r="U4990" s="36"/>
      <c r="V4990" s="37"/>
    </row>
    <row r="4991" spans="12:22" x14ac:dyDescent="0.2">
      <c r="M4991" s="33"/>
      <c r="N4991" s="29"/>
      <c r="O4991" s="29"/>
      <c r="P4991" s="29"/>
      <c r="Q4991" s="34"/>
      <c r="R4991" s="35"/>
      <c r="S4991" s="36"/>
      <c r="T4991" s="36"/>
      <c r="U4991" s="36"/>
      <c r="V4991" s="37"/>
    </row>
    <row r="4992" spans="12:22" x14ac:dyDescent="0.2">
      <c r="M4992" s="33"/>
      <c r="N4992" s="29"/>
      <c r="O4992" s="29"/>
      <c r="P4992" s="29"/>
      <c r="Q4992" s="34"/>
      <c r="R4992" s="35"/>
      <c r="S4992" s="36"/>
      <c r="T4992" s="36"/>
      <c r="U4992" s="36"/>
      <c r="V4992" s="37"/>
    </row>
    <row r="4993" spans="12:22" x14ac:dyDescent="0.2">
      <c r="M4993" s="33"/>
      <c r="N4993" s="29"/>
      <c r="O4993" s="29"/>
      <c r="P4993" s="29"/>
      <c r="Q4993" s="34"/>
      <c r="R4993" s="35"/>
      <c r="S4993" s="36"/>
      <c r="T4993" s="36"/>
      <c r="U4993" s="36"/>
      <c r="V4993" s="37"/>
    </row>
    <row r="4994" spans="12:22" x14ac:dyDescent="0.2">
      <c r="M4994" s="26"/>
      <c r="N4994" s="15"/>
      <c r="O4994" s="15"/>
      <c r="P4994" s="15"/>
      <c r="Q4994" s="39"/>
      <c r="R4994" s="35"/>
      <c r="S4994" s="36"/>
      <c r="T4994" s="36"/>
      <c r="U4994" s="36"/>
      <c r="V4994" s="37"/>
    </row>
    <row r="4995" spans="12:22" x14ac:dyDescent="0.2">
      <c r="M4995" s="26"/>
      <c r="N4995" s="15"/>
      <c r="O4995" s="15"/>
      <c r="P4995" s="15"/>
      <c r="Q4995" s="39"/>
      <c r="R4995" s="35"/>
      <c r="S4995" s="36"/>
      <c r="T4995" s="36"/>
      <c r="U4995" s="36"/>
      <c r="V4995" s="37"/>
    </row>
    <row r="4996" spans="12:22" x14ac:dyDescent="0.2">
      <c r="M4996" s="40"/>
      <c r="N4996" s="15"/>
      <c r="O4996" s="15"/>
      <c r="P4996" s="15"/>
      <c r="Q4996" s="39"/>
      <c r="R4996" s="35"/>
      <c r="S4996" s="36"/>
      <c r="T4996" s="36"/>
      <c r="U4996" s="36"/>
      <c r="V4996" s="37"/>
    </row>
    <row r="4997" spans="12:22" x14ac:dyDescent="0.2">
      <c r="M4997" s="40"/>
      <c r="N4997" s="15"/>
      <c r="O4997" s="15"/>
      <c r="P4997" s="15"/>
      <c r="Q4997" s="39"/>
      <c r="R4997" s="41"/>
      <c r="S4997" s="36"/>
      <c r="T4997" s="36"/>
      <c r="U4997" s="36"/>
      <c r="V4997" s="37"/>
    </row>
    <row r="4998" spans="12:22" x14ac:dyDescent="0.2">
      <c r="M4998" s="40"/>
      <c r="N4998" s="15"/>
      <c r="O4998" s="15"/>
      <c r="P4998" s="15"/>
      <c r="Q4998" s="39"/>
      <c r="R4998" s="41"/>
      <c r="S4998" s="36"/>
      <c r="T4998" s="36"/>
      <c r="U4998" s="36"/>
      <c r="V4998" s="37"/>
    </row>
    <row r="4999" spans="12:22" x14ac:dyDescent="0.2">
      <c r="M4999" s="40"/>
      <c r="N4999" s="15"/>
      <c r="O4999" s="15"/>
      <c r="P4999" s="15"/>
      <c r="Q4999" s="39"/>
      <c r="R4999" s="41"/>
      <c r="S4999" s="36"/>
      <c r="T4999" s="36"/>
      <c r="U4999" s="36"/>
      <c r="V4999" s="37"/>
    </row>
    <row r="5000" spans="12:22" x14ac:dyDescent="0.2">
      <c r="M5000" s="40"/>
      <c r="N5000" s="15"/>
      <c r="O5000" s="15"/>
      <c r="P5000" s="15"/>
      <c r="Q5000" s="39"/>
      <c r="R5000" s="41"/>
      <c r="S5000" s="36"/>
      <c r="T5000" s="36"/>
      <c r="U5000" s="36"/>
      <c r="V5000" s="37"/>
    </row>
    <row r="5001" spans="12:22" x14ac:dyDescent="0.2">
      <c r="M5001" s="40"/>
      <c r="N5001" s="15"/>
      <c r="O5001" s="15"/>
      <c r="P5001" s="15"/>
      <c r="Q5001" s="39"/>
      <c r="R5001" s="41"/>
      <c r="S5001" s="36"/>
      <c r="T5001" s="36"/>
      <c r="U5001" s="36"/>
      <c r="V5001" s="37"/>
    </row>
    <row r="5002" spans="12:22" x14ac:dyDescent="0.2">
      <c r="M5002" s="40"/>
      <c r="N5002" s="15"/>
      <c r="O5002" s="15"/>
      <c r="P5002" s="15"/>
      <c r="Q5002" s="39"/>
      <c r="R5002" s="41"/>
      <c r="S5002" s="36"/>
      <c r="T5002" s="36"/>
      <c r="U5002" s="36"/>
      <c r="V5002" s="37"/>
    </row>
    <row r="5003" spans="12:22" x14ac:dyDescent="0.2">
      <c r="M5003" s="40"/>
      <c r="N5003" s="15"/>
      <c r="O5003" s="15"/>
      <c r="P5003" s="15"/>
      <c r="Q5003" s="39"/>
      <c r="R5003" s="41"/>
      <c r="S5003" s="36"/>
      <c r="T5003" s="36"/>
      <c r="U5003" s="36"/>
      <c r="V5003" s="37"/>
    </row>
    <row r="5004" spans="12:22" x14ac:dyDescent="0.2">
      <c r="M5004" s="40"/>
      <c r="N5004" s="15"/>
      <c r="O5004" s="15"/>
      <c r="P5004" s="15"/>
      <c r="Q5004" s="39"/>
      <c r="R5004" s="41"/>
      <c r="S5004" s="36"/>
      <c r="T5004" s="36"/>
      <c r="U5004" s="36"/>
      <c r="V5004" s="37"/>
    </row>
    <row r="5005" spans="12:22" x14ac:dyDescent="0.2">
      <c r="L5005" s="16" t="s">
        <v>226</v>
      </c>
      <c r="M5005" s="40"/>
      <c r="N5005" s="15"/>
      <c r="O5005" s="15"/>
      <c r="P5005" s="15"/>
      <c r="Q5005" s="39"/>
      <c r="R5005" s="41"/>
      <c r="S5005" s="36"/>
      <c r="T5005" s="36"/>
      <c r="U5005" s="36"/>
      <c r="V5005" s="37"/>
    </row>
    <row r="5006" spans="12:22" ht="13.5" thickBot="1" x14ac:dyDescent="0.25">
      <c r="M5006" s="42"/>
      <c r="N5006" s="43"/>
      <c r="O5006" s="43"/>
      <c r="P5006" s="43"/>
      <c r="Q5006" s="44"/>
      <c r="R5006" s="41"/>
      <c r="S5006" s="46"/>
      <c r="T5006" s="46"/>
      <c r="U5006" s="46"/>
      <c r="V5006" s="47"/>
    </row>
    <row r="5007" spans="12:22" ht="13.5" thickBot="1" x14ac:dyDescent="0.25">
      <c r="L5007" s="32"/>
      <c r="M5007" s="48"/>
      <c r="N5007" s="49"/>
      <c r="O5007" s="49"/>
      <c r="P5007" s="49"/>
      <c r="Q5007" s="50"/>
      <c r="R5007" s="45"/>
      <c r="S5007" s="52"/>
      <c r="T5007" s="52"/>
      <c r="U5007" s="52"/>
      <c r="V5007" s="53"/>
    </row>
    <row r="5008" spans="12:22" x14ac:dyDescent="0.2">
      <c r="L5008" s="32"/>
      <c r="M5008" s="54"/>
      <c r="N5008" s="29"/>
      <c r="O5008" s="29"/>
      <c r="P5008" s="29"/>
      <c r="Q5008" s="34"/>
      <c r="R5008" s="51"/>
      <c r="S5008" s="36"/>
      <c r="T5008" s="36"/>
      <c r="U5008" s="36"/>
      <c r="V5008" s="37"/>
    </row>
    <row r="5009" spans="12:22" x14ac:dyDescent="0.2">
      <c r="L5009" s="32"/>
      <c r="M5009" s="33"/>
      <c r="N5009" s="29"/>
      <c r="O5009" s="29"/>
      <c r="P5009" s="29"/>
      <c r="Q5009" s="34"/>
      <c r="R5009" s="41"/>
      <c r="S5009" s="36"/>
      <c r="T5009" s="36"/>
      <c r="U5009" s="36"/>
      <c r="V5009" s="37"/>
    </row>
    <row r="5010" spans="12:22" x14ac:dyDescent="0.2">
      <c r="L5010" s="32"/>
      <c r="M5010" s="33"/>
      <c r="N5010" s="29"/>
      <c r="O5010" s="29"/>
      <c r="P5010" s="29"/>
      <c r="Q5010" s="34"/>
      <c r="R5010" s="35"/>
      <c r="S5010" s="36"/>
      <c r="T5010" s="36"/>
      <c r="U5010" s="36"/>
      <c r="V5010" s="37"/>
    </row>
    <row r="5011" spans="12:22" x14ac:dyDescent="0.2">
      <c r="L5011" s="32"/>
      <c r="M5011" s="33"/>
      <c r="N5011" s="29"/>
      <c r="O5011" s="29"/>
      <c r="P5011" s="29"/>
      <c r="Q5011" s="34"/>
      <c r="R5011" s="35"/>
      <c r="S5011" s="36"/>
      <c r="T5011" s="36"/>
      <c r="U5011" s="36"/>
      <c r="V5011" s="37"/>
    </row>
    <row r="5012" spans="12:22" x14ac:dyDescent="0.2">
      <c r="L5012" s="32"/>
      <c r="M5012" s="33"/>
      <c r="N5012" s="29"/>
      <c r="O5012" s="29"/>
      <c r="P5012" s="29"/>
      <c r="Q5012" s="34"/>
      <c r="R5012" s="35"/>
      <c r="S5012" s="36"/>
      <c r="T5012" s="36"/>
      <c r="U5012" s="36"/>
      <c r="V5012" s="37"/>
    </row>
    <row r="5013" spans="12:22" x14ac:dyDescent="0.2">
      <c r="L5013" s="32"/>
      <c r="M5013" s="33"/>
      <c r="N5013" s="29"/>
      <c r="O5013" s="29"/>
      <c r="P5013" s="29"/>
      <c r="Q5013" s="34"/>
      <c r="R5013" s="35"/>
      <c r="S5013" s="36"/>
      <c r="T5013" s="36"/>
      <c r="U5013" s="36"/>
      <c r="V5013" s="37"/>
    </row>
    <row r="5014" spans="12:22" x14ac:dyDescent="0.2">
      <c r="L5014" s="32"/>
      <c r="M5014" s="33"/>
      <c r="N5014" s="29"/>
      <c r="O5014" s="29"/>
      <c r="P5014" s="29"/>
      <c r="Q5014" s="38"/>
      <c r="R5014" s="35"/>
      <c r="S5014" s="36"/>
      <c r="T5014" s="36"/>
      <c r="U5014" s="36"/>
      <c r="V5014" s="37"/>
    </row>
    <row r="5015" spans="12:22" x14ac:dyDescent="0.2">
      <c r="L5015" s="32"/>
      <c r="M5015" s="33"/>
      <c r="N5015" s="29"/>
      <c r="O5015" s="29"/>
      <c r="P5015" s="29"/>
      <c r="Q5015" s="34"/>
      <c r="R5015" s="35"/>
      <c r="S5015" s="36"/>
      <c r="T5015" s="36"/>
      <c r="U5015" s="36"/>
      <c r="V5015" s="37"/>
    </row>
    <row r="5016" spans="12:22" x14ac:dyDescent="0.2">
      <c r="L5016" s="32"/>
      <c r="M5016" s="33"/>
      <c r="N5016" s="29"/>
      <c r="O5016" s="29"/>
      <c r="P5016" s="29"/>
      <c r="Q5016" s="34"/>
      <c r="R5016" s="35"/>
      <c r="S5016" s="36"/>
      <c r="T5016" s="36"/>
      <c r="U5016" s="36"/>
      <c r="V5016" s="37"/>
    </row>
    <row r="5017" spans="12:22" x14ac:dyDescent="0.2">
      <c r="L5017" s="32"/>
      <c r="M5017" s="33"/>
      <c r="N5017" s="29"/>
      <c r="O5017" s="29"/>
      <c r="P5017" s="29"/>
      <c r="Q5017" s="34"/>
      <c r="R5017" s="35"/>
      <c r="S5017" s="36"/>
      <c r="T5017" s="36"/>
      <c r="U5017" s="36"/>
      <c r="V5017" s="37"/>
    </row>
    <row r="5018" spans="12:22" x14ac:dyDescent="0.2">
      <c r="L5018" s="32"/>
      <c r="M5018" s="33"/>
      <c r="N5018" s="29"/>
      <c r="O5018" s="29"/>
      <c r="P5018" s="29"/>
      <c r="Q5018" s="34"/>
      <c r="R5018" s="35"/>
      <c r="S5018" s="36"/>
      <c r="T5018" s="36"/>
      <c r="U5018" s="36"/>
      <c r="V5018" s="37"/>
    </row>
    <row r="5019" spans="12:22" x14ac:dyDescent="0.2">
      <c r="M5019" s="26"/>
      <c r="N5019" s="15"/>
      <c r="O5019" s="15"/>
      <c r="P5019" s="15"/>
      <c r="Q5019" s="39"/>
      <c r="R5019" s="35"/>
      <c r="S5019" s="36"/>
      <c r="T5019" s="36"/>
      <c r="U5019" s="36"/>
      <c r="V5019" s="37"/>
    </row>
    <row r="5020" spans="12:22" x14ac:dyDescent="0.2">
      <c r="M5020" s="26"/>
      <c r="N5020" s="15"/>
      <c r="O5020" s="15"/>
      <c r="P5020" s="15"/>
      <c r="Q5020" s="39"/>
      <c r="R5020" s="35"/>
      <c r="S5020" s="36"/>
      <c r="T5020" s="36"/>
      <c r="U5020" s="36"/>
      <c r="V5020" s="37"/>
    </row>
    <row r="5021" spans="12:22" x14ac:dyDescent="0.2">
      <c r="M5021" s="40"/>
      <c r="N5021" s="15"/>
      <c r="O5021" s="15"/>
      <c r="P5021" s="15"/>
      <c r="Q5021" s="39"/>
      <c r="R5021" s="35"/>
      <c r="S5021" s="36"/>
      <c r="T5021" s="36"/>
      <c r="U5021" s="36"/>
      <c r="V5021" s="37"/>
    </row>
    <row r="5022" spans="12:22" x14ac:dyDescent="0.2">
      <c r="M5022" s="40"/>
      <c r="N5022" s="15"/>
      <c r="O5022" s="15"/>
      <c r="P5022" s="15"/>
      <c r="Q5022" s="39"/>
      <c r="R5022" s="41"/>
      <c r="S5022" s="36"/>
      <c r="T5022" s="36"/>
      <c r="U5022" s="36"/>
      <c r="V5022" s="37"/>
    </row>
    <row r="5023" spans="12:22" x14ac:dyDescent="0.2">
      <c r="M5023" s="40"/>
      <c r="N5023" s="15"/>
      <c r="O5023" s="15"/>
      <c r="P5023" s="15"/>
      <c r="Q5023" s="39"/>
      <c r="R5023" s="41"/>
      <c r="S5023" s="36"/>
      <c r="T5023" s="36"/>
      <c r="U5023" s="36"/>
      <c r="V5023" s="37"/>
    </row>
    <row r="5024" spans="12:22" x14ac:dyDescent="0.2">
      <c r="M5024" s="40"/>
      <c r="N5024" s="15"/>
      <c r="O5024" s="15"/>
      <c r="P5024" s="15"/>
      <c r="Q5024" s="39"/>
      <c r="R5024" s="41"/>
      <c r="S5024" s="36"/>
      <c r="T5024" s="36"/>
      <c r="U5024" s="36"/>
      <c r="V5024" s="37"/>
    </row>
    <row r="5025" spans="12:22" x14ac:dyDescent="0.2">
      <c r="M5025" s="40"/>
      <c r="N5025" s="15"/>
      <c r="O5025" s="15"/>
      <c r="P5025" s="15"/>
      <c r="Q5025" s="39"/>
      <c r="R5025" s="41"/>
      <c r="S5025" s="36"/>
      <c r="T5025" s="36"/>
      <c r="U5025" s="36"/>
      <c r="V5025" s="37"/>
    </row>
    <row r="5026" spans="12:22" x14ac:dyDescent="0.2">
      <c r="M5026" s="40"/>
      <c r="N5026" s="15"/>
      <c r="O5026" s="15"/>
      <c r="P5026" s="15"/>
      <c r="Q5026" s="39"/>
      <c r="R5026" s="41"/>
      <c r="S5026" s="36"/>
      <c r="T5026" s="36"/>
      <c r="U5026" s="36"/>
      <c r="V5026" s="37"/>
    </row>
    <row r="5027" spans="12:22" x14ac:dyDescent="0.2">
      <c r="M5027" s="40"/>
      <c r="N5027" s="15"/>
      <c r="O5027" s="15"/>
      <c r="P5027" s="15"/>
      <c r="Q5027" s="39"/>
      <c r="R5027" s="41"/>
      <c r="S5027" s="36"/>
      <c r="T5027" s="36"/>
      <c r="U5027" s="36"/>
      <c r="V5027" s="37"/>
    </row>
    <row r="5028" spans="12:22" x14ac:dyDescent="0.2">
      <c r="M5028" s="40"/>
      <c r="N5028" s="15"/>
      <c r="O5028" s="15"/>
      <c r="P5028" s="15"/>
      <c r="Q5028" s="39"/>
      <c r="R5028" s="41"/>
      <c r="S5028" s="36"/>
      <c r="T5028" s="36"/>
      <c r="U5028" s="36"/>
      <c r="V5028" s="37"/>
    </row>
    <row r="5029" spans="12:22" x14ac:dyDescent="0.2">
      <c r="M5029" s="40"/>
      <c r="N5029" s="15"/>
      <c r="O5029" s="15"/>
      <c r="P5029" s="15"/>
      <c r="Q5029" s="39"/>
      <c r="R5029" s="41"/>
      <c r="S5029" s="36"/>
      <c r="T5029" s="36"/>
      <c r="U5029" s="36"/>
      <c r="V5029" s="37"/>
    </row>
    <row r="5030" spans="12:22" x14ac:dyDescent="0.2">
      <c r="L5030" s="16" t="s">
        <v>227</v>
      </c>
      <c r="M5030" s="40"/>
      <c r="N5030" s="15"/>
      <c r="O5030" s="15"/>
      <c r="P5030" s="15"/>
      <c r="Q5030" s="39"/>
      <c r="R5030" s="41"/>
      <c r="S5030" s="36"/>
      <c r="T5030" s="36"/>
      <c r="U5030" s="36"/>
      <c r="V5030" s="37"/>
    </row>
    <row r="5031" spans="12:22" ht="13.5" thickBot="1" x14ac:dyDescent="0.25">
      <c r="M5031" s="42"/>
      <c r="N5031" s="43"/>
      <c r="O5031" s="43"/>
      <c r="P5031" s="43"/>
      <c r="Q5031" s="44"/>
      <c r="R5031" s="41"/>
      <c r="S5031" s="46"/>
      <c r="T5031" s="46"/>
      <c r="U5031" s="46"/>
      <c r="V5031" s="47"/>
    </row>
    <row r="5032" spans="12:22" ht="13.5" thickBot="1" x14ac:dyDescent="0.25">
      <c r="M5032" s="48"/>
      <c r="N5032" s="49"/>
      <c r="O5032" s="49"/>
      <c r="P5032" s="49"/>
      <c r="Q5032" s="50"/>
      <c r="R5032" s="45"/>
      <c r="S5032" s="52"/>
      <c r="T5032" s="52"/>
      <c r="U5032" s="52"/>
      <c r="V5032" s="53"/>
    </row>
    <row r="5033" spans="12:22" x14ac:dyDescent="0.2">
      <c r="M5033" s="54"/>
      <c r="N5033" s="29"/>
      <c r="O5033" s="29"/>
      <c r="P5033" s="29"/>
      <c r="Q5033" s="34"/>
      <c r="R5033" s="51"/>
      <c r="S5033" s="36"/>
      <c r="T5033" s="36"/>
      <c r="U5033" s="36"/>
      <c r="V5033" s="37"/>
    </row>
    <row r="5034" spans="12:22" x14ac:dyDescent="0.2">
      <c r="M5034" s="33"/>
      <c r="N5034" s="29"/>
      <c r="O5034" s="29"/>
      <c r="P5034" s="29"/>
      <c r="Q5034" s="34"/>
      <c r="R5034" s="41"/>
      <c r="S5034" s="36"/>
      <c r="T5034" s="36"/>
      <c r="U5034" s="36"/>
      <c r="V5034" s="37"/>
    </row>
    <row r="5035" spans="12:22" x14ac:dyDescent="0.2">
      <c r="M5035" s="33"/>
      <c r="N5035" s="29"/>
      <c r="O5035" s="29"/>
      <c r="P5035" s="29"/>
      <c r="Q5035" s="34"/>
      <c r="R5035" s="35"/>
      <c r="S5035" s="36"/>
      <c r="T5035" s="36"/>
      <c r="U5035" s="36"/>
      <c r="V5035" s="37"/>
    </row>
    <row r="5036" spans="12:22" x14ac:dyDescent="0.2">
      <c r="M5036" s="33"/>
      <c r="N5036" s="29"/>
      <c r="O5036" s="29"/>
      <c r="P5036" s="29"/>
      <c r="Q5036" s="34"/>
      <c r="R5036" s="35"/>
      <c r="S5036" s="36"/>
      <c r="T5036" s="36"/>
      <c r="U5036" s="36"/>
      <c r="V5036" s="37"/>
    </row>
    <row r="5037" spans="12:22" x14ac:dyDescent="0.2">
      <c r="M5037" s="33"/>
      <c r="N5037" s="29"/>
      <c r="O5037" s="29"/>
      <c r="P5037" s="29"/>
      <c r="Q5037" s="34"/>
      <c r="R5037" s="35"/>
      <c r="S5037" s="36"/>
      <c r="T5037" s="36"/>
      <c r="U5037" s="36"/>
      <c r="V5037" s="37"/>
    </row>
    <row r="5038" spans="12:22" x14ac:dyDescent="0.2">
      <c r="M5038" s="33"/>
      <c r="N5038" s="29"/>
      <c r="O5038" s="29"/>
      <c r="P5038" s="29"/>
      <c r="Q5038" s="34"/>
      <c r="R5038" s="35"/>
      <c r="S5038" s="36"/>
      <c r="T5038" s="36"/>
      <c r="U5038" s="36"/>
      <c r="V5038" s="37"/>
    </row>
    <row r="5039" spans="12:22" x14ac:dyDescent="0.2">
      <c r="M5039" s="33"/>
      <c r="N5039" s="29"/>
      <c r="O5039" s="29"/>
      <c r="P5039" s="29"/>
      <c r="Q5039" s="38"/>
      <c r="R5039" s="35"/>
      <c r="S5039" s="36"/>
      <c r="T5039" s="36"/>
      <c r="U5039" s="36"/>
      <c r="V5039" s="37"/>
    </row>
    <row r="5040" spans="12:22" x14ac:dyDescent="0.2">
      <c r="M5040" s="33"/>
      <c r="N5040" s="29"/>
      <c r="O5040" s="29"/>
      <c r="P5040" s="29"/>
      <c r="Q5040" s="34"/>
      <c r="R5040" s="35"/>
      <c r="S5040" s="36"/>
      <c r="T5040" s="36"/>
      <c r="U5040" s="36"/>
      <c r="V5040" s="37"/>
    </row>
    <row r="5041" spans="12:22" x14ac:dyDescent="0.2">
      <c r="M5041" s="33"/>
      <c r="N5041" s="29"/>
      <c r="O5041" s="29"/>
      <c r="P5041" s="29"/>
      <c r="Q5041" s="34"/>
      <c r="R5041" s="35"/>
      <c r="S5041" s="36"/>
      <c r="T5041" s="36"/>
      <c r="U5041" s="36"/>
      <c r="V5041" s="37"/>
    </row>
    <row r="5042" spans="12:22" x14ac:dyDescent="0.2">
      <c r="M5042" s="33"/>
      <c r="N5042" s="29"/>
      <c r="O5042" s="29"/>
      <c r="P5042" s="29"/>
      <c r="Q5042" s="34"/>
      <c r="R5042" s="35"/>
      <c r="S5042" s="36"/>
      <c r="T5042" s="36"/>
      <c r="U5042" s="36"/>
      <c r="V5042" s="37"/>
    </row>
    <row r="5043" spans="12:22" x14ac:dyDescent="0.2">
      <c r="M5043" s="33"/>
      <c r="N5043" s="29"/>
      <c r="O5043" s="29"/>
      <c r="P5043" s="29"/>
      <c r="Q5043" s="34"/>
      <c r="R5043" s="35"/>
      <c r="S5043" s="36"/>
      <c r="T5043" s="36"/>
      <c r="U5043" s="36"/>
      <c r="V5043" s="37"/>
    </row>
    <row r="5044" spans="12:22" x14ac:dyDescent="0.2">
      <c r="M5044" s="26"/>
      <c r="N5044" s="15"/>
      <c r="O5044" s="15"/>
      <c r="P5044" s="15"/>
      <c r="Q5044" s="39"/>
      <c r="R5044" s="35"/>
      <c r="S5044" s="36"/>
      <c r="T5044" s="36"/>
      <c r="U5044" s="36"/>
      <c r="V5044" s="37"/>
    </row>
    <row r="5045" spans="12:22" x14ac:dyDescent="0.2">
      <c r="M5045" s="26"/>
      <c r="N5045" s="15"/>
      <c r="O5045" s="15"/>
      <c r="P5045" s="15"/>
      <c r="Q5045" s="39"/>
      <c r="R5045" s="35"/>
      <c r="S5045" s="36"/>
      <c r="T5045" s="36"/>
      <c r="U5045" s="36"/>
      <c r="V5045" s="37"/>
    </row>
    <row r="5046" spans="12:22" x14ac:dyDescent="0.2">
      <c r="M5046" s="40"/>
      <c r="N5046" s="15"/>
      <c r="O5046" s="15"/>
      <c r="P5046" s="15"/>
      <c r="Q5046" s="39"/>
      <c r="R5046" s="35"/>
      <c r="S5046" s="36"/>
      <c r="T5046" s="36"/>
      <c r="U5046" s="36"/>
      <c r="V5046" s="37"/>
    </row>
    <row r="5047" spans="12:22" x14ac:dyDescent="0.2">
      <c r="M5047" s="40"/>
      <c r="N5047" s="15"/>
      <c r="O5047" s="15"/>
      <c r="P5047" s="15"/>
      <c r="Q5047" s="39"/>
      <c r="R5047" s="41"/>
      <c r="S5047" s="36"/>
      <c r="T5047" s="36"/>
      <c r="U5047" s="36"/>
      <c r="V5047" s="37"/>
    </row>
    <row r="5048" spans="12:22" x14ac:dyDescent="0.2">
      <c r="M5048" s="40"/>
      <c r="N5048" s="15"/>
      <c r="O5048" s="15"/>
      <c r="P5048" s="15"/>
      <c r="Q5048" s="39"/>
      <c r="R5048" s="41"/>
      <c r="S5048" s="36"/>
      <c r="T5048" s="36"/>
      <c r="U5048" s="36"/>
      <c r="V5048" s="37"/>
    </row>
    <row r="5049" spans="12:22" x14ac:dyDescent="0.2">
      <c r="M5049" s="40"/>
      <c r="N5049" s="15"/>
      <c r="O5049" s="15"/>
      <c r="P5049" s="15"/>
      <c r="Q5049" s="39"/>
      <c r="R5049" s="41"/>
      <c r="S5049" s="36"/>
      <c r="T5049" s="36"/>
      <c r="U5049" s="36"/>
      <c r="V5049" s="37"/>
    </row>
    <row r="5050" spans="12:22" x14ac:dyDescent="0.2">
      <c r="M5050" s="40"/>
      <c r="N5050" s="15"/>
      <c r="O5050" s="15"/>
      <c r="P5050" s="15"/>
      <c r="Q5050" s="39"/>
      <c r="R5050" s="41"/>
      <c r="S5050" s="36"/>
      <c r="T5050" s="36"/>
      <c r="U5050" s="36"/>
      <c r="V5050" s="37"/>
    </row>
    <row r="5051" spans="12:22" x14ac:dyDescent="0.2">
      <c r="M5051" s="40"/>
      <c r="N5051" s="15"/>
      <c r="O5051" s="15"/>
      <c r="P5051" s="15"/>
      <c r="Q5051" s="39"/>
      <c r="R5051" s="41"/>
      <c r="S5051" s="36"/>
      <c r="T5051" s="36"/>
      <c r="U5051" s="36"/>
      <c r="V5051" s="37"/>
    </row>
    <row r="5052" spans="12:22" x14ac:dyDescent="0.2">
      <c r="M5052" s="40"/>
      <c r="N5052" s="15"/>
      <c r="O5052" s="15"/>
      <c r="P5052" s="15"/>
      <c r="Q5052" s="39"/>
      <c r="R5052" s="41"/>
      <c r="S5052" s="36"/>
      <c r="T5052" s="36"/>
      <c r="U5052" s="36"/>
      <c r="V5052" s="37"/>
    </row>
    <row r="5053" spans="12:22" x14ac:dyDescent="0.2">
      <c r="M5053" s="40"/>
      <c r="N5053" s="15"/>
      <c r="O5053" s="15"/>
      <c r="P5053" s="15"/>
      <c r="Q5053" s="39"/>
      <c r="R5053" s="41"/>
      <c r="S5053" s="36"/>
      <c r="T5053" s="36"/>
      <c r="U5053" s="36"/>
      <c r="V5053" s="37"/>
    </row>
    <row r="5054" spans="12:22" x14ac:dyDescent="0.2">
      <c r="M5054" s="40"/>
      <c r="N5054" s="15"/>
      <c r="O5054" s="15"/>
      <c r="P5054" s="15"/>
      <c r="Q5054" s="39"/>
      <c r="R5054" s="41"/>
      <c r="S5054" s="36"/>
      <c r="T5054" s="36"/>
      <c r="U5054" s="36"/>
      <c r="V5054" s="37"/>
    </row>
    <row r="5055" spans="12:22" x14ac:dyDescent="0.2">
      <c r="L5055" s="16" t="s">
        <v>228</v>
      </c>
      <c r="M5055" s="40"/>
      <c r="N5055" s="15"/>
      <c r="O5055" s="15"/>
      <c r="P5055" s="15"/>
      <c r="Q5055" s="39"/>
      <c r="R5055" s="41"/>
      <c r="S5055" s="36"/>
      <c r="T5055" s="36"/>
      <c r="U5055" s="36"/>
      <c r="V5055" s="37"/>
    </row>
    <row r="5056" spans="12:22" ht="13.5" thickBot="1" x14ac:dyDescent="0.25">
      <c r="M5056" s="42"/>
      <c r="N5056" s="43"/>
      <c r="O5056" s="43"/>
      <c r="P5056" s="43"/>
      <c r="Q5056" s="44"/>
      <c r="R5056" s="41"/>
      <c r="S5056" s="46"/>
      <c r="T5056" s="46"/>
      <c r="U5056" s="46"/>
      <c r="V5056" s="47"/>
    </row>
    <row r="5057" spans="12:22" ht="13.5" thickBot="1" x14ac:dyDescent="0.25">
      <c r="L5057" s="32"/>
      <c r="M5057" s="48"/>
      <c r="N5057" s="49"/>
      <c r="O5057" s="49"/>
      <c r="P5057" s="49"/>
      <c r="Q5057" s="50"/>
      <c r="R5057" s="45"/>
      <c r="S5057" s="52"/>
      <c r="T5057" s="52"/>
      <c r="U5057" s="52"/>
      <c r="V5057" s="53"/>
    </row>
    <row r="5058" spans="12:22" x14ac:dyDescent="0.2">
      <c r="L5058" s="32"/>
      <c r="M5058" s="54"/>
      <c r="N5058" s="29"/>
      <c r="O5058" s="29"/>
      <c r="P5058" s="29"/>
      <c r="Q5058" s="34"/>
      <c r="R5058" s="51"/>
      <c r="S5058" s="36"/>
      <c r="T5058" s="36"/>
      <c r="U5058" s="36"/>
      <c r="V5058" s="37"/>
    </row>
    <row r="5059" spans="12:22" x14ac:dyDescent="0.2">
      <c r="L5059" s="32"/>
      <c r="M5059" s="33"/>
      <c r="N5059" s="29"/>
      <c r="O5059" s="29"/>
      <c r="P5059" s="29"/>
      <c r="Q5059" s="34"/>
      <c r="R5059" s="41"/>
      <c r="S5059" s="36"/>
      <c r="T5059" s="36"/>
      <c r="U5059" s="36"/>
      <c r="V5059" s="37"/>
    </row>
    <row r="5060" spans="12:22" x14ac:dyDescent="0.2">
      <c r="L5060" s="32"/>
      <c r="M5060" s="33"/>
      <c r="N5060" s="29"/>
      <c r="O5060" s="29"/>
      <c r="P5060" s="29"/>
      <c r="Q5060" s="34"/>
      <c r="R5060" s="35"/>
      <c r="S5060" s="36"/>
      <c r="T5060" s="36"/>
      <c r="U5060" s="36"/>
      <c r="V5060" s="37"/>
    </row>
    <row r="5061" spans="12:22" x14ac:dyDescent="0.2">
      <c r="L5061" s="32"/>
      <c r="M5061" s="33"/>
      <c r="N5061" s="29"/>
      <c r="O5061" s="29"/>
      <c r="P5061" s="29"/>
      <c r="Q5061" s="34"/>
      <c r="R5061" s="35"/>
      <c r="S5061" s="36"/>
      <c r="T5061" s="36"/>
      <c r="U5061" s="36"/>
      <c r="V5061" s="37"/>
    </row>
    <row r="5062" spans="12:22" x14ac:dyDescent="0.2">
      <c r="L5062" s="32"/>
      <c r="M5062" s="33"/>
      <c r="N5062" s="29"/>
      <c r="O5062" s="29"/>
      <c r="P5062" s="29"/>
      <c r="Q5062" s="34"/>
      <c r="R5062" s="35"/>
      <c r="S5062" s="36"/>
      <c r="T5062" s="36"/>
      <c r="U5062" s="36"/>
      <c r="V5062" s="37"/>
    </row>
    <row r="5063" spans="12:22" x14ac:dyDescent="0.2">
      <c r="L5063" s="32"/>
      <c r="M5063" s="33"/>
      <c r="N5063" s="29"/>
      <c r="O5063" s="29"/>
      <c r="P5063" s="29"/>
      <c r="Q5063" s="34"/>
      <c r="R5063" s="35"/>
      <c r="S5063" s="36"/>
      <c r="T5063" s="36"/>
      <c r="U5063" s="36"/>
      <c r="V5063" s="37"/>
    </row>
    <row r="5064" spans="12:22" x14ac:dyDescent="0.2">
      <c r="L5064" s="32"/>
      <c r="M5064" s="33"/>
      <c r="N5064" s="29"/>
      <c r="O5064" s="29"/>
      <c r="P5064" s="29"/>
      <c r="Q5064" s="38"/>
      <c r="R5064" s="35"/>
      <c r="S5064" s="36"/>
      <c r="T5064" s="36"/>
      <c r="U5064" s="36"/>
      <c r="V5064" s="37"/>
    </row>
    <row r="5065" spans="12:22" x14ac:dyDescent="0.2">
      <c r="L5065" s="32"/>
      <c r="M5065" s="33"/>
      <c r="N5065" s="29"/>
      <c r="O5065" s="29"/>
      <c r="P5065" s="29"/>
      <c r="Q5065" s="34"/>
      <c r="R5065" s="35"/>
      <c r="S5065" s="36"/>
      <c r="T5065" s="36"/>
      <c r="U5065" s="36"/>
      <c r="V5065" s="37"/>
    </row>
    <row r="5066" spans="12:22" x14ac:dyDescent="0.2">
      <c r="L5066" s="32"/>
      <c r="M5066" s="33"/>
      <c r="N5066" s="29"/>
      <c r="O5066" s="29"/>
      <c r="P5066" s="29"/>
      <c r="Q5066" s="34"/>
      <c r="R5066" s="35"/>
      <c r="S5066" s="36"/>
      <c r="T5066" s="36"/>
      <c r="U5066" s="36"/>
      <c r="V5066" s="37"/>
    </row>
    <row r="5067" spans="12:22" x14ac:dyDescent="0.2">
      <c r="L5067" s="32"/>
      <c r="M5067" s="33"/>
      <c r="N5067" s="29"/>
      <c r="O5067" s="29"/>
      <c r="P5067" s="29"/>
      <c r="Q5067" s="34"/>
      <c r="R5067" s="35"/>
      <c r="S5067" s="36"/>
      <c r="T5067" s="36"/>
      <c r="U5067" s="36"/>
      <c r="V5067" s="37"/>
    </row>
    <row r="5068" spans="12:22" x14ac:dyDescent="0.2">
      <c r="L5068" s="32"/>
      <c r="M5068" s="33"/>
      <c r="N5068" s="29"/>
      <c r="O5068" s="29"/>
      <c r="P5068" s="29"/>
      <c r="Q5068" s="34"/>
      <c r="R5068" s="35"/>
      <c r="S5068" s="36"/>
      <c r="T5068" s="36"/>
      <c r="U5068" s="36"/>
      <c r="V5068" s="37"/>
    </row>
    <row r="5069" spans="12:22" x14ac:dyDescent="0.2">
      <c r="M5069" s="26"/>
      <c r="N5069" s="15"/>
      <c r="O5069" s="15"/>
      <c r="P5069" s="15"/>
      <c r="Q5069" s="39"/>
      <c r="R5069" s="35"/>
      <c r="S5069" s="36"/>
      <c r="T5069" s="36"/>
      <c r="U5069" s="36"/>
      <c r="V5069" s="37"/>
    </row>
    <row r="5070" spans="12:22" x14ac:dyDescent="0.2">
      <c r="M5070" s="26"/>
      <c r="N5070" s="15"/>
      <c r="O5070" s="15"/>
      <c r="P5070" s="15"/>
      <c r="Q5070" s="39"/>
      <c r="R5070" s="35"/>
      <c r="S5070" s="36"/>
      <c r="T5070" s="36"/>
      <c r="U5070" s="36"/>
      <c r="V5070" s="37"/>
    </row>
    <row r="5071" spans="12:22" x14ac:dyDescent="0.2">
      <c r="M5071" s="40"/>
      <c r="N5071" s="15"/>
      <c r="O5071" s="15"/>
      <c r="P5071" s="15"/>
      <c r="Q5071" s="39"/>
      <c r="R5071" s="35"/>
      <c r="S5071" s="36"/>
      <c r="T5071" s="36"/>
      <c r="U5071" s="36"/>
      <c r="V5071" s="37"/>
    </row>
    <row r="5072" spans="12:22" x14ac:dyDescent="0.2">
      <c r="M5072" s="40"/>
      <c r="N5072" s="15"/>
      <c r="O5072" s="15"/>
      <c r="P5072" s="15"/>
      <c r="Q5072" s="39"/>
      <c r="R5072" s="41"/>
      <c r="S5072" s="36"/>
      <c r="T5072" s="36"/>
      <c r="U5072" s="36"/>
      <c r="V5072" s="37"/>
    </row>
    <row r="5073" spans="12:22" x14ac:dyDescent="0.2">
      <c r="M5073" s="40"/>
      <c r="N5073" s="15"/>
      <c r="O5073" s="15"/>
      <c r="P5073" s="15"/>
      <c r="Q5073" s="39"/>
      <c r="R5073" s="41"/>
      <c r="S5073" s="36"/>
      <c r="T5073" s="36"/>
      <c r="U5073" s="36"/>
      <c r="V5073" s="37"/>
    </row>
    <row r="5074" spans="12:22" x14ac:dyDescent="0.2">
      <c r="M5074" s="40"/>
      <c r="N5074" s="15"/>
      <c r="O5074" s="15"/>
      <c r="P5074" s="15"/>
      <c r="Q5074" s="39"/>
      <c r="R5074" s="41"/>
      <c r="S5074" s="36"/>
      <c r="T5074" s="36"/>
      <c r="U5074" s="36"/>
      <c r="V5074" s="37"/>
    </row>
    <row r="5075" spans="12:22" x14ac:dyDescent="0.2">
      <c r="M5075" s="40"/>
      <c r="N5075" s="15"/>
      <c r="O5075" s="15"/>
      <c r="P5075" s="15"/>
      <c r="Q5075" s="39"/>
      <c r="R5075" s="41"/>
      <c r="S5075" s="36"/>
      <c r="T5075" s="36"/>
      <c r="U5075" s="36"/>
      <c r="V5075" s="37"/>
    </row>
    <row r="5076" spans="12:22" x14ac:dyDescent="0.2">
      <c r="M5076" s="40"/>
      <c r="N5076" s="15"/>
      <c r="O5076" s="15"/>
      <c r="P5076" s="15"/>
      <c r="Q5076" s="39"/>
      <c r="R5076" s="41"/>
      <c r="S5076" s="36"/>
      <c r="T5076" s="36"/>
      <c r="U5076" s="36"/>
      <c r="V5076" s="37"/>
    </row>
    <row r="5077" spans="12:22" x14ac:dyDescent="0.2">
      <c r="M5077" s="40"/>
      <c r="N5077" s="15"/>
      <c r="O5077" s="15"/>
      <c r="P5077" s="15"/>
      <c r="Q5077" s="39"/>
      <c r="R5077" s="41"/>
      <c r="S5077" s="36"/>
      <c r="T5077" s="36"/>
      <c r="U5077" s="36"/>
      <c r="V5077" s="37"/>
    </row>
    <row r="5078" spans="12:22" x14ac:dyDescent="0.2">
      <c r="M5078" s="40"/>
      <c r="N5078" s="15"/>
      <c r="O5078" s="15"/>
      <c r="P5078" s="15"/>
      <c r="Q5078" s="39"/>
      <c r="R5078" s="41"/>
      <c r="S5078" s="36"/>
      <c r="T5078" s="36"/>
      <c r="U5078" s="36"/>
      <c r="V5078" s="37"/>
    </row>
    <row r="5079" spans="12:22" x14ac:dyDescent="0.2">
      <c r="M5079" s="40"/>
      <c r="N5079" s="15"/>
      <c r="O5079" s="15"/>
      <c r="P5079" s="15"/>
      <c r="Q5079" s="39"/>
      <c r="R5079" s="41"/>
      <c r="S5079" s="36"/>
      <c r="T5079" s="36"/>
      <c r="U5079" s="36"/>
      <c r="V5079" s="37"/>
    </row>
    <row r="5080" spans="12:22" x14ac:dyDescent="0.2">
      <c r="L5080" s="16" t="s">
        <v>229</v>
      </c>
      <c r="M5080" s="40"/>
      <c r="N5080" s="15"/>
      <c r="O5080" s="15"/>
      <c r="P5080" s="15"/>
      <c r="Q5080" s="39"/>
      <c r="R5080" s="41"/>
      <c r="S5080" s="36"/>
      <c r="T5080" s="36"/>
      <c r="U5080" s="36"/>
      <c r="V5080" s="37"/>
    </row>
    <row r="5081" spans="12:22" ht="13.5" thickBot="1" x14ac:dyDescent="0.25">
      <c r="M5081" s="42"/>
      <c r="N5081" s="43"/>
      <c r="O5081" s="43"/>
      <c r="P5081" s="43"/>
      <c r="Q5081" s="44"/>
      <c r="R5081" s="41"/>
      <c r="S5081" s="46"/>
      <c r="T5081" s="46"/>
      <c r="U5081" s="46"/>
      <c r="V5081" s="47"/>
    </row>
    <row r="5082" spans="12:22" ht="13.5" thickBot="1" x14ac:dyDescent="0.25">
      <c r="M5082" s="48"/>
      <c r="N5082" s="49"/>
      <c r="O5082" s="49"/>
      <c r="P5082" s="49"/>
      <c r="Q5082" s="50"/>
      <c r="R5082" s="45"/>
      <c r="S5082" s="52"/>
      <c r="T5082" s="52"/>
      <c r="U5082" s="52"/>
      <c r="V5082" s="53"/>
    </row>
    <row r="5083" spans="12:22" x14ac:dyDescent="0.2">
      <c r="M5083" s="54"/>
      <c r="N5083" s="29"/>
      <c r="O5083" s="29"/>
      <c r="P5083" s="29"/>
      <c r="Q5083" s="34"/>
      <c r="R5083" s="51"/>
      <c r="S5083" s="36"/>
      <c r="T5083" s="36"/>
      <c r="U5083" s="36"/>
      <c r="V5083" s="37"/>
    </row>
    <row r="5084" spans="12:22" x14ac:dyDescent="0.2">
      <c r="M5084" s="33"/>
      <c r="N5084" s="29"/>
      <c r="O5084" s="29"/>
      <c r="P5084" s="29"/>
      <c r="Q5084" s="34"/>
      <c r="R5084" s="41"/>
      <c r="S5084" s="36"/>
      <c r="T5084" s="36"/>
      <c r="U5084" s="36"/>
      <c r="V5084" s="37"/>
    </row>
    <row r="5085" spans="12:22" x14ac:dyDescent="0.2">
      <c r="M5085" s="33"/>
      <c r="N5085" s="29"/>
      <c r="O5085" s="29"/>
      <c r="P5085" s="29"/>
      <c r="Q5085" s="34"/>
      <c r="R5085" s="35"/>
      <c r="S5085" s="36"/>
      <c r="T5085" s="36"/>
      <c r="U5085" s="36"/>
      <c r="V5085" s="37"/>
    </row>
    <row r="5086" spans="12:22" x14ac:dyDescent="0.2">
      <c r="M5086" s="33"/>
      <c r="N5086" s="29"/>
      <c r="O5086" s="29"/>
      <c r="P5086" s="29"/>
      <c r="Q5086" s="34"/>
      <c r="R5086" s="35"/>
      <c r="S5086" s="36"/>
      <c r="T5086" s="36"/>
      <c r="U5086" s="36"/>
      <c r="V5086" s="37"/>
    </row>
    <row r="5087" spans="12:22" x14ac:dyDescent="0.2">
      <c r="M5087" s="33"/>
      <c r="N5087" s="29"/>
      <c r="O5087" s="29"/>
      <c r="P5087" s="29"/>
      <c r="Q5087" s="34"/>
      <c r="R5087" s="35"/>
      <c r="S5087" s="36"/>
      <c r="T5087" s="36"/>
      <c r="U5087" s="36"/>
      <c r="V5087" s="37"/>
    </row>
    <row r="5088" spans="12:22" x14ac:dyDescent="0.2">
      <c r="M5088" s="33"/>
      <c r="N5088" s="29"/>
      <c r="O5088" s="29"/>
      <c r="P5088" s="29"/>
      <c r="Q5088" s="34"/>
      <c r="R5088" s="35"/>
      <c r="S5088" s="36"/>
      <c r="T5088" s="36"/>
      <c r="U5088" s="36"/>
      <c r="V5088" s="37"/>
    </row>
    <row r="5089" spans="13:22" x14ac:dyDescent="0.2">
      <c r="M5089" s="33"/>
      <c r="N5089" s="29"/>
      <c r="O5089" s="29"/>
      <c r="P5089" s="29"/>
      <c r="Q5089" s="38"/>
      <c r="R5089" s="35"/>
      <c r="S5089" s="36"/>
      <c r="T5089" s="36"/>
      <c r="U5089" s="36"/>
      <c r="V5089" s="37"/>
    </row>
    <row r="5090" spans="13:22" x14ac:dyDescent="0.2">
      <c r="M5090" s="33"/>
      <c r="N5090" s="29"/>
      <c r="O5090" s="29"/>
      <c r="P5090" s="29"/>
      <c r="Q5090" s="34"/>
      <c r="R5090" s="35"/>
      <c r="S5090" s="36"/>
      <c r="T5090" s="36"/>
      <c r="U5090" s="36"/>
      <c r="V5090" s="37"/>
    </row>
    <row r="5091" spans="13:22" x14ac:dyDescent="0.2">
      <c r="M5091" s="33"/>
      <c r="N5091" s="29"/>
      <c r="O5091" s="29"/>
      <c r="P5091" s="29"/>
      <c r="Q5091" s="34"/>
      <c r="R5091" s="35"/>
      <c r="S5091" s="36"/>
      <c r="T5091" s="36"/>
      <c r="U5091" s="36"/>
      <c r="V5091" s="37"/>
    </row>
    <row r="5092" spans="13:22" x14ac:dyDescent="0.2">
      <c r="M5092" s="33"/>
      <c r="N5092" s="29"/>
      <c r="O5092" s="29"/>
      <c r="P5092" s="29"/>
      <c r="Q5092" s="34"/>
      <c r="R5092" s="35"/>
      <c r="S5092" s="36"/>
      <c r="T5092" s="36"/>
      <c r="U5092" s="36"/>
      <c r="V5092" s="37"/>
    </row>
    <row r="5093" spans="13:22" x14ac:dyDescent="0.2">
      <c r="M5093" s="33"/>
      <c r="N5093" s="29"/>
      <c r="O5093" s="29"/>
      <c r="P5093" s="29"/>
      <c r="Q5093" s="34"/>
      <c r="R5093" s="35"/>
      <c r="S5093" s="36"/>
      <c r="T5093" s="36"/>
      <c r="U5093" s="36"/>
      <c r="V5093" s="37"/>
    </row>
    <row r="5094" spans="13:22" x14ac:dyDescent="0.2">
      <c r="M5094" s="26"/>
      <c r="N5094" s="15"/>
      <c r="O5094" s="15"/>
      <c r="P5094" s="15"/>
      <c r="Q5094" s="39"/>
      <c r="R5094" s="35"/>
      <c r="S5094" s="36"/>
      <c r="T5094" s="36"/>
      <c r="U5094" s="36"/>
      <c r="V5094" s="37"/>
    </row>
    <row r="5095" spans="13:22" x14ac:dyDescent="0.2">
      <c r="M5095" s="26"/>
      <c r="N5095" s="15"/>
      <c r="O5095" s="15"/>
      <c r="P5095" s="15"/>
      <c r="Q5095" s="39"/>
      <c r="R5095" s="35"/>
      <c r="S5095" s="36"/>
      <c r="T5095" s="36"/>
      <c r="U5095" s="36"/>
      <c r="V5095" s="37"/>
    </row>
    <row r="5096" spans="13:22" x14ac:dyDescent="0.2">
      <c r="M5096" s="40"/>
      <c r="N5096" s="15"/>
      <c r="O5096" s="15"/>
      <c r="P5096" s="15"/>
      <c r="Q5096" s="39"/>
      <c r="R5096" s="35"/>
      <c r="S5096" s="36"/>
      <c r="T5096" s="36"/>
      <c r="U5096" s="36"/>
      <c r="V5096" s="37"/>
    </row>
    <row r="5097" spans="13:22" x14ac:dyDescent="0.2">
      <c r="M5097" s="40"/>
      <c r="N5097" s="15"/>
      <c r="O5097" s="15"/>
      <c r="P5097" s="15"/>
      <c r="Q5097" s="39"/>
      <c r="R5097" s="41"/>
      <c r="S5097" s="36"/>
      <c r="T5097" s="36"/>
      <c r="U5097" s="36"/>
      <c r="V5097" s="37"/>
    </row>
    <row r="5098" spans="13:22" x14ac:dyDescent="0.2">
      <c r="M5098" s="40"/>
      <c r="N5098" s="15"/>
      <c r="O5098" s="15"/>
      <c r="P5098" s="15"/>
      <c r="Q5098" s="39"/>
      <c r="R5098" s="41"/>
      <c r="S5098" s="36"/>
      <c r="T5098" s="36"/>
      <c r="U5098" s="36"/>
      <c r="V5098" s="37"/>
    </row>
    <row r="5099" spans="13:22" x14ac:dyDescent="0.2">
      <c r="M5099" s="40"/>
      <c r="N5099" s="15"/>
      <c r="O5099" s="15"/>
      <c r="P5099" s="15"/>
      <c r="Q5099" s="39"/>
      <c r="R5099" s="41"/>
      <c r="S5099" s="36"/>
      <c r="T5099" s="36"/>
      <c r="U5099" s="36"/>
      <c r="V5099" s="37"/>
    </row>
    <row r="5100" spans="13:22" x14ac:dyDescent="0.2">
      <c r="M5100" s="40"/>
      <c r="N5100" s="15"/>
      <c r="O5100" s="15"/>
      <c r="P5100" s="15"/>
      <c r="Q5100" s="39"/>
      <c r="R5100" s="41"/>
      <c r="S5100" s="36"/>
      <c r="T5100" s="36"/>
      <c r="U5100" s="36"/>
      <c r="V5100" s="37"/>
    </row>
    <row r="5101" spans="13:22" x14ac:dyDescent="0.2">
      <c r="M5101" s="40"/>
      <c r="N5101" s="15"/>
      <c r="O5101" s="15"/>
      <c r="P5101" s="15"/>
      <c r="Q5101" s="39"/>
      <c r="R5101" s="41"/>
      <c r="S5101" s="36"/>
      <c r="T5101" s="36"/>
      <c r="U5101" s="36"/>
      <c r="V5101" s="37"/>
    </row>
    <row r="5102" spans="13:22" x14ac:dyDescent="0.2">
      <c r="M5102" s="40"/>
      <c r="N5102" s="15"/>
      <c r="O5102" s="15"/>
      <c r="P5102" s="15"/>
      <c r="Q5102" s="39"/>
      <c r="R5102" s="41"/>
      <c r="S5102" s="36"/>
      <c r="T5102" s="36"/>
      <c r="U5102" s="36"/>
      <c r="V5102" s="37"/>
    </row>
    <row r="5103" spans="13:22" x14ac:dyDescent="0.2">
      <c r="M5103" s="40"/>
      <c r="N5103" s="15"/>
      <c r="O5103" s="15"/>
      <c r="P5103" s="15"/>
      <c r="Q5103" s="39"/>
      <c r="R5103" s="41"/>
      <c r="S5103" s="36"/>
      <c r="T5103" s="36"/>
      <c r="U5103" s="36"/>
      <c r="V5103" s="37"/>
    </row>
    <row r="5104" spans="13:22" x14ac:dyDescent="0.2">
      <c r="M5104" s="40"/>
      <c r="N5104" s="15"/>
      <c r="O5104" s="15"/>
      <c r="P5104" s="15"/>
      <c r="Q5104" s="39"/>
      <c r="R5104" s="41"/>
      <c r="S5104" s="36"/>
      <c r="T5104" s="36"/>
      <c r="U5104" s="36"/>
      <c r="V5104" s="37"/>
    </row>
    <row r="5105" spans="12:22" x14ac:dyDescent="0.2">
      <c r="L5105" s="16" t="s">
        <v>230</v>
      </c>
      <c r="M5105" s="40"/>
      <c r="N5105" s="15"/>
      <c r="O5105" s="15"/>
      <c r="P5105" s="15"/>
      <c r="Q5105" s="39"/>
      <c r="R5105" s="41"/>
      <c r="S5105" s="36"/>
      <c r="T5105" s="36"/>
      <c r="U5105" s="36"/>
      <c r="V5105" s="37"/>
    </row>
    <row r="5106" spans="12:22" ht="13.5" thickBot="1" x14ac:dyDescent="0.25">
      <c r="M5106" s="42"/>
      <c r="N5106" s="43"/>
      <c r="O5106" s="43"/>
      <c r="P5106" s="43"/>
      <c r="Q5106" s="44"/>
      <c r="R5106" s="41"/>
      <c r="S5106" s="46"/>
      <c r="T5106" s="46"/>
      <c r="U5106" s="46"/>
      <c r="V5106" s="47"/>
    </row>
    <row r="5107" spans="12:22" ht="13.5" thickBot="1" x14ac:dyDescent="0.25">
      <c r="L5107" s="32"/>
      <c r="M5107" s="48"/>
      <c r="N5107" s="49"/>
      <c r="O5107" s="49"/>
      <c r="P5107" s="49"/>
      <c r="Q5107" s="50"/>
      <c r="R5107" s="45"/>
      <c r="S5107" s="52"/>
      <c r="T5107" s="52"/>
      <c r="U5107" s="52"/>
      <c r="V5107" s="53"/>
    </row>
    <row r="5108" spans="12:22" x14ac:dyDescent="0.2">
      <c r="L5108" s="32"/>
      <c r="M5108" s="54"/>
      <c r="N5108" s="29"/>
      <c r="O5108" s="29"/>
      <c r="P5108" s="29"/>
      <c r="Q5108" s="34"/>
      <c r="R5108" s="51"/>
      <c r="S5108" s="36"/>
      <c r="T5108" s="36"/>
      <c r="U5108" s="36"/>
      <c r="V5108" s="37"/>
    </row>
    <row r="5109" spans="12:22" x14ac:dyDescent="0.2">
      <c r="L5109" s="32"/>
      <c r="M5109" s="33"/>
      <c r="N5109" s="29"/>
      <c r="O5109" s="29"/>
      <c r="P5109" s="29"/>
      <c r="Q5109" s="34"/>
      <c r="R5109" s="41"/>
      <c r="S5109" s="36"/>
      <c r="T5109" s="36"/>
      <c r="U5109" s="36"/>
      <c r="V5109" s="37"/>
    </row>
    <row r="5110" spans="12:22" x14ac:dyDescent="0.2">
      <c r="L5110" s="32"/>
      <c r="M5110" s="33"/>
      <c r="N5110" s="29"/>
      <c r="O5110" s="29"/>
      <c r="P5110" s="29"/>
      <c r="Q5110" s="34"/>
      <c r="R5110" s="35"/>
      <c r="S5110" s="36"/>
      <c r="T5110" s="36"/>
      <c r="U5110" s="36"/>
      <c r="V5110" s="37"/>
    </row>
    <row r="5111" spans="12:22" x14ac:dyDescent="0.2">
      <c r="L5111" s="32"/>
      <c r="M5111" s="33"/>
      <c r="N5111" s="29"/>
      <c r="O5111" s="29"/>
      <c r="P5111" s="29"/>
      <c r="Q5111" s="34"/>
      <c r="R5111" s="35"/>
      <c r="S5111" s="36"/>
      <c r="T5111" s="36"/>
      <c r="U5111" s="36"/>
      <c r="V5111" s="37"/>
    </row>
    <row r="5112" spans="12:22" x14ac:dyDescent="0.2">
      <c r="L5112" s="32"/>
      <c r="M5112" s="33"/>
      <c r="N5112" s="29"/>
      <c r="O5112" s="29"/>
      <c r="P5112" s="29"/>
      <c r="Q5112" s="34"/>
      <c r="R5112" s="35"/>
      <c r="S5112" s="36"/>
      <c r="T5112" s="36"/>
      <c r="U5112" s="36"/>
      <c r="V5112" s="37"/>
    </row>
    <row r="5113" spans="12:22" x14ac:dyDescent="0.2">
      <c r="L5113" s="32"/>
      <c r="M5113" s="33"/>
      <c r="N5113" s="29"/>
      <c r="O5113" s="29"/>
      <c r="P5113" s="29"/>
      <c r="Q5113" s="34"/>
      <c r="R5113" s="35"/>
      <c r="S5113" s="36"/>
      <c r="T5113" s="36"/>
      <c r="U5113" s="36"/>
      <c r="V5113" s="37"/>
    </row>
    <row r="5114" spans="12:22" x14ac:dyDescent="0.2">
      <c r="L5114" s="32"/>
      <c r="M5114" s="33"/>
      <c r="N5114" s="29"/>
      <c r="O5114" s="29"/>
      <c r="P5114" s="29"/>
      <c r="Q5114" s="38"/>
      <c r="R5114" s="35"/>
      <c r="S5114" s="36"/>
      <c r="T5114" s="36"/>
      <c r="U5114" s="36"/>
      <c r="V5114" s="37"/>
    </row>
    <row r="5115" spans="12:22" x14ac:dyDescent="0.2">
      <c r="L5115" s="32"/>
      <c r="M5115" s="33"/>
      <c r="N5115" s="29"/>
      <c r="O5115" s="29"/>
      <c r="P5115" s="29"/>
      <c r="Q5115" s="34"/>
      <c r="R5115" s="35"/>
      <c r="S5115" s="36"/>
      <c r="T5115" s="36"/>
      <c r="U5115" s="36"/>
      <c r="V5115" s="37"/>
    </row>
    <row r="5116" spans="12:22" x14ac:dyDescent="0.2">
      <c r="L5116" s="32"/>
      <c r="M5116" s="33"/>
      <c r="N5116" s="29"/>
      <c r="O5116" s="29"/>
      <c r="P5116" s="29"/>
      <c r="Q5116" s="34"/>
      <c r="R5116" s="35"/>
      <c r="S5116" s="36"/>
      <c r="T5116" s="36"/>
      <c r="U5116" s="36"/>
      <c r="V5116" s="37"/>
    </row>
    <row r="5117" spans="12:22" x14ac:dyDescent="0.2">
      <c r="L5117" s="32"/>
      <c r="M5117" s="33"/>
      <c r="N5117" s="29"/>
      <c r="O5117" s="29"/>
      <c r="P5117" s="29"/>
      <c r="Q5117" s="34"/>
      <c r="R5117" s="35"/>
      <c r="S5117" s="36"/>
      <c r="T5117" s="36"/>
      <c r="U5117" s="36"/>
      <c r="V5117" s="37"/>
    </row>
    <row r="5118" spans="12:22" x14ac:dyDescent="0.2">
      <c r="L5118" s="32"/>
      <c r="M5118" s="33"/>
      <c r="N5118" s="29"/>
      <c r="O5118" s="29"/>
      <c r="P5118" s="29"/>
      <c r="Q5118" s="34"/>
      <c r="R5118" s="35"/>
      <c r="S5118" s="36"/>
      <c r="T5118" s="36"/>
      <c r="U5118" s="36"/>
      <c r="V5118" s="37"/>
    </row>
    <row r="5119" spans="12:22" x14ac:dyDescent="0.2">
      <c r="M5119" s="26"/>
      <c r="N5119" s="15"/>
      <c r="O5119" s="15"/>
      <c r="P5119" s="15"/>
      <c r="Q5119" s="39"/>
      <c r="R5119" s="35"/>
      <c r="S5119" s="36"/>
      <c r="T5119" s="36"/>
      <c r="U5119" s="36"/>
      <c r="V5119" s="37"/>
    </row>
    <row r="5120" spans="12:22" x14ac:dyDescent="0.2">
      <c r="M5120" s="26"/>
      <c r="N5120" s="15"/>
      <c r="O5120" s="15"/>
      <c r="P5120" s="15"/>
      <c r="Q5120" s="39"/>
      <c r="R5120" s="35"/>
      <c r="S5120" s="36"/>
      <c r="T5120" s="36"/>
      <c r="U5120" s="36"/>
      <c r="V5120" s="37"/>
    </row>
    <row r="5121" spans="12:22" x14ac:dyDescent="0.2">
      <c r="M5121" s="40"/>
      <c r="N5121" s="15"/>
      <c r="O5121" s="15"/>
      <c r="P5121" s="15"/>
      <c r="Q5121" s="39"/>
      <c r="R5121" s="35"/>
      <c r="S5121" s="36"/>
      <c r="T5121" s="36"/>
      <c r="U5121" s="36"/>
      <c r="V5121" s="37"/>
    </row>
    <row r="5122" spans="12:22" x14ac:dyDescent="0.2">
      <c r="M5122" s="40"/>
      <c r="N5122" s="15"/>
      <c r="O5122" s="15"/>
      <c r="P5122" s="15"/>
      <c r="Q5122" s="39"/>
      <c r="R5122" s="41"/>
      <c r="S5122" s="36"/>
      <c r="T5122" s="36"/>
      <c r="U5122" s="36"/>
      <c r="V5122" s="37"/>
    </row>
    <row r="5123" spans="12:22" x14ac:dyDescent="0.2">
      <c r="M5123" s="40"/>
      <c r="N5123" s="15"/>
      <c r="O5123" s="15"/>
      <c r="P5123" s="15"/>
      <c r="Q5123" s="39"/>
      <c r="R5123" s="41"/>
      <c r="S5123" s="36"/>
      <c r="T5123" s="36"/>
      <c r="U5123" s="36"/>
      <c r="V5123" s="37"/>
    </row>
    <row r="5124" spans="12:22" x14ac:dyDescent="0.2">
      <c r="M5124" s="40"/>
      <c r="N5124" s="15"/>
      <c r="O5124" s="15"/>
      <c r="P5124" s="15"/>
      <c r="Q5124" s="39"/>
      <c r="R5124" s="41"/>
      <c r="S5124" s="36"/>
      <c r="T5124" s="36"/>
      <c r="U5124" s="36"/>
      <c r="V5124" s="37"/>
    </row>
    <row r="5125" spans="12:22" x14ac:dyDescent="0.2">
      <c r="M5125" s="40"/>
      <c r="N5125" s="15"/>
      <c r="O5125" s="15"/>
      <c r="P5125" s="15"/>
      <c r="Q5125" s="39"/>
      <c r="R5125" s="41"/>
      <c r="S5125" s="36"/>
      <c r="T5125" s="36"/>
      <c r="U5125" s="36"/>
      <c r="V5125" s="37"/>
    </row>
    <row r="5126" spans="12:22" x14ac:dyDescent="0.2">
      <c r="M5126" s="40"/>
      <c r="N5126" s="15"/>
      <c r="O5126" s="15"/>
      <c r="P5126" s="15"/>
      <c r="Q5126" s="39"/>
      <c r="R5126" s="41"/>
      <c r="S5126" s="36"/>
      <c r="T5126" s="36"/>
      <c r="U5126" s="36"/>
      <c r="V5126" s="37"/>
    </row>
    <row r="5127" spans="12:22" x14ac:dyDescent="0.2">
      <c r="M5127" s="40"/>
      <c r="N5127" s="15"/>
      <c r="O5127" s="15"/>
      <c r="P5127" s="15"/>
      <c r="Q5127" s="39"/>
      <c r="R5127" s="41"/>
      <c r="S5127" s="36"/>
      <c r="T5127" s="36"/>
      <c r="U5127" s="36"/>
      <c r="V5127" s="37"/>
    </row>
    <row r="5128" spans="12:22" x14ac:dyDescent="0.2">
      <c r="M5128" s="40"/>
      <c r="N5128" s="15"/>
      <c r="O5128" s="15"/>
      <c r="P5128" s="15"/>
      <c r="Q5128" s="39"/>
      <c r="R5128" s="41"/>
      <c r="S5128" s="36"/>
      <c r="T5128" s="36"/>
      <c r="U5128" s="36"/>
      <c r="V5128" s="37"/>
    </row>
    <row r="5129" spans="12:22" x14ac:dyDescent="0.2">
      <c r="M5129" s="40"/>
      <c r="N5129" s="15"/>
      <c r="O5129" s="15"/>
      <c r="P5129" s="15"/>
      <c r="Q5129" s="39"/>
      <c r="R5129" s="41"/>
      <c r="S5129" s="36"/>
      <c r="T5129" s="36"/>
      <c r="U5129" s="36"/>
      <c r="V5129" s="37"/>
    </row>
    <row r="5130" spans="12:22" x14ac:dyDescent="0.2">
      <c r="L5130" s="16" t="s">
        <v>231</v>
      </c>
      <c r="M5130" s="40"/>
      <c r="N5130" s="15"/>
      <c r="O5130" s="15"/>
      <c r="P5130" s="15"/>
      <c r="Q5130" s="39"/>
      <c r="R5130" s="41"/>
      <c r="S5130" s="36"/>
      <c r="T5130" s="36"/>
      <c r="U5130" s="36"/>
      <c r="V5130" s="37"/>
    </row>
    <row r="5131" spans="12:22" ht="13.5" thickBot="1" x14ac:dyDescent="0.25">
      <c r="M5131" s="42"/>
      <c r="N5131" s="43"/>
      <c r="O5131" s="43"/>
      <c r="P5131" s="43"/>
      <c r="Q5131" s="44"/>
      <c r="R5131" s="41"/>
      <c r="S5131" s="46"/>
      <c r="T5131" s="46"/>
      <c r="U5131" s="46"/>
      <c r="V5131" s="47"/>
    </row>
    <row r="5132" spans="12:22" ht="13.5" thickBot="1" x14ac:dyDescent="0.25">
      <c r="M5132" s="48"/>
      <c r="N5132" s="49"/>
      <c r="O5132" s="49"/>
      <c r="P5132" s="49"/>
      <c r="Q5132" s="50"/>
      <c r="R5132" s="45"/>
      <c r="S5132" s="52"/>
      <c r="T5132" s="52"/>
      <c r="U5132" s="52"/>
      <c r="V5132" s="53"/>
    </row>
    <row r="5133" spans="12:22" x14ac:dyDescent="0.2">
      <c r="M5133" s="54"/>
      <c r="N5133" s="29"/>
      <c r="O5133" s="29"/>
      <c r="P5133" s="29"/>
      <c r="Q5133" s="34"/>
      <c r="R5133" s="51"/>
      <c r="S5133" s="36"/>
      <c r="T5133" s="36"/>
      <c r="U5133" s="36"/>
      <c r="V5133" s="37"/>
    </row>
    <row r="5134" spans="12:22" x14ac:dyDescent="0.2">
      <c r="M5134" s="33"/>
      <c r="N5134" s="29"/>
      <c r="O5134" s="29"/>
      <c r="P5134" s="29"/>
      <c r="Q5134" s="34"/>
      <c r="R5134" s="41"/>
      <c r="S5134" s="36"/>
      <c r="T5134" s="36"/>
      <c r="U5134" s="36"/>
      <c r="V5134" s="37"/>
    </row>
    <row r="5135" spans="12:22" x14ac:dyDescent="0.2">
      <c r="M5135" s="33"/>
      <c r="N5135" s="29"/>
      <c r="O5135" s="29"/>
      <c r="P5135" s="29"/>
      <c r="Q5135" s="34"/>
      <c r="R5135" s="35"/>
      <c r="S5135" s="36"/>
      <c r="T5135" s="36"/>
      <c r="U5135" s="36"/>
      <c r="V5135" s="37"/>
    </row>
    <row r="5136" spans="12:22" x14ac:dyDescent="0.2">
      <c r="M5136" s="33"/>
      <c r="N5136" s="29"/>
      <c r="O5136" s="29"/>
      <c r="P5136" s="29"/>
      <c r="Q5136" s="34"/>
      <c r="R5136" s="35"/>
      <c r="S5136" s="36"/>
      <c r="T5136" s="36"/>
      <c r="U5136" s="36"/>
      <c r="V5136" s="37"/>
    </row>
    <row r="5137" spans="13:22" x14ac:dyDescent="0.2">
      <c r="M5137" s="33"/>
      <c r="N5137" s="29"/>
      <c r="O5137" s="29"/>
      <c r="P5137" s="29"/>
      <c r="Q5137" s="34"/>
      <c r="R5137" s="35"/>
      <c r="S5137" s="36"/>
      <c r="T5137" s="36"/>
      <c r="U5137" s="36"/>
      <c r="V5137" s="37"/>
    </row>
    <row r="5138" spans="13:22" x14ac:dyDescent="0.2">
      <c r="M5138" s="33"/>
      <c r="N5138" s="29"/>
      <c r="O5138" s="29"/>
      <c r="P5138" s="29"/>
      <c r="Q5138" s="34"/>
      <c r="R5138" s="35"/>
      <c r="S5138" s="36"/>
      <c r="T5138" s="36"/>
      <c r="U5138" s="36"/>
      <c r="V5138" s="37"/>
    </row>
    <row r="5139" spans="13:22" x14ac:dyDescent="0.2">
      <c r="M5139" s="33"/>
      <c r="N5139" s="29"/>
      <c r="O5139" s="29"/>
      <c r="P5139" s="29"/>
      <c r="Q5139" s="38"/>
      <c r="R5139" s="35"/>
      <c r="S5139" s="36"/>
      <c r="T5139" s="36"/>
      <c r="U5139" s="36"/>
      <c r="V5139" s="37"/>
    </row>
    <row r="5140" spans="13:22" x14ac:dyDescent="0.2">
      <c r="M5140" s="33"/>
      <c r="N5140" s="29"/>
      <c r="O5140" s="29"/>
      <c r="P5140" s="29"/>
      <c r="Q5140" s="34"/>
      <c r="R5140" s="35"/>
      <c r="S5140" s="36"/>
      <c r="T5140" s="36"/>
      <c r="U5140" s="36"/>
      <c r="V5140" s="37"/>
    </row>
    <row r="5141" spans="13:22" x14ac:dyDescent="0.2">
      <c r="M5141" s="33"/>
      <c r="N5141" s="29"/>
      <c r="O5141" s="29"/>
      <c r="P5141" s="29"/>
      <c r="Q5141" s="34"/>
      <c r="R5141" s="35"/>
      <c r="S5141" s="36"/>
      <c r="T5141" s="36"/>
      <c r="U5141" s="36"/>
      <c r="V5141" s="37"/>
    </row>
    <row r="5142" spans="13:22" x14ac:dyDescent="0.2">
      <c r="M5142" s="33"/>
      <c r="N5142" s="29"/>
      <c r="O5142" s="29"/>
      <c r="P5142" s="29"/>
      <c r="Q5142" s="34"/>
      <c r="R5142" s="35"/>
      <c r="S5142" s="36"/>
      <c r="T5142" s="36"/>
      <c r="U5142" s="36"/>
      <c r="V5142" s="37"/>
    </row>
    <row r="5143" spans="13:22" x14ac:dyDescent="0.2">
      <c r="M5143" s="33"/>
      <c r="N5143" s="29"/>
      <c r="O5143" s="29"/>
      <c r="P5143" s="29"/>
      <c r="Q5143" s="34"/>
      <c r="R5143" s="35"/>
      <c r="S5143" s="36"/>
      <c r="T5143" s="36"/>
      <c r="U5143" s="36"/>
      <c r="V5143" s="37"/>
    </row>
    <row r="5144" spans="13:22" x14ac:dyDescent="0.2">
      <c r="M5144" s="26"/>
      <c r="N5144" s="15"/>
      <c r="O5144" s="15"/>
      <c r="P5144" s="15"/>
      <c r="Q5144" s="39"/>
      <c r="R5144" s="35"/>
      <c r="S5144" s="36"/>
      <c r="T5144" s="36"/>
      <c r="U5144" s="36"/>
      <c r="V5144" s="37"/>
    </row>
    <row r="5145" spans="13:22" x14ac:dyDescent="0.2">
      <c r="M5145" s="26"/>
      <c r="N5145" s="15"/>
      <c r="O5145" s="15"/>
      <c r="P5145" s="15"/>
      <c r="Q5145" s="39"/>
      <c r="R5145" s="35"/>
      <c r="S5145" s="36"/>
      <c r="T5145" s="36"/>
      <c r="U5145" s="36"/>
      <c r="V5145" s="37"/>
    </row>
    <row r="5146" spans="13:22" x14ac:dyDescent="0.2">
      <c r="M5146" s="40"/>
      <c r="N5146" s="15"/>
      <c r="O5146" s="15"/>
      <c r="P5146" s="15"/>
      <c r="Q5146" s="39"/>
      <c r="R5146" s="35"/>
      <c r="S5146" s="36"/>
      <c r="T5146" s="36"/>
      <c r="U5146" s="36"/>
      <c r="V5146" s="37"/>
    </row>
    <row r="5147" spans="13:22" x14ac:dyDescent="0.2">
      <c r="M5147" s="40"/>
      <c r="N5147" s="15"/>
      <c r="O5147" s="15"/>
      <c r="P5147" s="15"/>
      <c r="Q5147" s="39"/>
      <c r="R5147" s="41"/>
      <c r="S5147" s="36"/>
      <c r="T5147" s="36"/>
      <c r="U5147" s="36"/>
      <c r="V5147" s="37"/>
    </row>
    <row r="5148" spans="13:22" x14ac:dyDescent="0.2">
      <c r="M5148" s="40"/>
      <c r="N5148" s="15"/>
      <c r="O5148" s="15"/>
      <c r="P5148" s="15"/>
      <c r="Q5148" s="39"/>
      <c r="R5148" s="41"/>
      <c r="S5148" s="36"/>
      <c r="T5148" s="36"/>
      <c r="U5148" s="36"/>
      <c r="V5148" s="37"/>
    </row>
    <row r="5149" spans="13:22" x14ac:dyDescent="0.2">
      <c r="M5149" s="40"/>
      <c r="N5149" s="15"/>
      <c r="O5149" s="15"/>
      <c r="P5149" s="15"/>
      <c r="Q5149" s="39"/>
      <c r="R5149" s="41"/>
      <c r="S5149" s="36"/>
      <c r="T5149" s="36"/>
      <c r="U5149" s="36"/>
      <c r="V5149" s="37"/>
    </row>
    <row r="5150" spans="13:22" x14ac:dyDescent="0.2">
      <c r="M5150" s="40"/>
      <c r="N5150" s="15"/>
      <c r="O5150" s="15"/>
      <c r="P5150" s="15"/>
      <c r="Q5150" s="39"/>
      <c r="R5150" s="41"/>
      <c r="S5150" s="36"/>
      <c r="T5150" s="36"/>
      <c r="U5150" s="36"/>
      <c r="V5150" s="37"/>
    </row>
    <row r="5151" spans="13:22" x14ac:dyDescent="0.2">
      <c r="M5151" s="40"/>
      <c r="N5151" s="15"/>
      <c r="O5151" s="15"/>
      <c r="P5151" s="15"/>
      <c r="Q5151" s="39"/>
      <c r="R5151" s="41"/>
      <c r="S5151" s="36"/>
      <c r="T5151" s="36"/>
      <c r="U5151" s="36"/>
      <c r="V5151" s="37"/>
    </row>
    <row r="5152" spans="13:22" x14ac:dyDescent="0.2">
      <c r="M5152" s="40"/>
      <c r="N5152" s="15"/>
      <c r="O5152" s="15"/>
      <c r="P5152" s="15"/>
      <c r="Q5152" s="39"/>
      <c r="R5152" s="41"/>
      <c r="S5152" s="36"/>
      <c r="T5152" s="36"/>
      <c r="U5152" s="36"/>
      <c r="V5152" s="37"/>
    </row>
    <row r="5153" spans="12:22" x14ac:dyDescent="0.2">
      <c r="M5153" s="40"/>
      <c r="N5153" s="15"/>
      <c r="O5153" s="15"/>
      <c r="P5153" s="15"/>
      <c r="Q5153" s="39"/>
      <c r="R5153" s="41"/>
      <c r="S5153" s="36"/>
      <c r="T5153" s="36"/>
      <c r="U5153" s="36"/>
      <c r="V5153" s="37"/>
    </row>
    <row r="5154" spans="12:22" x14ac:dyDescent="0.2">
      <c r="M5154" s="40"/>
      <c r="N5154" s="15"/>
      <c r="O5154" s="15"/>
      <c r="P5154" s="15"/>
      <c r="Q5154" s="39"/>
      <c r="R5154" s="41"/>
      <c r="S5154" s="36"/>
      <c r="T5154" s="36"/>
      <c r="U5154" s="36"/>
      <c r="V5154" s="37"/>
    </row>
    <row r="5155" spans="12:22" x14ac:dyDescent="0.2">
      <c r="L5155" s="16" t="s">
        <v>232</v>
      </c>
      <c r="M5155" s="40"/>
      <c r="N5155" s="15"/>
      <c r="O5155" s="15"/>
      <c r="P5155" s="15"/>
      <c r="Q5155" s="39"/>
      <c r="R5155" s="41"/>
      <c r="S5155" s="36"/>
      <c r="T5155" s="36"/>
      <c r="U5155" s="36"/>
      <c r="V5155" s="37"/>
    </row>
    <row r="5156" spans="12:22" ht="13.5" thickBot="1" x14ac:dyDescent="0.25">
      <c r="M5156" s="42"/>
      <c r="N5156" s="43"/>
      <c r="O5156" s="43"/>
      <c r="P5156" s="43"/>
      <c r="Q5156" s="44"/>
      <c r="R5156" s="41"/>
      <c r="S5156" s="46"/>
      <c r="T5156" s="46"/>
      <c r="U5156" s="46"/>
      <c r="V5156" s="47"/>
    </row>
    <row r="5157" spans="12:22" ht="13.5" thickBot="1" x14ac:dyDescent="0.25">
      <c r="L5157" s="32"/>
      <c r="M5157" s="48"/>
      <c r="N5157" s="49"/>
      <c r="O5157" s="49"/>
      <c r="P5157" s="49"/>
      <c r="Q5157" s="50"/>
      <c r="R5157" s="45"/>
      <c r="S5157" s="52"/>
      <c r="T5157" s="52"/>
      <c r="U5157" s="52"/>
      <c r="V5157" s="53"/>
    </row>
    <row r="5158" spans="12:22" x14ac:dyDescent="0.2">
      <c r="L5158" s="32"/>
      <c r="M5158" s="54"/>
      <c r="N5158" s="29"/>
      <c r="O5158" s="29"/>
      <c r="P5158" s="29"/>
      <c r="Q5158" s="34"/>
      <c r="R5158" s="51"/>
      <c r="S5158" s="36"/>
      <c r="T5158" s="36"/>
      <c r="U5158" s="36"/>
      <c r="V5158" s="37"/>
    </row>
    <row r="5159" spans="12:22" x14ac:dyDescent="0.2">
      <c r="L5159" s="32"/>
      <c r="M5159" s="33"/>
      <c r="N5159" s="29"/>
      <c r="O5159" s="29"/>
      <c r="P5159" s="29"/>
      <c r="Q5159" s="34"/>
      <c r="R5159" s="41"/>
      <c r="S5159" s="36"/>
      <c r="T5159" s="36"/>
      <c r="U5159" s="36"/>
      <c r="V5159" s="37"/>
    </row>
    <row r="5160" spans="12:22" x14ac:dyDescent="0.2">
      <c r="L5160" s="32"/>
      <c r="M5160" s="33"/>
      <c r="N5160" s="29"/>
      <c r="O5160" s="29"/>
      <c r="P5160" s="29"/>
      <c r="Q5160" s="34"/>
      <c r="R5160" s="35"/>
      <c r="S5160" s="36"/>
      <c r="T5160" s="36"/>
      <c r="U5160" s="36"/>
      <c r="V5160" s="37"/>
    </row>
    <row r="5161" spans="12:22" x14ac:dyDescent="0.2">
      <c r="L5161" s="32"/>
      <c r="M5161" s="33"/>
      <c r="N5161" s="29"/>
      <c r="O5161" s="29"/>
      <c r="P5161" s="29"/>
      <c r="Q5161" s="34"/>
      <c r="R5161" s="35"/>
      <c r="S5161" s="36"/>
      <c r="T5161" s="36"/>
      <c r="U5161" s="36"/>
      <c r="V5161" s="37"/>
    </row>
    <row r="5162" spans="12:22" x14ac:dyDescent="0.2">
      <c r="L5162" s="32"/>
      <c r="M5162" s="33"/>
      <c r="N5162" s="29"/>
      <c r="O5162" s="29"/>
      <c r="P5162" s="29"/>
      <c r="Q5162" s="34"/>
      <c r="R5162" s="35"/>
      <c r="S5162" s="36"/>
      <c r="T5162" s="36"/>
      <c r="U5162" s="36"/>
      <c r="V5162" s="37"/>
    </row>
    <row r="5163" spans="12:22" x14ac:dyDescent="0.2">
      <c r="L5163" s="32"/>
      <c r="M5163" s="33"/>
      <c r="N5163" s="29"/>
      <c r="O5163" s="29"/>
      <c r="P5163" s="29"/>
      <c r="Q5163" s="34"/>
      <c r="R5163" s="35"/>
      <c r="S5163" s="36"/>
      <c r="T5163" s="36"/>
      <c r="U5163" s="36"/>
      <c r="V5163" s="37"/>
    </row>
    <row r="5164" spans="12:22" x14ac:dyDescent="0.2">
      <c r="L5164" s="32"/>
      <c r="M5164" s="33"/>
      <c r="N5164" s="29"/>
      <c r="O5164" s="29"/>
      <c r="P5164" s="29"/>
      <c r="Q5164" s="38"/>
      <c r="R5164" s="35"/>
      <c r="S5164" s="36"/>
      <c r="T5164" s="36"/>
      <c r="U5164" s="36"/>
      <c r="V5164" s="37"/>
    </row>
    <row r="5165" spans="12:22" x14ac:dyDescent="0.2">
      <c r="L5165" s="32"/>
      <c r="M5165" s="33"/>
      <c r="N5165" s="29"/>
      <c r="O5165" s="29"/>
      <c r="P5165" s="29"/>
      <c r="Q5165" s="34"/>
      <c r="R5165" s="35"/>
      <c r="S5165" s="36"/>
      <c r="T5165" s="36"/>
      <c r="U5165" s="36"/>
      <c r="V5165" s="37"/>
    </row>
    <row r="5166" spans="12:22" x14ac:dyDescent="0.2">
      <c r="L5166" s="32"/>
      <c r="M5166" s="33"/>
      <c r="N5166" s="29"/>
      <c r="O5166" s="29"/>
      <c r="P5166" s="29"/>
      <c r="Q5166" s="34"/>
      <c r="R5166" s="35"/>
      <c r="S5166" s="36"/>
      <c r="T5166" s="36"/>
      <c r="U5166" s="36"/>
      <c r="V5166" s="37"/>
    </row>
    <row r="5167" spans="12:22" x14ac:dyDescent="0.2">
      <c r="L5167" s="32"/>
      <c r="M5167" s="33"/>
      <c r="N5167" s="29"/>
      <c r="O5167" s="29"/>
      <c r="P5167" s="29"/>
      <c r="Q5167" s="34"/>
      <c r="R5167" s="35"/>
      <c r="S5167" s="36"/>
      <c r="T5167" s="36"/>
      <c r="U5167" s="36"/>
      <c r="V5167" s="37"/>
    </row>
    <row r="5168" spans="12:22" x14ac:dyDescent="0.2">
      <c r="L5168" s="32"/>
      <c r="M5168" s="33"/>
      <c r="N5168" s="29"/>
      <c r="O5168" s="29"/>
      <c r="P5168" s="29"/>
      <c r="Q5168" s="34"/>
      <c r="R5168" s="35"/>
      <c r="S5168" s="36"/>
      <c r="T5168" s="36"/>
      <c r="U5168" s="36"/>
      <c r="V5168" s="37"/>
    </row>
    <row r="5169" spans="12:22" x14ac:dyDescent="0.2">
      <c r="M5169" s="26"/>
      <c r="N5169" s="15"/>
      <c r="O5169" s="15"/>
      <c r="P5169" s="15"/>
      <c r="Q5169" s="39"/>
      <c r="R5169" s="35"/>
      <c r="S5169" s="36"/>
      <c r="T5169" s="36"/>
      <c r="U5169" s="36"/>
      <c r="V5169" s="37"/>
    </row>
    <row r="5170" spans="12:22" x14ac:dyDescent="0.2">
      <c r="M5170" s="26"/>
      <c r="N5170" s="15"/>
      <c r="O5170" s="15"/>
      <c r="P5170" s="15"/>
      <c r="Q5170" s="39"/>
      <c r="R5170" s="35"/>
      <c r="S5170" s="36"/>
      <c r="T5170" s="36"/>
      <c r="U5170" s="36"/>
      <c r="V5170" s="37"/>
    </row>
    <row r="5171" spans="12:22" x14ac:dyDescent="0.2">
      <c r="M5171" s="40"/>
      <c r="N5171" s="15"/>
      <c r="O5171" s="15"/>
      <c r="P5171" s="15"/>
      <c r="Q5171" s="39"/>
      <c r="R5171" s="35"/>
      <c r="S5171" s="36"/>
      <c r="T5171" s="36"/>
      <c r="U5171" s="36"/>
      <c r="V5171" s="37"/>
    </row>
    <row r="5172" spans="12:22" x14ac:dyDescent="0.2">
      <c r="M5172" s="40"/>
      <c r="N5172" s="15"/>
      <c r="O5172" s="15"/>
      <c r="P5172" s="15"/>
      <c r="Q5172" s="39"/>
      <c r="R5172" s="41"/>
      <c r="S5172" s="36"/>
      <c r="T5172" s="36"/>
      <c r="U5172" s="36"/>
      <c r="V5172" s="37"/>
    </row>
    <row r="5173" spans="12:22" x14ac:dyDescent="0.2">
      <c r="M5173" s="40"/>
      <c r="N5173" s="15"/>
      <c r="O5173" s="15"/>
      <c r="P5173" s="15"/>
      <c r="Q5173" s="39"/>
      <c r="R5173" s="41"/>
      <c r="S5173" s="36"/>
      <c r="T5173" s="36"/>
      <c r="U5173" s="36"/>
      <c r="V5173" s="37"/>
    </row>
    <row r="5174" spans="12:22" x14ac:dyDescent="0.2">
      <c r="M5174" s="40"/>
      <c r="N5174" s="15"/>
      <c r="O5174" s="15"/>
      <c r="P5174" s="15"/>
      <c r="Q5174" s="39"/>
      <c r="R5174" s="41"/>
      <c r="S5174" s="36"/>
      <c r="T5174" s="36"/>
      <c r="U5174" s="36"/>
      <c r="V5174" s="37"/>
    </row>
    <row r="5175" spans="12:22" x14ac:dyDescent="0.2">
      <c r="M5175" s="40"/>
      <c r="N5175" s="15"/>
      <c r="O5175" s="15"/>
      <c r="P5175" s="15"/>
      <c r="Q5175" s="39"/>
      <c r="R5175" s="41"/>
      <c r="S5175" s="36"/>
      <c r="T5175" s="36"/>
      <c r="U5175" s="36"/>
      <c r="V5175" s="37"/>
    </row>
    <row r="5176" spans="12:22" x14ac:dyDescent="0.2">
      <c r="M5176" s="40"/>
      <c r="N5176" s="15"/>
      <c r="O5176" s="15"/>
      <c r="P5176" s="15"/>
      <c r="Q5176" s="39"/>
      <c r="R5176" s="41"/>
      <c r="S5176" s="36"/>
      <c r="T5176" s="36"/>
      <c r="U5176" s="36"/>
      <c r="V5176" s="37"/>
    </row>
    <row r="5177" spans="12:22" x14ac:dyDescent="0.2">
      <c r="M5177" s="40"/>
      <c r="N5177" s="15"/>
      <c r="O5177" s="15"/>
      <c r="P5177" s="15"/>
      <c r="Q5177" s="39"/>
      <c r="R5177" s="41"/>
      <c r="S5177" s="36"/>
      <c r="T5177" s="36"/>
      <c r="U5177" s="36"/>
      <c r="V5177" s="37"/>
    </row>
    <row r="5178" spans="12:22" x14ac:dyDescent="0.2">
      <c r="M5178" s="40"/>
      <c r="N5178" s="15"/>
      <c r="O5178" s="15"/>
      <c r="P5178" s="15"/>
      <c r="Q5178" s="39"/>
      <c r="R5178" s="41"/>
      <c r="S5178" s="36"/>
      <c r="T5178" s="36"/>
      <c r="U5178" s="36"/>
      <c r="V5178" s="37"/>
    </row>
    <row r="5179" spans="12:22" x14ac:dyDescent="0.2">
      <c r="M5179" s="40"/>
      <c r="N5179" s="15"/>
      <c r="O5179" s="15"/>
      <c r="P5179" s="15"/>
      <c r="Q5179" s="39"/>
      <c r="R5179" s="41"/>
      <c r="S5179" s="36"/>
      <c r="T5179" s="36"/>
      <c r="U5179" s="36"/>
      <c r="V5179" s="37"/>
    </row>
    <row r="5180" spans="12:22" x14ac:dyDescent="0.2">
      <c r="L5180" s="16" t="s">
        <v>233</v>
      </c>
      <c r="M5180" s="40"/>
      <c r="N5180" s="15"/>
      <c r="O5180" s="15"/>
      <c r="P5180" s="15"/>
      <c r="Q5180" s="39"/>
      <c r="R5180" s="41"/>
      <c r="S5180" s="36"/>
      <c r="T5180" s="36"/>
      <c r="U5180" s="36"/>
      <c r="V5180" s="37"/>
    </row>
    <row r="5181" spans="12:22" ht="13.5" thickBot="1" x14ac:dyDescent="0.25">
      <c r="M5181" s="42"/>
      <c r="N5181" s="43"/>
      <c r="O5181" s="43"/>
      <c r="P5181" s="43"/>
      <c r="Q5181" s="44"/>
      <c r="R5181" s="41"/>
      <c r="S5181" s="46"/>
      <c r="T5181" s="46"/>
      <c r="U5181" s="46"/>
      <c r="V5181" s="47"/>
    </row>
    <row r="5182" spans="12:22" ht="13.5" thickBot="1" x14ac:dyDescent="0.25">
      <c r="M5182" s="48"/>
      <c r="N5182" s="49"/>
      <c r="O5182" s="49"/>
      <c r="P5182" s="49"/>
      <c r="Q5182" s="50"/>
      <c r="R5182" s="45"/>
      <c r="S5182" s="52"/>
      <c r="T5182" s="52"/>
      <c r="U5182" s="52"/>
      <c r="V5182" s="53"/>
    </row>
    <row r="5183" spans="12:22" x14ac:dyDescent="0.2">
      <c r="M5183" s="54"/>
      <c r="N5183" s="29"/>
      <c r="O5183" s="29"/>
      <c r="P5183" s="29"/>
      <c r="Q5183" s="34"/>
      <c r="R5183" s="51"/>
      <c r="S5183" s="36"/>
      <c r="T5183" s="36"/>
      <c r="U5183" s="36"/>
      <c r="V5183" s="37"/>
    </row>
    <row r="5184" spans="12:22" x14ac:dyDescent="0.2">
      <c r="M5184" s="33"/>
      <c r="N5184" s="29"/>
      <c r="O5184" s="29"/>
      <c r="P5184" s="29"/>
      <c r="Q5184" s="34"/>
      <c r="R5184" s="41"/>
      <c r="S5184" s="36"/>
      <c r="T5184" s="36"/>
      <c r="U5184" s="36"/>
      <c r="V5184" s="37"/>
    </row>
    <row r="5185" spans="13:22" x14ac:dyDescent="0.2">
      <c r="M5185" s="33"/>
      <c r="N5185" s="29"/>
      <c r="O5185" s="29"/>
      <c r="P5185" s="29"/>
      <c r="Q5185" s="34"/>
      <c r="R5185" s="35"/>
      <c r="S5185" s="36"/>
      <c r="T5185" s="36"/>
      <c r="U5185" s="36"/>
      <c r="V5185" s="37"/>
    </row>
    <row r="5186" spans="13:22" x14ac:dyDescent="0.2">
      <c r="M5186" s="33"/>
      <c r="N5186" s="29"/>
      <c r="O5186" s="29"/>
      <c r="P5186" s="29"/>
      <c r="Q5186" s="34"/>
      <c r="R5186" s="35"/>
      <c r="S5186" s="36"/>
      <c r="T5186" s="36"/>
      <c r="U5186" s="36"/>
      <c r="V5186" s="37"/>
    </row>
    <row r="5187" spans="13:22" x14ac:dyDescent="0.2">
      <c r="M5187" s="33"/>
      <c r="N5187" s="29"/>
      <c r="O5187" s="29"/>
      <c r="P5187" s="29"/>
      <c r="Q5187" s="34"/>
      <c r="R5187" s="35"/>
      <c r="S5187" s="36"/>
      <c r="T5187" s="36"/>
      <c r="U5187" s="36"/>
      <c r="V5187" s="37"/>
    </row>
    <row r="5188" spans="13:22" x14ac:dyDescent="0.2">
      <c r="M5188" s="33"/>
      <c r="N5188" s="29"/>
      <c r="O5188" s="29"/>
      <c r="P5188" s="29"/>
      <c r="Q5188" s="34"/>
      <c r="R5188" s="35"/>
      <c r="S5188" s="36"/>
      <c r="T5188" s="36"/>
      <c r="U5188" s="36"/>
      <c r="V5188" s="37"/>
    </row>
    <row r="5189" spans="13:22" x14ac:dyDescent="0.2">
      <c r="M5189" s="33"/>
      <c r="N5189" s="29"/>
      <c r="O5189" s="29"/>
      <c r="P5189" s="29"/>
      <c r="Q5189" s="38"/>
      <c r="R5189" s="35"/>
      <c r="S5189" s="36"/>
      <c r="T5189" s="36"/>
      <c r="U5189" s="36"/>
      <c r="V5189" s="37"/>
    </row>
    <row r="5190" spans="13:22" x14ac:dyDescent="0.2">
      <c r="M5190" s="33"/>
      <c r="N5190" s="29"/>
      <c r="O5190" s="29"/>
      <c r="P5190" s="29"/>
      <c r="Q5190" s="34"/>
      <c r="R5190" s="35"/>
      <c r="S5190" s="36"/>
      <c r="T5190" s="36"/>
      <c r="U5190" s="36"/>
      <c r="V5190" s="37"/>
    </row>
    <row r="5191" spans="13:22" x14ac:dyDescent="0.2">
      <c r="M5191" s="33"/>
      <c r="N5191" s="29"/>
      <c r="O5191" s="29"/>
      <c r="P5191" s="29"/>
      <c r="Q5191" s="34"/>
      <c r="R5191" s="35"/>
      <c r="S5191" s="36"/>
      <c r="T5191" s="36"/>
      <c r="U5191" s="36"/>
      <c r="V5191" s="37"/>
    </row>
    <row r="5192" spans="13:22" x14ac:dyDescent="0.2">
      <c r="M5192" s="33"/>
      <c r="N5192" s="29"/>
      <c r="O5192" s="29"/>
      <c r="P5192" s="29"/>
      <c r="Q5192" s="34"/>
      <c r="R5192" s="35"/>
      <c r="S5192" s="36"/>
      <c r="T5192" s="36"/>
      <c r="U5192" s="36"/>
      <c r="V5192" s="37"/>
    </row>
    <row r="5193" spans="13:22" x14ac:dyDescent="0.2">
      <c r="M5193" s="33"/>
      <c r="N5193" s="29"/>
      <c r="O5193" s="29"/>
      <c r="P5193" s="29"/>
      <c r="Q5193" s="34"/>
      <c r="R5193" s="35"/>
      <c r="S5193" s="36"/>
      <c r="T5193" s="36"/>
      <c r="U5193" s="36"/>
      <c r="V5193" s="37"/>
    </row>
    <row r="5194" spans="13:22" x14ac:dyDescent="0.2">
      <c r="M5194" s="26"/>
      <c r="N5194" s="15"/>
      <c r="O5194" s="15"/>
      <c r="P5194" s="15"/>
      <c r="Q5194" s="39"/>
      <c r="R5194" s="35"/>
      <c r="S5194" s="36"/>
      <c r="T5194" s="36"/>
      <c r="U5194" s="36"/>
      <c r="V5194" s="37"/>
    </row>
    <row r="5195" spans="13:22" x14ac:dyDescent="0.2">
      <c r="M5195" s="26"/>
      <c r="N5195" s="15"/>
      <c r="O5195" s="15"/>
      <c r="P5195" s="15"/>
      <c r="Q5195" s="39"/>
      <c r="R5195" s="35"/>
      <c r="S5195" s="36"/>
      <c r="T5195" s="36"/>
      <c r="U5195" s="36"/>
      <c r="V5195" s="37"/>
    </row>
    <row r="5196" spans="13:22" x14ac:dyDescent="0.2">
      <c r="M5196" s="40"/>
      <c r="N5196" s="15"/>
      <c r="O5196" s="15"/>
      <c r="P5196" s="15"/>
      <c r="Q5196" s="39"/>
      <c r="R5196" s="35"/>
      <c r="S5196" s="36"/>
      <c r="T5196" s="36"/>
      <c r="U5196" s="36"/>
      <c r="V5196" s="37"/>
    </row>
    <row r="5197" spans="13:22" x14ac:dyDescent="0.2">
      <c r="M5197" s="40"/>
      <c r="N5197" s="15"/>
      <c r="O5197" s="15"/>
      <c r="P5197" s="15"/>
      <c r="Q5197" s="39"/>
      <c r="R5197" s="41"/>
      <c r="S5197" s="36"/>
      <c r="T5197" s="36"/>
      <c r="U5197" s="36"/>
      <c r="V5197" s="37"/>
    </row>
    <row r="5198" spans="13:22" x14ac:dyDescent="0.2">
      <c r="M5198" s="40"/>
      <c r="N5198" s="15"/>
      <c r="O5198" s="15"/>
      <c r="P5198" s="15"/>
      <c r="Q5198" s="39"/>
      <c r="R5198" s="41"/>
      <c r="S5198" s="36"/>
      <c r="T5198" s="36"/>
      <c r="U5198" s="36"/>
      <c r="V5198" s="37"/>
    </row>
    <row r="5199" spans="13:22" x14ac:dyDescent="0.2">
      <c r="M5199" s="40"/>
      <c r="N5199" s="15"/>
      <c r="O5199" s="15"/>
      <c r="P5199" s="15"/>
      <c r="Q5199" s="39"/>
      <c r="R5199" s="41"/>
      <c r="S5199" s="36"/>
      <c r="T5199" s="36"/>
      <c r="U5199" s="36"/>
      <c r="V5199" s="37"/>
    </row>
    <row r="5200" spans="13:22" x14ac:dyDescent="0.2">
      <c r="M5200" s="40"/>
      <c r="N5200" s="15"/>
      <c r="O5200" s="15"/>
      <c r="P5200" s="15"/>
      <c r="Q5200" s="39"/>
      <c r="R5200" s="41"/>
      <c r="S5200" s="36"/>
      <c r="T5200" s="36"/>
      <c r="U5200" s="36"/>
      <c r="V5200" s="37"/>
    </row>
    <row r="5201" spans="12:22" x14ac:dyDescent="0.2">
      <c r="M5201" s="40"/>
      <c r="N5201" s="15"/>
      <c r="O5201" s="15"/>
      <c r="P5201" s="15"/>
      <c r="Q5201" s="39"/>
      <c r="R5201" s="41"/>
      <c r="S5201" s="36"/>
      <c r="T5201" s="36"/>
      <c r="U5201" s="36"/>
      <c r="V5201" s="37"/>
    </row>
    <row r="5202" spans="12:22" x14ac:dyDescent="0.2">
      <c r="M5202" s="40"/>
      <c r="N5202" s="15"/>
      <c r="O5202" s="15"/>
      <c r="P5202" s="15"/>
      <c r="Q5202" s="39"/>
      <c r="R5202" s="41"/>
      <c r="S5202" s="36"/>
      <c r="T5202" s="36"/>
      <c r="U5202" s="36"/>
      <c r="V5202" s="37"/>
    </row>
    <row r="5203" spans="12:22" x14ac:dyDescent="0.2">
      <c r="M5203" s="40"/>
      <c r="N5203" s="15"/>
      <c r="O5203" s="15"/>
      <c r="P5203" s="15"/>
      <c r="Q5203" s="39"/>
      <c r="R5203" s="41"/>
      <c r="S5203" s="36"/>
      <c r="T5203" s="36"/>
      <c r="U5203" s="36"/>
      <c r="V5203" s="37"/>
    </row>
    <row r="5204" spans="12:22" x14ac:dyDescent="0.2">
      <c r="M5204" s="40"/>
      <c r="N5204" s="15"/>
      <c r="O5204" s="15"/>
      <c r="P5204" s="15"/>
      <c r="Q5204" s="39"/>
      <c r="R5204" s="41"/>
      <c r="S5204" s="36"/>
      <c r="T5204" s="36"/>
      <c r="U5204" s="36"/>
      <c r="V5204" s="37"/>
    </row>
    <row r="5205" spans="12:22" x14ac:dyDescent="0.2">
      <c r="L5205" s="16" t="s">
        <v>234</v>
      </c>
      <c r="M5205" s="40"/>
      <c r="N5205" s="15"/>
      <c r="O5205" s="15"/>
      <c r="P5205" s="15"/>
      <c r="Q5205" s="39"/>
      <c r="R5205" s="41"/>
      <c r="S5205" s="36"/>
      <c r="T5205" s="36"/>
      <c r="U5205" s="36"/>
      <c r="V5205" s="37"/>
    </row>
    <row r="5206" spans="12:22" ht="13.5" thickBot="1" x14ac:dyDescent="0.25">
      <c r="M5206" s="42"/>
      <c r="N5206" s="43"/>
      <c r="O5206" s="43"/>
      <c r="P5206" s="43"/>
      <c r="Q5206" s="44"/>
      <c r="R5206" s="41"/>
      <c r="S5206" s="46"/>
      <c r="T5206" s="46"/>
      <c r="U5206" s="46"/>
      <c r="V5206" s="47"/>
    </row>
    <row r="5207" spans="12:22" ht="13.5" thickBot="1" x14ac:dyDescent="0.25">
      <c r="L5207" s="32"/>
      <c r="M5207" s="48"/>
      <c r="N5207" s="49"/>
      <c r="O5207" s="49"/>
      <c r="P5207" s="49"/>
      <c r="Q5207" s="50"/>
      <c r="R5207" s="45"/>
      <c r="S5207" s="52"/>
      <c r="T5207" s="52"/>
      <c r="U5207" s="52"/>
      <c r="V5207" s="53"/>
    </row>
    <row r="5208" spans="12:22" x14ac:dyDescent="0.2">
      <c r="L5208" s="32"/>
      <c r="M5208" s="54"/>
      <c r="N5208" s="29"/>
      <c r="O5208" s="29"/>
      <c r="P5208" s="29"/>
      <c r="Q5208" s="34"/>
      <c r="R5208" s="51"/>
      <c r="S5208" s="36"/>
      <c r="T5208" s="36"/>
      <c r="U5208" s="36"/>
      <c r="V5208" s="37"/>
    </row>
    <row r="5209" spans="12:22" x14ac:dyDescent="0.2">
      <c r="L5209" s="32"/>
      <c r="M5209" s="33"/>
      <c r="N5209" s="29"/>
      <c r="O5209" s="29"/>
      <c r="P5209" s="29"/>
      <c r="Q5209" s="34"/>
      <c r="R5209" s="41"/>
      <c r="S5209" s="36"/>
      <c r="T5209" s="36"/>
      <c r="U5209" s="36"/>
      <c r="V5209" s="37"/>
    </row>
    <row r="5210" spans="12:22" x14ac:dyDescent="0.2">
      <c r="L5210" s="32"/>
      <c r="M5210" s="33"/>
      <c r="N5210" s="29"/>
      <c r="O5210" s="29"/>
      <c r="P5210" s="29"/>
      <c r="Q5210" s="34"/>
      <c r="R5210" s="35"/>
      <c r="S5210" s="36"/>
      <c r="T5210" s="36"/>
      <c r="U5210" s="36"/>
      <c r="V5210" s="37"/>
    </row>
    <row r="5211" spans="12:22" x14ac:dyDescent="0.2">
      <c r="L5211" s="32"/>
      <c r="M5211" s="33"/>
      <c r="N5211" s="29"/>
      <c r="O5211" s="29"/>
      <c r="P5211" s="29"/>
      <c r="Q5211" s="34"/>
      <c r="R5211" s="35"/>
      <c r="S5211" s="36"/>
      <c r="T5211" s="36"/>
      <c r="U5211" s="36"/>
      <c r="V5211" s="37"/>
    </row>
    <row r="5212" spans="12:22" x14ac:dyDescent="0.2">
      <c r="L5212" s="32"/>
      <c r="M5212" s="33"/>
      <c r="N5212" s="29"/>
      <c r="O5212" s="29"/>
      <c r="P5212" s="29"/>
      <c r="Q5212" s="34"/>
      <c r="R5212" s="35"/>
      <c r="S5212" s="36"/>
      <c r="T5212" s="36"/>
      <c r="U5212" s="36"/>
      <c r="V5212" s="37"/>
    </row>
    <row r="5213" spans="12:22" x14ac:dyDescent="0.2">
      <c r="L5213" s="32"/>
      <c r="M5213" s="33"/>
      <c r="N5213" s="29"/>
      <c r="O5213" s="29"/>
      <c r="P5213" s="29"/>
      <c r="Q5213" s="34"/>
      <c r="R5213" s="35"/>
      <c r="S5213" s="36"/>
      <c r="T5213" s="36"/>
      <c r="U5213" s="36"/>
      <c r="V5213" s="37"/>
    </row>
    <row r="5214" spans="12:22" x14ac:dyDescent="0.2">
      <c r="L5214" s="32"/>
      <c r="M5214" s="33"/>
      <c r="N5214" s="29"/>
      <c r="O5214" s="29"/>
      <c r="P5214" s="29"/>
      <c r="Q5214" s="38"/>
      <c r="R5214" s="35"/>
      <c r="S5214" s="36"/>
      <c r="T5214" s="36"/>
      <c r="U5214" s="36"/>
      <c r="V5214" s="37"/>
    </row>
    <row r="5215" spans="12:22" x14ac:dyDescent="0.2">
      <c r="L5215" s="32"/>
      <c r="M5215" s="33"/>
      <c r="N5215" s="29"/>
      <c r="O5215" s="29"/>
      <c r="P5215" s="29"/>
      <c r="Q5215" s="34"/>
      <c r="R5215" s="35"/>
      <c r="S5215" s="36"/>
      <c r="T5215" s="36"/>
      <c r="U5215" s="36"/>
      <c r="V5215" s="37"/>
    </row>
    <row r="5216" spans="12:22" x14ac:dyDescent="0.2">
      <c r="L5216" s="32"/>
      <c r="M5216" s="33"/>
      <c r="N5216" s="29"/>
      <c r="O5216" s="29"/>
      <c r="P5216" s="29"/>
      <c r="Q5216" s="34"/>
      <c r="R5216" s="35"/>
      <c r="S5216" s="36"/>
      <c r="T5216" s="36"/>
      <c r="U5216" s="36"/>
      <c r="V5216" s="37"/>
    </row>
    <row r="5217" spans="12:22" x14ac:dyDescent="0.2">
      <c r="L5217" s="32"/>
      <c r="M5217" s="33"/>
      <c r="N5217" s="29"/>
      <c r="O5217" s="29"/>
      <c r="P5217" s="29"/>
      <c r="Q5217" s="34"/>
      <c r="R5217" s="35"/>
      <c r="S5217" s="36"/>
      <c r="T5217" s="36"/>
      <c r="U5217" s="36"/>
      <c r="V5217" s="37"/>
    </row>
    <row r="5218" spans="12:22" x14ac:dyDescent="0.2">
      <c r="L5218" s="32"/>
      <c r="M5218" s="33"/>
      <c r="N5218" s="29"/>
      <c r="O5218" s="29"/>
      <c r="P5218" s="29"/>
      <c r="Q5218" s="34"/>
      <c r="R5218" s="35"/>
      <c r="S5218" s="36"/>
      <c r="T5218" s="36"/>
      <c r="U5218" s="36"/>
      <c r="V5218" s="37"/>
    </row>
    <row r="5219" spans="12:22" x14ac:dyDescent="0.2">
      <c r="M5219" s="26"/>
      <c r="N5219" s="15"/>
      <c r="O5219" s="15"/>
      <c r="P5219" s="15"/>
      <c r="Q5219" s="39"/>
      <c r="R5219" s="35"/>
      <c r="S5219" s="36"/>
      <c r="T5219" s="36"/>
      <c r="U5219" s="36"/>
      <c r="V5219" s="37"/>
    </row>
    <row r="5220" spans="12:22" x14ac:dyDescent="0.2">
      <c r="M5220" s="26"/>
      <c r="N5220" s="15"/>
      <c r="O5220" s="15"/>
      <c r="P5220" s="15"/>
      <c r="Q5220" s="39"/>
      <c r="R5220" s="35"/>
      <c r="S5220" s="36"/>
      <c r="T5220" s="36"/>
      <c r="U5220" s="36"/>
      <c r="V5220" s="37"/>
    </row>
    <row r="5221" spans="12:22" x14ac:dyDescent="0.2">
      <c r="M5221" s="40"/>
      <c r="N5221" s="15"/>
      <c r="O5221" s="15"/>
      <c r="P5221" s="15"/>
      <c r="Q5221" s="39"/>
      <c r="R5221" s="35"/>
      <c r="S5221" s="36"/>
      <c r="T5221" s="36"/>
      <c r="U5221" s="36"/>
      <c r="V5221" s="37"/>
    </row>
    <row r="5222" spans="12:22" x14ac:dyDescent="0.2">
      <c r="M5222" s="40"/>
      <c r="N5222" s="15"/>
      <c r="O5222" s="15"/>
      <c r="P5222" s="15"/>
      <c r="Q5222" s="39"/>
      <c r="R5222" s="41"/>
      <c r="S5222" s="36"/>
      <c r="T5222" s="36"/>
      <c r="U5222" s="36"/>
      <c r="V5222" s="37"/>
    </row>
    <row r="5223" spans="12:22" x14ac:dyDescent="0.2">
      <c r="M5223" s="40"/>
      <c r="N5223" s="15"/>
      <c r="O5223" s="15"/>
      <c r="P5223" s="15"/>
      <c r="Q5223" s="39"/>
      <c r="R5223" s="41"/>
      <c r="S5223" s="36"/>
      <c r="T5223" s="36"/>
      <c r="U5223" s="36"/>
      <c r="V5223" s="37"/>
    </row>
    <row r="5224" spans="12:22" x14ac:dyDescent="0.2">
      <c r="M5224" s="40"/>
      <c r="N5224" s="15"/>
      <c r="O5224" s="15"/>
      <c r="P5224" s="15"/>
      <c r="Q5224" s="39"/>
      <c r="R5224" s="41"/>
      <c r="S5224" s="36"/>
      <c r="T5224" s="36"/>
      <c r="U5224" s="36"/>
      <c r="V5224" s="37"/>
    </row>
    <row r="5225" spans="12:22" x14ac:dyDescent="0.2">
      <c r="M5225" s="40"/>
      <c r="N5225" s="15"/>
      <c r="O5225" s="15"/>
      <c r="P5225" s="15"/>
      <c r="Q5225" s="39"/>
      <c r="R5225" s="41"/>
      <c r="S5225" s="36"/>
      <c r="T5225" s="36"/>
      <c r="U5225" s="36"/>
      <c r="V5225" s="37"/>
    </row>
    <row r="5226" spans="12:22" x14ac:dyDescent="0.2">
      <c r="M5226" s="40"/>
      <c r="N5226" s="15"/>
      <c r="O5226" s="15"/>
      <c r="P5226" s="15"/>
      <c r="Q5226" s="39"/>
      <c r="R5226" s="41"/>
      <c r="S5226" s="36"/>
      <c r="T5226" s="36"/>
      <c r="U5226" s="36"/>
      <c r="V5226" s="37"/>
    </row>
    <row r="5227" spans="12:22" x14ac:dyDescent="0.2">
      <c r="M5227" s="40"/>
      <c r="N5227" s="15"/>
      <c r="O5227" s="15"/>
      <c r="P5227" s="15"/>
      <c r="Q5227" s="39"/>
      <c r="R5227" s="41"/>
      <c r="S5227" s="36"/>
      <c r="T5227" s="36"/>
      <c r="U5227" s="36"/>
      <c r="V5227" s="37"/>
    </row>
    <row r="5228" spans="12:22" x14ac:dyDescent="0.2">
      <c r="M5228" s="40"/>
      <c r="N5228" s="15"/>
      <c r="O5228" s="15"/>
      <c r="P5228" s="15"/>
      <c r="Q5228" s="39"/>
      <c r="R5228" s="41"/>
      <c r="S5228" s="36"/>
      <c r="T5228" s="36"/>
      <c r="U5228" s="36"/>
      <c r="V5228" s="37"/>
    </row>
    <row r="5229" spans="12:22" x14ac:dyDescent="0.2">
      <c r="M5229" s="40"/>
      <c r="N5229" s="15"/>
      <c r="O5229" s="15"/>
      <c r="P5229" s="15"/>
      <c r="Q5229" s="39"/>
      <c r="R5229" s="41"/>
      <c r="S5229" s="36"/>
      <c r="T5229" s="36"/>
      <c r="U5229" s="36"/>
      <c r="V5229" s="37"/>
    </row>
    <row r="5230" spans="12:22" x14ac:dyDescent="0.2">
      <c r="L5230" s="16" t="s">
        <v>235</v>
      </c>
      <c r="M5230" s="40"/>
      <c r="N5230" s="15"/>
      <c r="O5230" s="15"/>
      <c r="P5230" s="15"/>
      <c r="Q5230" s="39"/>
      <c r="R5230" s="41"/>
      <c r="S5230" s="36"/>
      <c r="T5230" s="36"/>
      <c r="U5230" s="36"/>
      <c r="V5230" s="37"/>
    </row>
    <row r="5231" spans="12:22" ht="13.5" thickBot="1" x14ac:dyDescent="0.25">
      <c r="M5231" s="42"/>
      <c r="N5231" s="43"/>
      <c r="O5231" s="43"/>
      <c r="P5231" s="43"/>
      <c r="Q5231" s="44"/>
      <c r="R5231" s="41"/>
      <c r="S5231" s="46"/>
      <c r="T5231" s="46"/>
      <c r="U5231" s="46"/>
      <c r="V5231" s="47"/>
    </row>
    <row r="5232" spans="12:22" ht="13.5" thickBot="1" x14ac:dyDescent="0.25">
      <c r="M5232" s="48"/>
      <c r="N5232" s="49"/>
      <c r="O5232" s="49"/>
      <c r="P5232" s="49"/>
      <c r="Q5232" s="50"/>
      <c r="R5232" s="45"/>
      <c r="S5232" s="52"/>
      <c r="T5232" s="52"/>
      <c r="U5232" s="52"/>
      <c r="V5232" s="53"/>
    </row>
    <row r="5233" spans="13:22" x14ac:dyDescent="0.2">
      <c r="M5233" s="54"/>
      <c r="N5233" s="29"/>
      <c r="O5233" s="29"/>
      <c r="P5233" s="29"/>
      <c r="Q5233" s="34"/>
      <c r="R5233" s="51"/>
      <c r="S5233" s="36"/>
      <c r="T5233" s="36"/>
      <c r="U5233" s="36"/>
      <c r="V5233" s="37"/>
    </row>
    <row r="5234" spans="13:22" x14ac:dyDescent="0.2">
      <c r="M5234" s="33"/>
      <c r="N5234" s="29"/>
      <c r="O5234" s="29"/>
      <c r="P5234" s="29"/>
      <c r="Q5234" s="34"/>
      <c r="R5234" s="41"/>
      <c r="S5234" s="36"/>
      <c r="T5234" s="36"/>
      <c r="U5234" s="36"/>
      <c r="V5234" s="37"/>
    </row>
    <row r="5235" spans="13:22" x14ac:dyDescent="0.2">
      <c r="M5235" s="33"/>
      <c r="N5235" s="29"/>
      <c r="O5235" s="29"/>
      <c r="P5235" s="29"/>
      <c r="Q5235" s="34"/>
      <c r="R5235" s="35"/>
      <c r="S5235" s="36"/>
      <c r="T5235" s="36"/>
      <c r="U5235" s="36"/>
      <c r="V5235" s="37"/>
    </row>
    <row r="5236" spans="13:22" x14ac:dyDescent="0.2">
      <c r="M5236" s="33"/>
      <c r="N5236" s="29"/>
      <c r="O5236" s="29"/>
      <c r="P5236" s="29"/>
      <c r="Q5236" s="34"/>
      <c r="R5236" s="35"/>
      <c r="S5236" s="36"/>
      <c r="T5236" s="36"/>
      <c r="U5236" s="36"/>
      <c r="V5236" s="37"/>
    </row>
    <row r="5237" spans="13:22" x14ac:dyDescent="0.2">
      <c r="M5237" s="33"/>
      <c r="N5237" s="29"/>
      <c r="O5237" s="29"/>
      <c r="P5237" s="29"/>
      <c r="Q5237" s="34"/>
      <c r="R5237" s="35"/>
      <c r="S5237" s="36"/>
      <c r="T5237" s="36"/>
      <c r="U5237" s="36"/>
      <c r="V5237" s="37"/>
    </row>
    <row r="5238" spans="13:22" x14ac:dyDescent="0.2">
      <c r="M5238" s="33"/>
      <c r="N5238" s="29"/>
      <c r="O5238" s="29"/>
      <c r="P5238" s="29"/>
      <c r="Q5238" s="34"/>
      <c r="R5238" s="35"/>
      <c r="S5238" s="36"/>
      <c r="T5238" s="36"/>
      <c r="U5238" s="36"/>
      <c r="V5238" s="37"/>
    </row>
    <row r="5239" spans="13:22" x14ac:dyDescent="0.2">
      <c r="M5239" s="33"/>
      <c r="N5239" s="29"/>
      <c r="O5239" s="29"/>
      <c r="P5239" s="29"/>
      <c r="Q5239" s="38"/>
      <c r="R5239" s="35"/>
      <c r="S5239" s="36"/>
      <c r="T5239" s="36"/>
      <c r="U5239" s="36"/>
      <c r="V5239" s="37"/>
    </row>
    <row r="5240" spans="13:22" x14ac:dyDescent="0.2">
      <c r="M5240" s="33"/>
      <c r="N5240" s="29"/>
      <c r="O5240" s="29"/>
      <c r="P5240" s="29"/>
      <c r="Q5240" s="34"/>
      <c r="R5240" s="35"/>
      <c r="S5240" s="36"/>
      <c r="T5240" s="36"/>
      <c r="U5240" s="36"/>
      <c r="V5240" s="37"/>
    </row>
    <row r="5241" spans="13:22" x14ac:dyDescent="0.2">
      <c r="M5241" s="33"/>
      <c r="N5241" s="29"/>
      <c r="O5241" s="29"/>
      <c r="P5241" s="29"/>
      <c r="Q5241" s="34"/>
      <c r="R5241" s="35"/>
      <c r="S5241" s="36"/>
      <c r="T5241" s="36"/>
      <c r="U5241" s="36"/>
      <c r="V5241" s="37"/>
    </row>
    <row r="5242" spans="13:22" x14ac:dyDescent="0.2">
      <c r="M5242" s="33"/>
      <c r="N5242" s="29"/>
      <c r="O5242" s="29"/>
      <c r="P5242" s="29"/>
      <c r="Q5242" s="34"/>
      <c r="R5242" s="35"/>
      <c r="S5242" s="36"/>
      <c r="T5242" s="36"/>
      <c r="U5242" s="36"/>
      <c r="V5242" s="37"/>
    </row>
    <row r="5243" spans="13:22" x14ac:dyDescent="0.2">
      <c r="M5243" s="33"/>
      <c r="N5243" s="29"/>
      <c r="O5243" s="29"/>
      <c r="P5243" s="29"/>
      <c r="Q5243" s="34"/>
      <c r="R5243" s="35"/>
      <c r="S5243" s="36"/>
      <c r="T5243" s="36"/>
      <c r="U5243" s="36"/>
      <c r="V5243" s="37"/>
    </row>
    <row r="5244" spans="13:22" x14ac:dyDescent="0.2">
      <c r="M5244" s="26"/>
      <c r="N5244" s="15"/>
      <c r="O5244" s="15"/>
      <c r="P5244" s="15"/>
      <c r="Q5244" s="39"/>
      <c r="R5244" s="35"/>
      <c r="S5244" s="36"/>
      <c r="T5244" s="36"/>
      <c r="U5244" s="36"/>
      <c r="V5244" s="37"/>
    </row>
    <row r="5245" spans="13:22" x14ac:dyDescent="0.2">
      <c r="M5245" s="26"/>
      <c r="N5245" s="15"/>
      <c r="O5245" s="15"/>
      <c r="P5245" s="15"/>
      <c r="Q5245" s="39"/>
      <c r="R5245" s="35"/>
      <c r="S5245" s="36"/>
      <c r="T5245" s="36"/>
      <c r="U5245" s="36"/>
      <c r="V5245" s="37"/>
    </row>
    <row r="5246" spans="13:22" x14ac:dyDescent="0.2">
      <c r="M5246" s="40"/>
      <c r="N5246" s="15"/>
      <c r="O5246" s="15"/>
      <c r="P5246" s="15"/>
      <c r="Q5246" s="39"/>
      <c r="R5246" s="35"/>
      <c r="S5246" s="36"/>
      <c r="T5246" s="36"/>
      <c r="U5246" s="36"/>
      <c r="V5246" s="37"/>
    </row>
    <row r="5247" spans="13:22" x14ac:dyDescent="0.2">
      <c r="M5247" s="40"/>
      <c r="N5247" s="15"/>
      <c r="O5247" s="15"/>
      <c r="P5247" s="15"/>
      <c r="Q5247" s="39"/>
      <c r="R5247" s="41"/>
      <c r="S5247" s="36"/>
      <c r="T5247" s="36"/>
      <c r="U5247" s="36"/>
      <c r="V5247" s="37"/>
    </row>
    <row r="5248" spans="13:22" x14ac:dyDescent="0.2">
      <c r="M5248" s="40"/>
      <c r="N5248" s="15"/>
      <c r="O5248" s="15"/>
      <c r="P5248" s="15"/>
      <c r="Q5248" s="39"/>
      <c r="R5248" s="41"/>
      <c r="S5248" s="36"/>
      <c r="T5248" s="36"/>
      <c r="U5248" s="36"/>
      <c r="V5248" s="37"/>
    </row>
    <row r="5249" spans="13:22" x14ac:dyDescent="0.2">
      <c r="M5249" s="40"/>
      <c r="N5249" s="15"/>
      <c r="O5249" s="15"/>
      <c r="P5249" s="15"/>
      <c r="Q5249" s="39"/>
      <c r="R5249" s="41"/>
      <c r="S5249" s="36"/>
      <c r="T5249" s="36"/>
      <c r="U5249" s="36"/>
      <c r="V5249" s="37"/>
    </row>
    <row r="5250" spans="13:22" x14ac:dyDescent="0.2">
      <c r="M5250" s="40"/>
      <c r="N5250" s="15"/>
      <c r="O5250" s="15"/>
      <c r="P5250" s="15"/>
      <c r="Q5250" s="39"/>
      <c r="R5250" s="41"/>
      <c r="S5250" s="36"/>
      <c r="T5250" s="36"/>
      <c r="U5250" s="36"/>
      <c r="V5250" s="37"/>
    </row>
    <row r="5251" spans="13:22" x14ac:dyDescent="0.2">
      <c r="M5251" s="40"/>
      <c r="N5251" s="15"/>
      <c r="O5251" s="15"/>
      <c r="P5251" s="15"/>
      <c r="Q5251" s="39"/>
      <c r="R5251" s="41"/>
      <c r="S5251" s="36"/>
      <c r="T5251" s="36"/>
      <c r="U5251" s="36"/>
      <c r="V5251" s="37"/>
    </row>
    <row r="5252" spans="13:22" x14ac:dyDescent="0.2">
      <c r="M5252" s="40"/>
      <c r="N5252" s="15"/>
      <c r="O5252" s="15"/>
      <c r="P5252" s="15"/>
      <c r="Q5252" s="39"/>
      <c r="R5252" s="41"/>
      <c r="S5252" s="36"/>
      <c r="T5252" s="36"/>
      <c r="U5252" s="36"/>
      <c r="V5252" s="37"/>
    </row>
    <row r="5253" spans="13:22" x14ac:dyDescent="0.2">
      <c r="M5253" s="40"/>
      <c r="N5253" s="15"/>
      <c r="O5253" s="15"/>
      <c r="P5253" s="15"/>
      <c r="Q5253" s="39"/>
      <c r="R5253" s="41"/>
      <c r="S5253" s="36"/>
      <c r="T5253" s="36"/>
      <c r="U5253" s="36"/>
      <c r="V5253" s="37"/>
    </row>
    <row r="5254" spans="13:22" x14ac:dyDescent="0.2">
      <c r="M5254" s="40"/>
      <c r="N5254" s="15"/>
      <c r="O5254" s="15"/>
      <c r="P5254" s="15"/>
      <c r="Q5254" s="39"/>
      <c r="R5254" s="41"/>
      <c r="S5254" s="36"/>
      <c r="T5254" s="36"/>
      <c r="U5254" s="36"/>
      <c r="V5254" s="37"/>
    </row>
    <row r="5255" spans="13:22" x14ac:dyDescent="0.2">
      <c r="M5255" s="40"/>
      <c r="N5255" s="15"/>
      <c r="O5255" s="15"/>
      <c r="P5255" s="15"/>
      <c r="Q5255" s="39"/>
      <c r="R5255" s="41"/>
      <c r="S5255" s="36"/>
      <c r="T5255" s="36"/>
      <c r="U5255" s="36"/>
      <c r="V5255" s="37"/>
    </row>
    <row r="5256" spans="13:22" ht="13.5" thickBot="1" x14ac:dyDescent="0.25">
      <c r="M5256" s="42"/>
      <c r="N5256" s="43"/>
      <c r="O5256" s="43"/>
      <c r="P5256" s="43"/>
      <c r="Q5256" s="44"/>
      <c r="R5256" s="41"/>
      <c r="S5256" s="46"/>
      <c r="T5256" s="46"/>
      <c r="U5256" s="46"/>
      <c r="V5256" s="47"/>
    </row>
    <row r="5257" spans="13:22" ht="13.5" thickBot="1" x14ac:dyDescent="0.25">
      <c r="M5257" s="48"/>
      <c r="N5257" s="49"/>
      <c r="O5257" s="49"/>
      <c r="P5257" s="49"/>
      <c r="Q5257" s="50"/>
      <c r="R5257" s="45"/>
      <c r="S5257" s="52"/>
      <c r="T5257" s="52"/>
      <c r="U5257" s="52"/>
      <c r="V5257" s="53"/>
    </row>
    <row r="5258" spans="13:22" x14ac:dyDescent="0.2">
      <c r="M5258" s="54"/>
      <c r="N5258" s="29"/>
      <c r="O5258" s="29"/>
      <c r="P5258" s="29"/>
      <c r="Q5258" s="34"/>
      <c r="R5258" s="51"/>
      <c r="S5258" s="36"/>
      <c r="T5258" s="36"/>
      <c r="U5258" s="36"/>
      <c r="V5258" s="37"/>
    </row>
    <row r="5259" spans="13:22" x14ac:dyDescent="0.2">
      <c r="M5259" s="33"/>
      <c r="N5259" s="29"/>
      <c r="O5259" s="29"/>
      <c r="P5259" s="29"/>
      <c r="Q5259" s="34"/>
      <c r="R5259" s="41"/>
      <c r="S5259" s="36"/>
      <c r="T5259" s="36"/>
      <c r="U5259" s="36"/>
      <c r="V5259" s="37"/>
    </row>
    <row r="5260" spans="13:22" x14ac:dyDescent="0.2">
      <c r="M5260" s="33"/>
      <c r="N5260" s="29"/>
      <c r="O5260" s="29"/>
      <c r="P5260" s="29"/>
      <c r="Q5260" s="34"/>
      <c r="R5260" s="35"/>
      <c r="S5260" s="36"/>
      <c r="T5260" s="36"/>
      <c r="U5260" s="36"/>
      <c r="V5260" s="37"/>
    </row>
    <row r="5261" spans="13:22" x14ac:dyDescent="0.2">
      <c r="M5261" s="33"/>
      <c r="N5261" s="29"/>
      <c r="O5261" s="29"/>
      <c r="P5261" s="29"/>
      <c r="Q5261" s="34"/>
      <c r="R5261" s="35"/>
      <c r="S5261" s="36"/>
      <c r="T5261" s="36"/>
      <c r="U5261" s="36"/>
      <c r="V5261" s="37"/>
    </row>
    <row r="5262" spans="13:22" x14ac:dyDescent="0.2">
      <c r="M5262" s="33"/>
      <c r="N5262" s="29"/>
      <c r="O5262" s="29"/>
      <c r="P5262" s="29"/>
      <c r="Q5262" s="34"/>
      <c r="R5262" s="35"/>
      <c r="S5262" s="36"/>
      <c r="T5262" s="36"/>
      <c r="U5262" s="36"/>
      <c r="V5262" s="37"/>
    </row>
    <row r="5263" spans="13:22" x14ac:dyDescent="0.2">
      <c r="M5263" s="33"/>
      <c r="N5263" s="29"/>
      <c r="O5263" s="29"/>
      <c r="P5263" s="29"/>
      <c r="Q5263" s="34"/>
      <c r="R5263" s="35"/>
      <c r="S5263" s="36"/>
      <c r="T5263" s="36"/>
      <c r="U5263" s="36"/>
      <c r="V5263" s="37"/>
    </row>
    <row r="5264" spans="13:22" x14ac:dyDescent="0.2">
      <c r="M5264" s="33"/>
      <c r="N5264" s="29"/>
      <c r="O5264" s="29"/>
      <c r="P5264" s="29"/>
      <c r="Q5264" s="38"/>
      <c r="R5264" s="35"/>
      <c r="S5264" s="36"/>
      <c r="T5264" s="36"/>
      <c r="U5264" s="36"/>
      <c r="V5264" s="37"/>
    </row>
    <row r="5265" spans="13:22" x14ac:dyDescent="0.2">
      <c r="M5265" s="33"/>
      <c r="N5265" s="29"/>
      <c r="O5265" s="29"/>
      <c r="P5265" s="29"/>
      <c r="Q5265" s="34"/>
      <c r="R5265" s="35"/>
      <c r="S5265" s="36"/>
      <c r="T5265" s="36"/>
      <c r="U5265" s="36"/>
      <c r="V5265" s="37"/>
    </row>
    <row r="5266" spans="13:22" x14ac:dyDescent="0.2">
      <c r="M5266" s="33"/>
      <c r="N5266" s="29"/>
      <c r="O5266" s="29"/>
      <c r="P5266" s="29"/>
      <c r="Q5266" s="34"/>
      <c r="R5266" s="35"/>
      <c r="S5266" s="36"/>
      <c r="T5266" s="36"/>
      <c r="U5266" s="36"/>
      <c r="V5266" s="37"/>
    </row>
    <row r="5267" spans="13:22" x14ac:dyDescent="0.2">
      <c r="M5267" s="33"/>
      <c r="N5267" s="29"/>
      <c r="O5267" s="29"/>
      <c r="P5267" s="29"/>
      <c r="Q5267" s="34"/>
      <c r="R5267" s="35"/>
      <c r="S5267" s="36"/>
      <c r="T5267" s="36"/>
      <c r="U5267" s="36"/>
      <c r="V5267" s="37"/>
    </row>
    <row r="5268" spans="13:22" x14ac:dyDescent="0.2">
      <c r="M5268" s="33"/>
      <c r="N5268" s="29"/>
      <c r="O5268" s="29"/>
      <c r="P5268" s="29"/>
      <c r="Q5268" s="34"/>
      <c r="R5268" s="35"/>
      <c r="S5268" s="36"/>
      <c r="T5268" s="36"/>
      <c r="U5268" s="36"/>
      <c r="V5268" s="37"/>
    </row>
    <row r="5269" spans="13:22" x14ac:dyDescent="0.2">
      <c r="M5269" s="26"/>
      <c r="N5269" s="15"/>
      <c r="O5269" s="15"/>
      <c r="P5269" s="15"/>
      <c r="Q5269" s="39"/>
      <c r="R5269" s="35"/>
      <c r="S5269" s="36"/>
      <c r="T5269" s="36"/>
      <c r="U5269" s="36"/>
      <c r="V5269" s="37"/>
    </row>
    <row r="5270" spans="13:22" x14ac:dyDescent="0.2">
      <c r="M5270" s="26"/>
      <c r="N5270" s="15"/>
      <c r="O5270" s="15"/>
      <c r="P5270" s="15"/>
      <c r="Q5270" s="39"/>
      <c r="R5270" s="35"/>
      <c r="S5270" s="36"/>
      <c r="T5270" s="36"/>
      <c r="U5270" s="36"/>
      <c r="V5270" s="37"/>
    </row>
    <row r="5271" spans="13:22" x14ac:dyDescent="0.2">
      <c r="M5271" s="40"/>
      <c r="N5271" s="15"/>
      <c r="O5271" s="15"/>
      <c r="P5271" s="15"/>
      <c r="Q5271" s="39"/>
      <c r="R5271" s="35"/>
      <c r="S5271" s="36"/>
      <c r="T5271" s="36"/>
      <c r="U5271" s="36"/>
      <c r="V5271" s="37"/>
    </row>
    <row r="5272" spans="13:22" x14ac:dyDescent="0.2">
      <c r="M5272" s="40"/>
      <c r="N5272" s="15"/>
      <c r="O5272" s="15"/>
      <c r="P5272" s="15"/>
      <c r="Q5272" s="39"/>
      <c r="R5272" s="41"/>
      <c r="S5272" s="36"/>
      <c r="T5272" s="36"/>
      <c r="U5272" s="36"/>
      <c r="V5272" s="37"/>
    </row>
    <row r="5273" spans="13:22" x14ac:dyDescent="0.2">
      <c r="M5273" s="40"/>
      <c r="N5273" s="15"/>
      <c r="O5273" s="15"/>
      <c r="P5273" s="15"/>
      <c r="Q5273" s="39"/>
      <c r="R5273" s="41"/>
      <c r="S5273" s="36"/>
      <c r="T5273" s="36"/>
      <c r="U5273" s="36"/>
      <c r="V5273" s="37"/>
    </row>
    <row r="5274" spans="13:22" x14ac:dyDescent="0.2">
      <c r="M5274" s="40"/>
      <c r="N5274" s="15"/>
      <c r="O5274" s="15"/>
      <c r="P5274" s="15"/>
      <c r="Q5274" s="39"/>
      <c r="R5274" s="41"/>
      <c r="S5274" s="36"/>
      <c r="T5274" s="36"/>
      <c r="U5274" s="36"/>
      <c r="V5274" s="37"/>
    </row>
    <row r="5275" spans="13:22" x14ac:dyDescent="0.2">
      <c r="M5275" s="40"/>
      <c r="N5275" s="15"/>
      <c r="O5275" s="15"/>
      <c r="P5275" s="15"/>
      <c r="Q5275" s="39"/>
      <c r="R5275" s="41"/>
      <c r="S5275" s="36"/>
      <c r="T5275" s="36"/>
      <c r="U5275" s="36"/>
      <c r="V5275" s="37"/>
    </row>
    <row r="5276" spans="13:22" x14ac:dyDescent="0.2">
      <c r="M5276" s="40"/>
      <c r="N5276" s="15"/>
      <c r="O5276" s="15"/>
      <c r="P5276" s="15"/>
      <c r="Q5276" s="39"/>
      <c r="R5276" s="41"/>
      <c r="S5276" s="36"/>
      <c r="T5276" s="36"/>
      <c r="U5276" s="36"/>
      <c r="V5276" s="37"/>
    </row>
    <row r="5277" spans="13:22" x14ac:dyDescent="0.2">
      <c r="M5277" s="40"/>
      <c r="N5277" s="15"/>
      <c r="O5277" s="15"/>
      <c r="P5277" s="15"/>
      <c r="Q5277" s="39"/>
      <c r="R5277" s="41"/>
      <c r="S5277" s="36"/>
      <c r="T5277" s="36"/>
      <c r="U5277" s="36"/>
      <c r="V5277" s="37"/>
    </row>
    <row r="5278" spans="13:22" x14ac:dyDescent="0.2">
      <c r="M5278" s="40"/>
      <c r="N5278" s="15"/>
      <c r="O5278" s="15"/>
      <c r="P5278" s="15"/>
      <c r="Q5278" s="39"/>
      <c r="R5278" s="41"/>
      <c r="S5278" s="36"/>
      <c r="T5278" s="36"/>
      <c r="U5278" s="36"/>
      <c r="V5278" s="37"/>
    </row>
    <row r="5279" spans="13:22" x14ac:dyDescent="0.2">
      <c r="M5279" s="40"/>
      <c r="N5279" s="15"/>
      <c r="O5279" s="15"/>
      <c r="P5279" s="15"/>
      <c r="Q5279" s="39"/>
      <c r="R5279" s="41"/>
      <c r="S5279" s="36"/>
      <c r="T5279" s="36"/>
      <c r="U5279" s="36"/>
      <c r="V5279" s="37"/>
    </row>
    <row r="5280" spans="13:22" x14ac:dyDescent="0.2">
      <c r="M5280" s="40"/>
      <c r="N5280" s="15"/>
      <c r="O5280" s="15"/>
      <c r="P5280" s="15"/>
      <c r="Q5280" s="39"/>
      <c r="R5280" s="41"/>
      <c r="S5280" s="36"/>
      <c r="T5280" s="36"/>
      <c r="U5280" s="36"/>
      <c r="V5280" s="37"/>
    </row>
    <row r="5281" spans="13:22" ht="13.5" thickBot="1" x14ac:dyDescent="0.25">
      <c r="M5281" s="42"/>
      <c r="N5281" s="43"/>
      <c r="O5281" s="43"/>
      <c r="P5281" s="43"/>
      <c r="Q5281" s="44"/>
      <c r="R5281" s="41"/>
      <c r="S5281" s="46"/>
      <c r="T5281" s="46"/>
      <c r="U5281" s="46"/>
      <c r="V5281" s="47"/>
    </row>
    <row r="5282" spans="13:22" ht="13.5" thickBot="1" x14ac:dyDescent="0.25">
      <c r="M5282" s="48"/>
      <c r="N5282" s="49"/>
      <c r="O5282" s="49"/>
      <c r="P5282" s="49"/>
      <c r="Q5282" s="50"/>
      <c r="R5282" s="45"/>
      <c r="S5282" s="52"/>
      <c r="T5282" s="52"/>
      <c r="U5282" s="52"/>
      <c r="V5282" s="53"/>
    </row>
    <row r="5283" spans="13:22" x14ac:dyDescent="0.2">
      <c r="M5283" s="54"/>
      <c r="N5283" s="29"/>
      <c r="O5283" s="29"/>
      <c r="P5283" s="29"/>
      <c r="Q5283" s="34"/>
      <c r="R5283" s="51"/>
      <c r="S5283" s="36"/>
      <c r="T5283" s="36"/>
      <c r="U5283" s="36"/>
      <c r="V5283" s="37"/>
    </row>
    <row r="5284" spans="13:22" x14ac:dyDescent="0.2">
      <c r="M5284" s="33"/>
      <c r="N5284" s="29"/>
      <c r="O5284" s="29"/>
      <c r="P5284" s="29"/>
      <c r="Q5284" s="34"/>
      <c r="R5284" s="41"/>
      <c r="S5284" s="36"/>
      <c r="T5284" s="36"/>
      <c r="U5284" s="36"/>
      <c r="V5284" s="37"/>
    </row>
    <row r="5285" spans="13:22" x14ac:dyDescent="0.2">
      <c r="M5285" s="33"/>
      <c r="N5285" s="29"/>
      <c r="O5285" s="29"/>
      <c r="P5285" s="29"/>
      <c r="Q5285" s="34"/>
      <c r="R5285" s="35"/>
      <c r="S5285" s="36"/>
      <c r="T5285" s="36"/>
      <c r="U5285" s="36"/>
      <c r="V5285" s="37"/>
    </row>
    <row r="5286" spans="13:22" x14ac:dyDescent="0.2">
      <c r="M5286" s="33"/>
      <c r="N5286" s="29"/>
      <c r="O5286" s="29"/>
      <c r="P5286" s="29"/>
      <c r="Q5286" s="34"/>
      <c r="R5286" s="35"/>
      <c r="S5286" s="36"/>
      <c r="T5286" s="36"/>
      <c r="U5286" s="36"/>
      <c r="V5286" s="37"/>
    </row>
    <row r="5287" spans="13:22" x14ac:dyDescent="0.2">
      <c r="M5287" s="33"/>
      <c r="N5287" s="29"/>
      <c r="O5287" s="29"/>
      <c r="P5287" s="29"/>
      <c r="Q5287" s="34"/>
      <c r="R5287" s="35"/>
      <c r="S5287" s="36"/>
      <c r="T5287" s="36"/>
      <c r="U5287" s="36"/>
      <c r="V5287" s="37"/>
    </row>
    <row r="5288" spans="13:22" x14ac:dyDescent="0.2">
      <c r="M5288" s="33"/>
      <c r="N5288" s="29"/>
      <c r="O5288" s="29"/>
      <c r="P5288" s="29"/>
      <c r="Q5288" s="34"/>
      <c r="R5288" s="35"/>
      <c r="S5288" s="36"/>
      <c r="T5288" s="36"/>
      <c r="U5288" s="36"/>
      <c r="V5288" s="37"/>
    </row>
    <row r="5289" spans="13:22" x14ac:dyDescent="0.2">
      <c r="M5289" s="33"/>
      <c r="N5289" s="29"/>
      <c r="O5289" s="29"/>
      <c r="P5289" s="29"/>
      <c r="Q5289" s="38"/>
      <c r="R5289" s="35"/>
      <c r="S5289" s="36"/>
      <c r="T5289" s="36"/>
      <c r="U5289" s="36"/>
      <c r="V5289" s="37"/>
    </row>
    <row r="5290" spans="13:22" x14ac:dyDescent="0.2">
      <c r="M5290" s="33"/>
      <c r="N5290" s="29"/>
      <c r="O5290" s="29"/>
      <c r="P5290" s="29"/>
      <c r="Q5290" s="34"/>
      <c r="R5290" s="35"/>
      <c r="S5290" s="36"/>
      <c r="T5290" s="36"/>
      <c r="U5290" s="36"/>
      <c r="V5290" s="37"/>
    </row>
    <row r="5291" spans="13:22" x14ac:dyDescent="0.2">
      <c r="M5291" s="33"/>
      <c r="N5291" s="29"/>
      <c r="O5291" s="29"/>
      <c r="P5291" s="29"/>
      <c r="Q5291" s="34"/>
      <c r="R5291" s="35"/>
      <c r="S5291" s="36"/>
      <c r="T5291" s="36"/>
      <c r="U5291" s="36"/>
      <c r="V5291" s="37"/>
    </row>
    <row r="5292" spans="13:22" x14ac:dyDescent="0.2">
      <c r="M5292" s="33"/>
      <c r="N5292" s="29"/>
      <c r="O5292" s="29"/>
      <c r="P5292" s="29"/>
      <c r="Q5292" s="34"/>
      <c r="R5292" s="35"/>
      <c r="S5292" s="36"/>
      <c r="T5292" s="36"/>
      <c r="U5292" s="36"/>
      <c r="V5292" s="37"/>
    </row>
    <row r="5293" spans="13:22" x14ac:dyDescent="0.2">
      <c r="M5293" s="33"/>
      <c r="N5293" s="29"/>
      <c r="O5293" s="29"/>
      <c r="P5293" s="29"/>
      <c r="Q5293" s="34"/>
      <c r="R5293" s="35"/>
      <c r="S5293" s="36"/>
      <c r="T5293" s="36"/>
      <c r="U5293" s="36"/>
      <c r="V5293" s="37"/>
    </row>
    <row r="5294" spans="13:22" x14ac:dyDescent="0.2">
      <c r="M5294" s="26"/>
      <c r="N5294" s="15"/>
      <c r="O5294" s="15"/>
      <c r="P5294" s="15"/>
      <c r="Q5294" s="39"/>
      <c r="R5294" s="35"/>
      <c r="S5294" s="36"/>
      <c r="T5294" s="36"/>
      <c r="U5294" s="36"/>
      <c r="V5294" s="37"/>
    </row>
    <row r="5295" spans="13:22" x14ac:dyDescent="0.2">
      <c r="M5295" s="26"/>
      <c r="N5295" s="15"/>
      <c r="O5295" s="15"/>
      <c r="P5295" s="15"/>
      <c r="Q5295" s="39"/>
      <c r="R5295" s="35"/>
      <c r="S5295" s="36"/>
      <c r="T5295" s="36"/>
      <c r="U5295" s="36"/>
      <c r="V5295" s="37"/>
    </row>
    <row r="5296" spans="13:22" x14ac:dyDescent="0.2">
      <c r="M5296" s="40"/>
      <c r="N5296" s="15"/>
      <c r="O5296" s="15"/>
      <c r="P5296" s="15"/>
      <c r="Q5296" s="39"/>
      <c r="R5296" s="35"/>
      <c r="S5296" s="36"/>
      <c r="T5296" s="36"/>
      <c r="U5296" s="36"/>
      <c r="V5296" s="37"/>
    </row>
    <row r="5297" spans="13:22" x14ac:dyDescent="0.2">
      <c r="M5297" s="40"/>
      <c r="N5297" s="15"/>
      <c r="O5297" s="15"/>
      <c r="P5297" s="15"/>
      <c r="Q5297" s="39"/>
      <c r="R5297" s="41"/>
      <c r="S5297" s="36"/>
      <c r="T5297" s="36"/>
      <c r="U5297" s="36"/>
      <c r="V5297" s="37"/>
    </row>
    <row r="5298" spans="13:22" x14ac:dyDescent="0.2">
      <c r="M5298" s="40"/>
      <c r="N5298" s="15"/>
      <c r="O5298" s="15"/>
      <c r="P5298" s="15"/>
      <c r="Q5298" s="39"/>
      <c r="R5298" s="41"/>
      <c r="S5298" s="36"/>
      <c r="T5298" s="36"/>
      <c r="U5298" s="36"/>
      <c r="V5298" s="37"/>
    </row>
    <row r="5299" spans="13:22" x14ac:dyDescent="0.2">
      <c r="M5299" s="40"/>
      <c r="N5299" s="15"/>
      <c r="O5299" s="15"/>
      <c r="P5299" s="15"/>
      <c r="Q5299" s="39"/>
      <c r="R5299" s="41"/>
      <c r="S5299" s="36"/>
      <c r="T5299" s="36"/>
      <c r="U5299" s="36"/>
      <c r="V5299" s="37"/>
    </row>
    <row r="5300" spans="13:22" x14ac:dyDescent="0.2">
      <c r="M5300" s="40"/>
      <c r="N5300" s="15"/>
      <c r="O5300" s="15"/>
      <c r="P5300" s="15"/>
      <c r="Q5300" s="39"/>
      <c r="R5300" s="41"/>
      <c r="S5300" s="36"/>
      <c r="T5300" s="36"/>
      <c r="U5300" s="36"/>
      <c r="V5300" s="37"/>
    </row>
    <row r="5301" spans="13:22" x14ac:dyDescent="0.2">
      <c r="M5301" s="40"/>
      <c r="N5301" s="15"/>
      <c r="O5301" s="15"/>
      <c r="P5301" s="15"/>
      <c r="Q5301" s="39"/>
      <c r="R5301" s="41"/>
      <c r="S5301" s="36"/>
      <c r="T5301" s="36"/>
      <c r="U5301" s="36"/>
      <c r="V5301" s="37"/>
    </row>
    <row r="5302" spans="13:22" x14ac:dyDescent="0.2">
      <c r="M5302" s="40"/>
      <c r="N5302" s="15"/>
      <c r="O5302" s="15"/>
      <c r="P5302" s="15"/>
      <c r="Q5302" s="39"/>
      <c r="R5302" s="41"/>
      <c r="S5302" s="36"/>
      <c r="T5302" s="36"/>
      <c r="U5302" s="36"/>
      <c r="V5302" s="37"/>
    </row>
    <row r="5303" spans="13:22" x14ac:dyDescent="0.2">
      <c r="M5303" s="40"/>
      <c r="N5303" s="15"/>
      <c r="O5303" s="15"/>
      <c r="P5303" s="15"/>
      <c r="Q5303" s="39"/>
      <c r="R5303" s="41"/>
      <c r="S5303" s="36"/>
      <c r="T5303" s="36"/>
      <c r="U5303" s="36"/>
      <c r="V5303" s="37"/>
    </row>
    <row r="5304" spans="13:22" x14ac:dyDescent="0.2">
      <c r="M5304" s="40"/>
      <c r="N5304" s="15"/>
      <c r="O5304" s="15"/>
      <c r="P5304" s="15"/>
      <c r="Q5304" s="39"/>
      <c r="R5304" s="41"/>
      <c r="S5304" s="36"/>
      <c r="T5304" s="36"/>
      <c r="U5304" s="36"/>
      <c r="V5304" s="37"/>
    </row>
    <row r="5305" spans="13:22" x14ac:dyDescent="0.2">
      <c r="M5305" s="40"/>
      <c r="N5305" s="15"/>
      <c r="O5305" s="15"/>
      <c r="P5305" s="15"/>
      <c r="Q5305" s="39"/>
      <c r="R5305" s="41"/>
      <c r="S5305" s="36"/>
      <c r="T5305" s="36"/>
      <c r="U5305" s="36"/>
      <c r="V5305" s="37"/>
    </row>
    <row r="5306" spans="13:22" ht="13.5" thickBot="1" x14ac:dyDescent="0.25">
      <c r="M5306" s="42"/>
      <c r="N5306" s="43"/>
      <c r="O5306" s="43"/>
      <c r="P5306" s="43"/>
      <c r="Q5306" s="44"/>
      <c r="R5306" s="41"/>
      <c r="S5306" s="46"/>
      <c r="T5306" s="46"/>
      <c r="U5306" s="46"/>
      <c r="V5306" s="47"/>
    </row>
    <row r="5307" spans="13:22" ht="13.5" thickBot="1" x14ac:dyDescent="0.25">
      <c r="M5307" s="48"/>
      <c r="N5307" s="49"/>
      <c r="O5307" s="49"/>
      <c r="P5307" s="49"/>
      <c r="Q5307" s="50"/>
      <c r="R5307" s="45"/>
      <c r="S5307" s="52"/>
      <c r="T5307" s="52"/>
      <c r="U5307" s="52"/>
      <c r="V5307" s="53"/>
    </row>
    <row r="5308" spans="13:22" x14ac:dyDescent="0.2">
      <c r="M5308" s="54"/>
      <c r="N5308" s="29"/>
      <c r="O5308" s="29"/>
      <c r="P5308" s="29"/>
      <c r="Q5308" s="34"/>
      <c r="R5308" s="51"/>
      <c r="S5308" s="36"/>
      <c r="T5308" s="36"/>
      <c r="U5308" s="36"/>
      <c r="V5308" s="37"/>
    </row>
    <row r="5309" spans="13:22" x14ac:dyDescent="0.2">
      <c r="M5309" s="33"/>
      <c r="N5309" s="29"/>
      <c r="O5309" s="29"/>
      <c r="P5309" s="29"/>
      <c r="Q5309" s="34"/>
      <c r="R5309" s="41"/>
      <c r="S5309" s="36"/>
      <c r="T5309" s="36"/>
      <c r="U5309" s="36"/>
      <c r="V5309" s="37"/>
    </row>
    <row r="5310" spans="13:22" x14ac:dyDescent="0.2">
      <c r="M5310" s="33"/>
      <c r="N5310" s="29"/>
      <c r="O5310" s="29"/>
      <c r="P5310" s="29"/>
      <c r="Q5310" s="34"/>
      <c r="R5310" s="35"/>
      <c r="S5310" s="36"/>
      <c r="T5310" s="36"/>
      <c r="U5310" s="36"/>
      <c r="V5310" s="37"/>
    </row>
    <row r="5311" spans="13:22" x14ac:dyDescent="0.2">
      <c r="M5311" s="33"/>
      <c r="N5311" s="29"/>
      <c r="O5311" s="29"/>
      <c r="P5311" s="29"/>
      <c r="Q5311" s="34"/>
      <c r="R5311" s="35"/>
      <c r="S5311" s="36"/>
      <c r="T5311" s="36"/>
      <c r="U5311" s="36"/>
      <c r="V5311" s="37"/>
    </row>
    <row r="5312" spans="13:22" x14ac:dyDescent="0.2">
      <c r="M5312" s="33"/>
      <c r="N5312" s="29"/>
      <c r="O5312" s="29"/>
      <c r="P5312" s="29"/>
      <c r="Q5312" s="34"/>
      <c r="R5312" s="35"/>
      <c r="S5312" s="36"/>
      <c r="T5312" s="36"/>
      <c r="U5312" s="36"/>
      <c r="V5312" s="37"/>
    </row>
    <row r="5313" spans="13:22" x14ac:dyDescent="0.2">
      <c r="M5313" s="33"/>
      <c r="N5313" s="29"/>
      <c r="O5313" s="29"/>
      <c r="P5313" s="29"/>
      <c r="Q5313" s="34"/>
      <c r="R5313" s="35"/>
      <c r="S5313" s="36"/>
      <c r="T5313" s="36"/>
      <c r="U5313" s="36"/>
      <c r="V5313" s="37"/>
    </row>
    <row r="5314" spans="13:22" x14ac:dyDescent="0.2">
      <c r="M5314" s="33"/>
      <c r="N5314" s="29"/>
      <c r="O5314" s="29"/>
      <c r="P5314" s="29"/>
      <c r="Q5314" s="38"/>
      <c r="R5314" s="35"/>
      <c r="S5314" s="36"/>
      <c r="T5314" s="36"/>
      <c r="U5314" s="36"/>
      <c r="V5314" s="37"/>
    </row>
    <row r="5315" spans="13:22" x14ac:dyDescent="0.2">
      <c r="M5315" s="33"/>
      <c r="N5315" s="29"/>
      <c r="O5315" s="29"/>
      <c r="P5315" s="29"/>
      <c r="Q5315" s="34"/>
      <c r="R5315" s="35"/>
      <c r="S5315" s="36"/>
      <c r="T5315" s="36"/>
      <c r="U5315" s="36"/>
      <c r="V5315" s="37"/>
    </row>
    <row r="5316" spans="13:22" x14ac:dyDescent="0.2">
      <c r="M5316" s="33"/>
      <c r="N5316" s="29"/>
      <c r="O5316" s="29"/>
      <c r="P5316" s="29"/>
      <c r="Q5316" s="34"/>
      <c r="R5316" s="35"/>
      <c r="S5316" s="36"/>
      <c r="T5316" s="36"/>
      <c r="U5316" s="36"/>
      <c r="V5316" s="37"/>
    </row>
    <row r="5317" spans="13:22" x14ac:dyDescent="0.2">
      <c r="M5317" s="33"/>
      <c r="N5317" s="29"/>
      <c r="O5317" s="29"/>
      <c r="P5317" s="29"/>
      <c r="Q5317" s="34"/>
      <c r="R5317" s="35"/>
      <c r="S5317" s="36"/>
      <c r="T5317" s="36"/>
      <c r="U5317" s="36"/>
      <c r="V5317" s="37"/>
    </row>
    <row r="5318" spans="13:22" x14ac:dyDescent="0.2">
      <c r="M5318" s="33"/>
      <c r="N5318" s="29"/>
      <c r="O5318" s="29"/>
      <c r="P5318" s="29"/>
      <c r="Q5318" s="34"/>
      <c r="R5318" s="35"/>
      <c r="S5318" s="36"/>
      <c r="T5318" s="36"/>
      <c r="U5318" s="36"/>
      <c r="V5318" s="37"/>
    </row>
    <row r="5319" spans="13:22" x14ac:dyDescent="0.2">
      <c r="M5319" s="26"/>
      <c r="N5319" s="15"/>
      <c r="O5319" s="15"/>
      <c r="P5319" s="15"/>
      <c r="Q5319" s="39"/>
      <c r="R5319" s="35"/>
      <c r="S5319" s="36"/>
      <c r="T5319" s="36"/>
      <c r="U5319" s="36"/>
      <c r="V5319" s="37"/>
    </row>
    <row r="5320" spans="13:22" x14ac:dyDescent="0.2">
      <c r="M5320" s="26"/>
      <c r="N5320" s="15"/>
      <c r="O5320" s="15"/>
      <c r="P5320" s="15"/>
      <c r="Q5320" s="39"/>
      <c r="R5320" s="35"/>
      <c r="S5320" s="36"/>
      <c r="T5320" s="36"/>
      <c r="U5320" s="36"/>
      <c r="V5320" s="37"/>
    </row>
    <row r="5321" spans="13:22" x14ac:dyDescent="0.2">
      <c r="M5321" s="40"/>
      <c r="N5321" s="15"/>
      <c r="O5321" s="15"/>
      <c r="P5321" s="15"/>
      <c r="Q5321" s="39"/>
      <c r="R5321" s="35"/>
      <c r="S5321" s="36"/>
      <c r="T5321" s="36"/>
      <c r="U5321" s="36"/>
      <c r="V5321" s="37"/>
    </row>
    <row r="5322" spans="13:22" x14ac:dyDescent="0.2">
      <c r="M5322" s="40"/>
      <c r="N5322" s="15"/>
      <c r="O5322" s="15"/>
      <c r="P5322" s="15"/>
      <c r="Q5322" s="39"/>
      <c r="R5322" s="41"/>
      <c r="S5322" s="36"/>
      <c r="T5322" s="36"/>
      <c r="U5322" s="36"/>
      <c r="V5322" s="37"/>
    </row>
    <row r="5323" spans="13:22" x14ac:dyDescent="0.2">
      <c r="M5323" s="40"/>
      <c r="N5323" s="15"/>
      <c r="O5323" s="15"/>
      <c r="P5323" s="15"/>
      <c r="Q5323" s="39"/>
      <c r="R5323" s="41"/>
      <c r="S5323" s="36"/>
      <c r="T5323" s="36"/>
      <c r="U5323" s="36"/>
      <c r="V5323" s="37"/>
    </row>
    <row r="5324" spans="13:22" x14ac:dyDescent="0.2">
      <c r="M5324" s="40"/>
      <c r="N5324" s="15"/>
      <c r="O5324" s="15"/>
      <c r="P5324" s="15"/>
      <c r="Q5324" s="39"/>
      <c r="R5324" s="41"/>
      <c r="S5324" s="36"/>
      <c r="T5324" s="36"/>
      <c r="U5324" s="36"/>
      <c r="V5324" s="37"/>
    </row>
    <row r="5325" spans="13:22" x14ac:dyDescent="0.2">
      <c r="M5325" s="40"/>
      <c r="N5325" s="15"/>
      <c r="O5325" s="15"/>
      <c r="P5325" s="15"/>
      <c r="Q5325" s="39"/>
      <c r="R5325" s="41"/>
      <c r="S5325" s="36"/>
      <c r="T5325" s="36"/>
      <c r="U5325" s="36"/>
      <c r="V5325" s="37"/>
    </row>
    <row r="5326" spans="13:22" x14ac:dyDescent="0.2">
      <c r="M5326" s="40"/>
      <c r="N5326" s="15"/>
      <c r="O5326" s="15"/>
      <c r="P5326" s="15"/>
      <c r="Q5326" s="39"/>
      <c r="R5326" s="41"/>
      <c r="S5326" s="36"/>
      <c r="T5326" s="36"/>
      <c r="U5326" s="36"/>
      <c r="V5326" s="37"/>
    </row>
    <row r="5327" spans="13:22" x14ac:dyDescent="0.2">
      <c r="M5327" s="40"/>
      <c r="N5327" s="15"/>
      <c r="O5327" s="15"/>
      <c r="P5327" s="15"/>
      <c r="Q5327" s="39"/>
      <c r="R5327" s="41"/>
      <c r="S5327" s="36"/>
      <c r="T5327" s="36"/>
      <c r="U5327" s="36"/>
      <c r="V5327" s="37"/>
    </row>
    <row r="5328" spans="13:22" x14ac:dyDescent="0.2">
      <c r="M5328" s="40"/>
      <c r="N5328" s="15"/>
      <c r="O5328" s="15"/>
      <c r="P5328" s="15"/>
      <c r="Q5328" s="39"/>
      <c r="R5328" s="41"/>
      <c r="S5328" s="36"/>
      <c r="T5328" s="36"/>
      <c r="U5328" s="36"/>
      <c r="V5328" s="37"/>
    </row>
    <row r="5329" spans="13:22" x14ac:dyDescent="0.2">
      <c r="M5329" s="40"/>
      <c r="N5329" s="15"/>
      <c r="O5329" s="15"/>
      <c r="P5329" s="15"/>
      <c r="Q5329" s="39"/>
      <c r="R5329" s="41"/>
      <c r="S5329" s="36"/>
      <c r="T5329" s="36"/>
      <c r="U5329" s="36"/>
      <c r="V5329" s="37"/>
    </row>
    <row r="5330" spans="13:22" x14ac:dyDescent="0.2">
      <c r="M5330" s="40"/>
      <c r="N5330" s="15"/>
      <c r="O5330" s="15"/>
      <c r="P5330" s="15"/>
      <c r="Q5330" s="39"/>
      <c r="R5330" s="41"/>
      <c r="S5330" s="36"/>
      <c r="T5330" s="36"/>
      <c r="U5330" s="36"/>
      <c r="V5330" s="37"/>
    </row>
    <row r="5331" spans="13:22" ht="13.5" thickBot="1" x14ac:dyDescent="0.25">
      <c r="M5331" s="42"/>
      <c r="N5331" s="43"/>
      <c r="O5331" s="43"/>
      <c r="P5331" s="43"/>
      <c r="Q5331" s="44"/>
      <c r="R5331" s="41"/>
      <c r="S5331" s="46"/>
      <c r="T5331" s="46"/>
      <c r="U5331" s="46"/>
      <c r="V5331" s="47"/>
    </row>
    <row r="5332" spans="13:22" ht="13.5" thickBot="1" x14ac:dyDescent="0.25">
      <c r="M5332" s="48"/>
      <c r="N5332" s="49"/>
      <c r="O5332" s="49"/>
      <c r="P5332" s="49"/>
      <c r="Q5332" s="50"/>
      <c r="R5332" s="45"/>
      <c r="S5332" s="52"/>
      <c r="T5332" s="52"/>
      <c r="U5332" s="52"/>
      <c r="V5332" s="53"/>
    </row>
    <row r="5333" spans="13:22" x14ac:dyDescent="0.2">
      <c r="M5333" s="54"/>
      <c r="N5333" s="29"/>
      <c r="O5333" s="29"/>
      <c r="P5333" s="29"/>
      <c r="Q5333" s="34"/>
      <c r="R5333" s="51"/>
      <c r="S5333" s="36"/>
      <c r="T5333" s="36"/>
      <c r="U5333" s="36"/>
      <c r="V5333" s="37"/>
    </row>
    <row r="5334" spans="13:22" x14ac:dyDescent="0.2">
      <c r="M5334" s="33"/>
      <c r="N5334" s="29"/>
      <c r="O5334" s="29"/>
      <c r="P5334" s="29"/>
      <c r="Q5334" s="34"/>
      <c r="R5334" s="41"/>
      <c r="S5334" s="36"/>
      <c r="T5334" s="36"/>
      <c r="U5334" s="36"/>
      <c r="V5334" s="37"/>
    </row>
    <row r="5335" spans="13:22" x14ac:dyDescent="0.2">
      <c r="M5335" s="33"/>
      <c r="N5335" s="29"/>
      <c r="O5335" s="29"/>
      <c r="P5335" s="29"/>
      <c r="Q5335" s="34"/>
      <c r="R5335" s="35"/>
      <c r="S5335" s="36"/>
      <c r="T5335" s="36"/>
      <c r="U5335" s="36"/>
      <c r="V5335" s="37"/>
    </row>
    <row r="5336" spans="13:22" x14ac:dyDescent="0.2">
      <c r="M5336" s="33"/>
      <c r="N5336" s="29"/>
      <c r="O5336" s="29"/>
      <c r="P5336" s="29"/>
      <c r="Q5336" s="34"/>
      <c r="R5336" s="35"/>
      <c r="S5336" s="36"/>
      <c r="T5336" s="36"/>
      <c r="U5336" s="36"/>
      <c r="V5336" s="37"/>
    </row>
    <row r="5337" spans="13:22" x14ac:dyDescent="0.2">
      <c r="M5337" s="33"/>
      <c r="N5337" s="29"/>
      <c r="O5337" s="29"/>
      <c r="P5337" s="29"/>
      <c r="Q5337" s="34"/>
      <c r="R5337" s="35"/>
      <c r="S5337" s="36"/>
      <c r="T5337" s="36"/>
      <c r="U5337" s="36"/>
      <c r="V5337" s="37"/>
    </row>
    <row r="5338" spans="13:22" x14ac:dyDescent="0.2">
      <c r="M5338" s="33"/>
      <c r="N5338" s="29"/>
      <c r="O5338" s="29"/>
      <c r="P5338" s="29"/>
      <c r="Q5338" s="34"/>
      <c r="R5338" s="35"/>
      <c r="S5338" s="36"/>
      <c r="T5338" s="36"/>
      <c r="U5338" s="36"/>
      <c r="V5338" s="37"/>
    </row>
    <row r="5339" spans="13:22" x14ac:dyDescent="0.2">
      <c r="M5339" s="33"/>
      <c r="N5339" s="29"/>
      <c r="O5339" s="29"/>
      <c r="P5339" s="29"/>
      <c r="Q5339" s="38"/>
      <c r="R5339" s="35"/>
      <c r="S5339" s="36"/>
      <c r="T5339" s="36"/>
      <c r="U5339" s="36"/>
      <c r="V5339" s="37"/>
    </row>
    <row r="5340" spans="13:22" x14ac:dyDescent="0.2">
      <c r="M5340" s="33"/>
      <c r="N5340" s="29"/>
      <c r="O5340" s="29"/>
      <c r="P5340" s="29"/>
      <c r="Q5340" s="34"/>
      <c r="R5340" s="35"/>
      <c r="S5340" s="36"/>
      <c r="T5340" s="36"/>
      <c r="U5340" s="36"/>
      <c r="V5340" s="37"/>
    </row>
    <row r="5341" spans="13:22" x14ac:dyDescent="0.2">
      <c r="M5341" s="33"/>
      <c r="N5341" s="29"/>
      <c r="O5341" s="29"/>
      <c r="P5341" s="29"/>
      <c r="Q5341" s="34"/>
      <c r="R5341" s="35"/>
      <c r="S5341" s="36"/>
      <c r="T5341" s="36"/>
      <c r="U5341" s="36"/>
      <c r="V5341" s="37"/>
    </row>
    <row r="5342" spans="13:22" x14ac:dyDescent="0.2">
      <c r="M5342" s="33"/>
      <c r="N5342" s="29"/>
      <c r="O5342" s="29"/>
      <c r="P5342" s="29"/>
      <c r="Q5342" s="34"/>
      <c r="R5342" s="35"/>
      <c r="S5342" s="36"/>
      <c r="T5342" s="36"/>
      <c r="U5342" s="36"/>
      <c r="V5342" s="37"/>
    </row>
    <row r="5343" spans="13:22" x14ac:dyDescent="0.2">
      <c r="M5343" s="33"/>
      <c r="N5343" s="29"/>
      <c r="O5343" s="29"/>
      <c r="P5343" s="29"/>
      <c r="Q5343" s="34"/>
      <c r="R5343" s="35"/>
      <c r="S5343" s="36"/>
      <c r="T5343" s="36"/>
      <c r="U5343" s="36"/>
      <c r="V5343" s="37"/>
    </row>
    <row r="5344" spans="13:22" x14ac:dyDescent="0.2">
      <c r="M5344" s="26"/>
      <c r="N5344" s="15"/>
      <c r="O5344" s="15"/>
      <c r="P5344" s="15"/>
      <c r="Q5344" s="39"/>
      <c r="R5344" s="35"/>
      <c r="S5344" s="36"/>
      <c r="T5344" s="36"/>
      <c r="U5344" s="36"/>
      <c r="V5344" s="37"/>
    </row>
    <row r="5345" spans="13:22" x14ac:dyDescent="0.2">
      <c r="M5345" s="26"/>
      <c r="N5345" s="15"/>
      <c r="O5345" s="15"/>
      <c r="P5345" s="15"/>
      <c r="Q5345" s="39"/>
      <c r="R5345" s="35"/>
      <c r="S5345" s="36"/>
      <c r="T5345" s="36"/>
      <c r="U5345" s="36"/>
      <c r="V5345" s="37"/>
    </row>
    <row r="5346" spans="13:22" x14ac:dyDescent="0.2">
      <c r="M5346" s="40"/>
      <c r="N5346" s="15"/>
      <c r="O5346" s="15"/>
      <c r="P5346" s="15"/>
      <c r="Q5346" s="39"/>
      <c r="R5346" s="35"/>
      <c r="S5346" s="36"/>
      <c r="T5346" s="36"/>
      <c r="U5346" s="36"/>
      <c r="V5346" s="37"/>
    </row>
    <row r="5347" spans="13:22" x14ac:dyDescent="0.2">
      <c r="M5347" s="40"/>
      <c r="N5347" s="15"/>
      <c r="O5347" s="15"/>
      <c r="P5347" s="15"/>
      <c r="Q5347" s="39"/>
      <c r="R5347" s="41"/>
      <c r="S5347" s="36"/>
      <c r="T5347" s="36"/>
      <c r="U5347" s="36"/>
      <c r="V5347" s="37"/>
    </row>
    <row r="5348" spans="13:22" x14ac:dyDescent="0.2">
      <c r="M5348" s="40"/>
      <c r="N5348" s="15"/>
      <c r="O5348" s="15"/>
      <c r="P5348" s="15"/>
      <c r="Q5348" s="39"/>
      <c r="R5348" s="41"/>
      <c r="S5348" s="36"/>
      <c r="T5348" s="36"/>
      <c r="U5348" s="36"/>
      <c r="V5348" s="37"/>
    </row>
    <row r="5349" spans="13:22" x14ac:dyDescent="0.2">
      <c r="M5349" s="40"/>
      <c r="N5349" s="15"/>
      <c r="O5349" s="15"/>
      <c r="P5349" s="15"/>
      <c r="Q5349" s="39"/>
      <c r="R5349" s="41"/>
      <c r="S5349" s="36"/>
      <c r="T5349" s="36"/>
      <c r="U5349" s="36"/>
      <c r="V5349" s="37"/>
    </row>
    <row r="5350" spans="13:22" x14ac:dyDescent="0.2">
      <c r="M5350" s="40"/>
      <c r="N5350" s="15"/>
      <c r="O5350" s="15"/>
      <c r="P5350" s="15"/>
      <c r="Q5350" s="39"/>
      <c r="R5350" s="41"/>
      <c r="S5350" s="36"/>
      <c r="T5350" s="36"/>
      <c r="U5350" s="36"/>
      <c r="V5350" s="37"/>
    </row>
    <row r="5351" spans="13:22" x14ac:dyDescent="0.2">
      <c r="M5351" s="40"/>
      <c r="N5351" s="15"/>
      <c r="O5351" s="15"/>
      <c r="P5351" s="15"/>
      <c r="Q5351" s="39"/>
      <c r="R5351" s="41"/>
      <c r="S5351" s="36"/>
      <c r="T5351" s="36"/>
      <c r="U5351" s="36"/>
      <c r="V5351" s="37"/>
    </row>
    <row r="5352" spans="13:22" x14ac:dyDescent="0.2">
      <c r="M5352" s="40"/>
      <c r="N5352" s="15"/>
      <c r="O5352" s="15"/>
      <c r="P5352" s="15"/>
      <c r="Q5352" s="39"/>
      <c r="R5352" s="41"/>
      <c r="S5352" s="36"/>
      <c r="T5352" s="36"/>
      <c r="U5352" s="36"/>
      <c r="V5352" s="37"/>
    </row>
    <row r="5353" spans="13:22" x14ac:dyDescent="0.2">
      <c r="M5353" s="40"/>
      <c r="N5353" s="15"/>
      <c r="O5353" s="15"/>
      <c r="P5353" s="15"/>
      <c r="Q5353" s="39"/>
      <c r="R5353" s="41"/>
      <c r="S5353" s="36"/>
      <c r="T5353" s="36"/>
      <c r="U5353" s="36"/>
      <c r="V5353" s="37"/>
    </row>
    <row r="5354" spans="13:22" x14ac:dyDescent="0.2">
      <c r="M5354" s="40"/>
      <c r="N5354" s="15"/>
      <c r="O5354" s="15"/>
      <c r="P5354" s="15"/>
      <c r="Q5354" s="39"/>
      <c r="R5354" s="41"/>
      <c r="S5354" s="36"/>
      <c r="T5354" s="36"/>
      <c r="U5354" s="36"/>
      <c r="V5354" s="37"/>
    </row>
    <row r="5355" spans="13:22" x14ac:dyDescent="0.2">
      <c r="M5355" s="40"/>
      <c r="N5355" s="15"/>
      <c r="O5355" s="15"/>
      <c r="P5355" s="15"/>
      <c r="Q5355" s="39"/>
      <c r="R5355" s="41"/>
      <c r="S5355" s="36"/>
      <c r="T5355" s="36"/>
      <c r="U5355" s="36"/>
      <c r="V5355" s="37"/>
    </row>
    <row r="5356" spans="13:22" ht="13.5" thickBot="1" x14ac:dyDescent="0.25">
      <c r="M5356" s="42"/>
      <c r="N5356" s="43"/>
      <c r="O5356" s="43"/>
      <c r="P5356" s="43"/>
      <c r="Q5356" s="44"/>
      <c r="R5356" s="41"/>
      <c r="S5356" s="46"/>
      <c r="T5356" s="46"/>
      <c r="U5356" s="46"/>
      <c r="V5356" s="47"/>
    </row>
    <row r="5357" spans="13:22" ht="13.5" thickBot="1" x14ac:dyDescent="0.25">
      <c r="M5357" s="48"/>
      <c r="N5357" s="49"/>
      <c r="O5357" s="49"/>
      <c r="P5357" s="49"/>
      <c r="Q5357" s="50"/>
      <c r="R5357" s="45"/>
      <c r="S5357" s="52"/>
      <c r="T5357" s="52"/>
      <c r="U5357" s="52"/>
      <c r="V5357" s="53"/>
    </row>
    <row r="5358" spans="13:22" x14ac:dyDescent="0.2">
      <c r="M5358" s="54"/>
      <c r="N5358" s="29"/>
      <c r="O5358" s="29"/>
      <c r="P5358" s="29"/>
      <c r="Q5358" s="34"/>
      <c r="R5358" s="51"/>
      <c r="S5358" s="36"/>
      <c r="T5358" s="36"/>
      <c r="U5358" s="36"/>
      <c r="V5358" s="37"/>
    </row>
    <row r="5359" spans="13:22" x14ac:dyDescent="0.2">
      <c r="M5359" s="33"/>
      <c r="N5359" s="29"/>
      <c r="O5359" s="29"/>
      <c r="P5359" s="29"/>
      <c r="Q5359" s="34"/>
      <c r="R5359" s="41"/>
      <c r="S5359" s="36"/>
      <c r="T5359" s="36"/>
      <c r="U5359" s="36"/>
      <c r="V5359" s="37"/>
    </row>
    <row r="5360" spans="13:22" x14ac:dyDescent="0.2">
      <c r="M5360" s="33"/>
      <c r="N5360" s="29"/>
      <c r="O5360" s="29"/>
      <c r="P5360" s="29"/>
      <c r="Q5360" s="34"/>
      <c r="R5360" s="35"/>
      <c r="S5360" s="36"/>
      <c r="T5360" s="36"/>
      <c r="U5360" s="36"/>
      <c r="V5360" s="37"/>
    </row>
    <row r="5361" spans="13:22" x14ac:dyDescent="0.2">
      <c r="M5361" s="33"/>
      <c r="N5361" s="29"/>
      <c r="O5361" s="29"/>
      <c r="P5361" s="29"/>
      <c r="Q5361" s="34"/>
      <c r="R5361" s="35"/>
      <c r="S5361" s="36"/>
      <c r="T5361" s="36"/>
      <c r="U5361" s="36"/>
      <c r="V5361" s="37"/>
    </row>
    <row r="5362" spans="13:22" x14ac:dyDescent="0.2">
      <c r="M5362" s="33"/>
      <c r="N5362" s="29"/>
      <c r="O5362" s="29"/>
      <c r="P5362" s="29"/>
      <c r="Q5362" s="34"/>
      <c r="R5362" s="35"/>
      <c r="S5362" s="36"/>
      <c r="T5362" s="36"/>
      <c r="U5362" s="36"/>
      <c r="V5362" s="37"/>
    </row>
    <row r="5363" spans="13:22" x14ac:dyDescent="0.2">
      <c r="M5363" s="33"/>
      <c r="N5363" s="29"/>
      <c r="O5363" s="29"/>
      <c r="P5363" s="29"/>
      <c r="Q5363" s="34"/>
      <c r="R5363" s="35"/>
      <c r="S5363" s="36"/>
      <c r="T5363" s="36"/>
      <c r="U5363" s="36"/>
      <c r="V5363" s="37"/>
    </row>
    <row r="5364" spans="13:22" x14ac:dyDescent="0.2">
      <c r="M5364" s="33"/>
      <c r="N5364" s="29"/>
      <c r="O5364" s="29"/>
      <c r="P5364" s="29"/>
      <c r="Q5364" s="38"/>
      <c r="R5364" s="35"/>
      <c r="S5364" s="36"/>
      <c r="T5364" s="36"/>
      <c r="U5364" s="36"/>
      <c r="V5364" s="37"/>
    </row>
    <row r="5365" spans="13:22" x14ac:dyDescent="0.2">
      <c r="M5365" s="33"/>
      <c r="N5365" s="29"/>
      <c r="O5365" s="29"/>
      <c r="P5365" s="29"/>
      <c r="Q5365" s="34"/>
      <c r="R5365" s="35"/>
      <c r="S5365" s="36"/>
      <c r="T5365" s="36"/>
      <c r="U5365" s="36"/>
      <c r="V5365" s="37"/>
    </row>
    <row r="5366" spans="13:22" x14ac:dyDescent="0.2">
      <c r="M5366" s="33"/>
      <c r="N5366" s="29"/>
      <c r="O5366" s="29"/>
      <c r="P5366" s="29"/>
      <c r="Q5366" s="34"/>
      <c r="R5366" s="35"/>
      <c r="S5366" s="36"/>
      <c r="T5366" s="36"/>
      <c r="U5366" s="36"/>
      <c r="V5366" s="37"/>
    </row>
    <row r="5367" spans="13:22" x14ac:dyDescent="0.2">
      <c r="M5367" s="33"/>
      <c r="N5367" s="29"/>
      <c r="O5367" s="29"/>
      <c r="P5367" s="29"/>
      <c r="Q5367" s="34"/>
      <c r="R5367" s="35"/>
      <c r="S5367" s="36"/>
      <c r="T5367" s="36"/>
      <c r="U5367" s="36"/>
      <c r="V5367" s="37"/>
    </row>
    <row r="5368" spans="13:22" x14ac:dyDescent="0.2">
      <c r="M5368" s="33"/>
      <c r="N5368" s="29"/>
      <c r="O5368" s="29"/>
      <c r="P5368" s="29"/>
      <c r="Q5368" s="34"/>
      <c r="R5368" s="35"/>
      <c r="S5368" s="36"/>
      <c r="T5368" s="36"/>
      <c r="U5368" s="36"/>
      <c r="V5368" s="37"/>
    </row>
    <row r="5369" spans="13:22" x14ac:dyDescent="0.2">
      <c r="M5369" s="26"/>
      <c r="N5369" s="15"/>
      <c r="O5369" s="15"/>
      <c r="P5369" s="15"/>
      <c r="Q5369" s="39"/>
      <c r="R5369" s="35"/>
      <c r="S5369" s="36"/>
      <c r="T5369" s="36"/>
      <c r="U5369" s="36"/>
      <c r="V5369" s="37"/>
    </row>
    <row r="5370" spans="13:22" x14ac:dyDescent="0.2">
      <c r="M5370" s="26"/>
      <c r="N5370" s="15"/>
      <c r="O5370" s="15"/>
      <c r="P5370" s="15"/>
      <c r="Q5370" s="39"/>
      <c r="R5370" s="35"/>
      <c r="S5370" s="36"/>
      <c r="T5370" s="36"/>
      <c r="U5370" s="36"/>
      <c r="V5370" s="37"/>
    </row>
    <row r="5371" spans="13:22" x14ac:dyDescent="0.2">
      <c r="M5371" s="40"/>
      <c r="N5371" s="15"/>
      <c r="O5371" s="15"/>
      <c r="P5371" s="15"/>
      <c r="Q5371" s="39"/>
      <c r="R5371" s="35"/>
      <c r="S5371" s="36"/>
      <c r="T5371" s="36"/>
      <c r="U5371" s="36"/>
      <c r="V5371" s="37"/>
    </row>
    <row r="5372" spans="13:22" x14ac:dyDescent="0.2">
      <c r="M5372" s="40"/>
      <c r="N5372" s="15"/>
      <c r="O5372" s="15"/>
      <c r="P5372" s="15"/>
      <c r="Q5372" s="39"/>
      <c r="R5372" s="41"/>
      <c r="S5372" s="36"/>
      <c r="T5372" s="36"/>
      <c r="U5372" s="36"/>
      <c r="V5372" s="37"/>
    </row>
    <row r="5373" spans="13:22" x14ac:dyDescent="0.2">
      <c r="M5373" s="40"/>
      <c r="N5373" s="15"/>
      <c r="O5373" s="15"/>
      <c r="P5373" s="15"/>
      <c r="Q5373" s="39"/>
      <c r="R5373" s="41"/>
      <c r="S5373" s="36"/>
      <c r="T5373" s="36"/>
      <c r="U5373" s="36"/>
      <c r="V5373" s="37"/>
    </row>
    <row r="5374" spans="13:22" x14ac:dyDescent="0.2">
      <c r="M5374" s="40"/>
      <c r="N5374" s="15"/>
      <c r="O5374" s="15"/>
      <c r="P5374" s="15"/>
      <c r="Q5374" s="39"/>
      <c r="R5374" s="41"/>
      <c r="S5374" s="36"/>
      <c r="T5374" s="36"/>
      <c r="U5374" s="36"/>
      <c r="V5374" s="37"/>
    </row>
    <row r="5375" spans="13:22" x14ac:dyDescent="0.2">
      <c r="M5375" s="40"/>
      <c r="N5375" s="15"/>
      <c r="O5375" s="15"/>
      <c r="P5375" s="15"/>
      <c r="Q5375" s="39"/>
      <c r="R5375" s="41"/>
      <c r="S5375" s="36"/>
      <c r="T5375" s="36"/>
      <c r="U5375" s="36"/>
      <c r="V5375" s="37"/>
    </row>
    <row r="5376" spans="13:22" x14ac:dyDescent="0.2">
      <c r="M5376" s="40"/>
      <c r="N5376" s="15"/>
      <c r="O5376" s="15"/>
      <c r="P5376" s="15"/>
      <c r="Q5376" s="39"/>
      <c r="R5376" s="41"/>
      <c r="S5376" s="36"/>
      <c r="T5376" s="36"/>
      <c r="U5376" s="36"/>
      <c r="V5376" s="37"/>
    </row>
    <row r="5377" spans="13:22" x14ac:dyDescent="0.2">
      <c r="M5377" s="40"/>
      <c r="N5377" s="15"/>
      <c r="O5377" s="15"/>
      <c r="P5377" s="15"/>
      <c r="Q5377" s="39"/>
      <c r="R5377" s="41"/>
      <c r="S5377" s="36"/>
      <c r="T5377" s="36"/>
      <c r="U5377" s="36"/>
      <c r="V5377" s="37"/>
    </row>
    <row r="5378" spans="13:22" x14ac:dyDescent="0.2">
      <c r="M5378" s="40"/>
      <c r="N5378" s="15"/>
      <c r="O5378" s="15"/>
      <c r="P5378" s="15"/>
      <c r="Q5378" s="39"/>
      <c r="R5378" s="41"/>
      <c r="S5378" s="36"/>
      <c r="T5378" s="36"/>
      <c r="U5378" s="36"/>
      <c r="V5378" s="37"/>
    </row>
    <row r="5379" spans="13:22" x14ac:dyDescent="0.2">
      <c r="M5379" s="40"/>
      <c r="N5379" s="15"/>
      <c r="O5379" s="15"/>
      <c r="P5379" s="15"/>
      <c r="Q5379" s="39"/>
      <c r="R5379" s="41"/>
      <c r="S5379" s="36"/>
      <c r="T5379" s="36"/>
      <c r="U5379" s="36"/>
      <c r="V5379" s="37"/>
    </row>
    <row r="5380" spans="13:22" x14ac:dyDescent="0.2">
      <c r="M5380" s="40"/>
      <c r="N5380" s="15"/>
      <c r="O5380" s="15"/>
      <c r="P5380" s="15"/>
      <c r="Q5380" s="39"/>
      <c r="R5380" s="41"/>
      <c r="S5380" s="36"/>
      <c r="T5380" s="36"/>
      <c r="U5380" s="36"/>
      <c r="V5380" s="37"/>
    </row>
    <row r="5381" spans="13:22" ht="13.5" thickBot="1" x14ac:dyDescent="0.25">
      <c r="M5381" s="42"/>
      <c r="N5381" s="43"/>
      <c r="O5381" s="43"/>
      <c r="P5381" s="43"/>
      <c r="Q5381" s="44"/>
      <c r="R5381" s="41"/>
      <c r="S5381" s="46"/>
      <c r="T5381" s="46"/>
      <c r="U5381" s="46"/>
      <c r="V5381" s="47"/>
    </row>
    <row r="5382" spans="13:22" ht="13.5" thickBot="1" x14ac:dyDescent="0.25">
      <c r="M5382" s="48"/>
      <c r="N5382" s="49"/>
      <c r="O5382" s="49"/>
      <c r="P5382" s="49"/>
      <c r="Q5382" s="50"/>
      <c r="R5382" s="45"/>
      <c r="S5382" s="52"/>
      <c r="T5382" s="52"/>
      <c r="U5382" s="52"/>
      <c r="V5382" s="53"/>
    </row>
    <row r="5383" spans="13:22" x14ac:dyDescent="0.2">
      <c r="M5383" s="54"/>
      <c r="N5383" s="29"/>
      <c r="O5383" s="29"/>
      <c r="P5383" s="29"/>
      <c r="Q5383" s="34"/>
      <c r="R5383" s="51"/>
      <c r="S5383" s="36"/>
      <c r="T5383" s="36"/>
      <c r="U5383" s="36"/>
      <c r="V5383" s="37"/>
    </row>
    <row r="5384" spans="13:22" x14ac:dyDescent="0.2">
      <c r="M5384" s="33"/>
      <c r="N5384" s="29"/>
      <c r="O5384" s="29"/>
      <c r="P5384" s="29"/>
      <c r="Q5384" s="34"/>
      <c r="R5384" s="41"/>
      <c r="S5384" s="36"/>
      <c r="T5384" s="36"/>
      <c r="U5384" s="36"/>
      <c r="V5384" s="37"/>
    </row>
    <row r="5385" spans="13:22" x14ac:dyDescent="0.2">
      <c r="M5385" s="33"/>
      <c r="N5385" s="29"/>
      <c r="O5385" s="29"/>
      <c r="P5385" s="29"/>
      <c r="Q5385" s="34"/>
      <c r="R5385" s="35"/>
      <c r="S5385" s="36"/>
      <c r="T5385" s="36"/>
      <c r="U5385" s="36"/>
      <c r="V5385" s="37"/>
    </row>
    <row r="5386" spans="13:22" x14ac:dyDescent="0.2">
      <c r="M5386" s="33"/>
      <c r="N5386" s="29"/>
      <c r="O5386" s="29"/>
      <c r="P5386" s="29"/>
      <c r="Q5386" s="34"/>
      <c r="R5386" s="35"/>
      <c r="S5386" s="36"/>
      <c r="T5386" s="36"/>
      <c r="U5386" s="36"/>
      <c r="V5386" s="37"/>
    </row>
    <row r="5387" spans="13:22" x14ac:dyDescent="0.2">
      <c r="M5387" s="33"/>
      <c r="N5387" s="29"/>
      <c r="O5387" s="29"/>
      <c r="P5387" s="29"/>
      <c r="Q5387" s="34"/>
      <c r="R5387" s="35"/>
      <c r="S5387" s="36"/>
      <c r="T5387" s="36"/>
      <c r="U5387" s="36"/>
      <c r="V5387" s="37"/>
    </row>
    <row r="5388" spans="13:22" x14ac:dyDescent="0.2">
      <c r="M5388" s="33"/>
      <c r="N5388" s="29"/>
      <c r="O5388" s="29"/>
      <c r="P5388" s="29"/>
      <c r="Q5388" s="34"/>
      <c r="R5388" s="35"/>
      <c r="S5388" s="36"/>
      <c r="T5388" s="36"/>
      <c r="U5388" s="36"/>
      <c r="V5388" s="37"/>
    </row>
    <row r="5389" spans="13:22" x14ac:dyDescent="0.2">
      <c r="M5389" s="33"/>
      <c r="N5389" s="29"/>
      <c r="O5389" s="29"/>
      <c r="P5389" s="29"/>
      <c r="Q5389" s="38"/>
      <c r="R5389" s="35"/>
      <c r="S5389" s="36"/>
      <c r="T5389" s="36"/>
      <c r="U5389" s="36"/>
      <c r="V5389" s="37"/>
    </row>
    <row r="5390" spans="13:22" x14ac:dyDescent="0.2">
      <c r="M5390" s="33"/>
      <c r="N5390" s="29"/>
      <c r="O5390" s="29"/>
      <c r="P5390" s="29"/>
      <c r="Q5390" s="34"/>
      <c r="R5390" s="35"/>
      <c r="S5390" s="36"/>
      <c r="T5390" s="36"/>
      <c r="U5390" s="36"/>
      <c r="V5390" s="37"/>
    </row>
    <row r="5391" spans="13:22" x14ac:dyDescent="0.2">
      <c r="M5391" s="33"/>
      <c r="N5391" s="29"/>
      <c r="O5391" s="29"/>
      <c r="P5391" s="29"/>
      <c r="Q5391" s="34"/>
      <c r="R5391" s="35"/>
      <c r="S5391" s="36"/>
      <c r="T5391" s="36"/>
      <c r="U5391" s="36"/>
      <c r="V5391" s="37"/>
    </row>
    <row r="5392" spans="13:22" x14ac:dyDescent="0.2">
      <c r="M5392" s="33"/>
      <c r="N5392" s="29"/>
      <c r="O5392" s="29"/>
      <c r="P5392" s="29"/>
      <c r="Q5392" s="34"/>
      <c r="R5392" s="35"/>
      <c r="S5392" s="36"/>
      <c r="T5392" s="36"/>
      <c r="U5392" s="36"/>
      <c r="V5392" s="37"/>
    </row>
    <row r="5393" spans="13:22" x14ac:dyDescent="0.2">
      <c r="M5393" s="33"/>
      <c r="N5393" s="29"/>
      <c r="O5393" s="29"/>
      <c r="P5393" s="29"/>
      <c r="Q5393" s="34"/>
      <c r="R5393" s="35"/>
      <c r="S5393" s="36"/>
      <c r="T5393" s="36"/>
      <c r="U5393" s="36"/>
      <c r="V5393" s="37"/>
    </row>
    <row r="5394" spans="13:22" x14ac:dyDescent="0.2">
      <c r="M5394" s="26"/>
      <c r="N5394" s="15"/>
      <c r="O5394" s="15"/>
      <c r="P5394" s="15"/>
      <c r="Q5394" s="39"/>
      <c r="R5394" s="35"/>
      <c r="S5394" s="36"/>
      <c r="T5394" s="36"/>
      <c r="U5394" s="36"/>
      <c r="V5394" s="37"/>
    </row>
    <row r="5395" spans="13:22" x14ac:dyDescent="0.2">
      <c r="M5395" s="26"/>
      <c r="N5395" s="15"/>
      <c r="O5395" s="15"/>
      <c r="P5395" s="15"/>
      <c r="Q5395" s="39"/>
      <c r="R5395" s="35"/>
      <c r="S5395" s="36"/>
      <c r="T5395" s="36"/>
      <c r="U5395" s="36"/>
      <c r="V5395" s="37"/>
    </row>
    <row r="5396" spans="13:22" x14ac:dyDescent="0.2">
      <c r="M5396" s="40"/>
      <c r="N5396" s="15"/>
      <c r="O5396" s="15"/>
      <c r="P5396" s="15"/>
      <c r="Q5396" s="39"/>
      <c r="R5396" s="35"/>
      <c r="S5396" s="36"/>
      <c r="T5396" s="36"/>
      <c r="U5396" s="36"/>
      <c r="V5396" s="37"/>
    </row>
    <row r="5397" spans="13:22" x14ac:dyDescent="0.2">
      <c r="M5397" s="40"/>
      <c r="N5397" s="15"/>
      <c r="O5397" s="15"/>
      <c r="P5397" s="15"/>
      <c r="Q5397" s="39"/>
      <c r="R5397" s="41"/>
      <c r="S5397" s="36"/>
      <c r="T5397" s="36"/>
      <c r="U5397" s="36"/>
      <c r="V5397" s="37"/>
    </row>
    <row r="5398" spans="13:22" x14ac:dyDescent="0.2">
      <c r="M5398" s="40"/>
      <c r="N5398" s="15"/>
      <c r="O5398" s="15"/>
      <c r="P5398" s="15"/>
      <c r="Q5398" s="39"/>
      <c r="R5398" s="41"/>
      <c r="S5398" s="36"/>
      <c r="T5398" s="36"/>
      <c r="U5398" s="36"/>
      <c r="V5398" s="37"/>
    </row>
    <row r="5399" spans="13:22" x14ac:dyDescent="0.2">
      <c r="M5399" s="40"/>
      <c r="N5399" s="15"/>
      <c r="O5399" s="15"/>
      <c r="P5399" s="15"/>
      <c r="Q5399" s="39"/>
      <c r="R5399" s="41"/>
      <c r="S5399" s="36"/>
      <c r="T5399" s="36"/>
      <c r="U5399" s="36"/>
      <c r="V5399" s="37"/>
    </row>
    <row r="5400" spans="13:22" x14ac:dyDescent="0.2">
      <c r="M5400" s="40"/>
      <c r="N5400" s="15"/>
      <c r="O5400" s="15"/>
      <c r="P5400" s="15"/>
      <c r="Q5400" s="39"/>
      <c r="R5400" s="41"/>
      <c r="S5400" s="36"/>
      <c r="T5400" s="36"/>
      <c r="U5400" s="36"/>
      <c r="V5400" s="37"/>
    </row>
    <row r="5401" spans="13:22" x14ac:dyDescent="0.2">
      <c r="M5401" s="40"/>
      <c r="N5401" s="15"/>
      <c r="O5401" s="15"/>
      <c r="P5401" s="15"/>
      <c r="Q5401" s="39"/>
      <c r="R5401" s="41"/>
      <c r="S5401" s="36"/>
      <c r="T5401" s="36"/>
      <c r="U5401" s="36"/>
      <c r="V5401" s="37"/>
    </row>
    <row r="5402" spans="13:22" x14ac:dyDescent="0.2">
      <c r="M5402" s="40"/>
      <c r="N5402" s="15"/>
      <c r="O5402" s="15"/>
      <c r="P5402" s="15"/>
      <c r="Q5402" s="39"/>
      <c r="R5402" s="41"/>
      <c r="S5402" s="36"/>
      <c r="T5402" s="36"/>
      <c r="U5402" s="36"/>
      <c r="V5402" s="37"/>
    </row>
    <row r="5403" spans="13:22" x14ac:dyDescent="0.2">
      <c r="M5403" s="40"/>
      <c r="N5403" s="15"/>
      <c r="O5403" s="15"/>
      <c r="P5403" s="15"/>
      <c r="Q5403" s="39"/>
      <c r="R5403" s="41"/>
      <c r="S5403" s="36"/>
      <c r="T5403" s="36"/>
      <c r="U5403" s="36"/>
      <c r="V5403" s="37"/>
    </row>
    <row r="5404" spans="13:22" x14ac:dyDescent="0.2">
      <c r="M5404" s="40"/>
      <c r="N5404" s="15"/>
      <c r="O5404" s="15"/>
      <c r="P5404" s="15"/>
      <c r="Q5404" s="39"/>
      <c r="R5404" s="41"/>
      <c r="S5404" s="36"/>
      <c r="T5404" s="36"/>
      <c r="U5404" s="36"/>
      <c r="V5404" s="37"/>
    </row>
    <row r="5405" spans="13:22" x14ac:dyDescent="0.2">
      <c r="M5405" s="40"/>
      <c r="N5405" s="15"/>
      <c r="O5405" s="15"/>
      <c r="P5405" s="15"/>
      <c r="Q5405" s="39"/>
      <c r="R5405" s="41"/>
      <c r="S5405" s="36"/>
      <c r="T5405" s="36"/>
      <c r="U5405" s="36"/>
      <c r="V5405" s="37"/>
    </row>
    <row r="5406" spans="13:22" ht="13.5" thickBot="1" x14ac:dyDescent="0.25">
      <c r="M5406" s="42"/>
      <c r="N5406" s="43"/>
      <c r="O5406" s="43"/>
      <c r="P5406" s="43"/>
      <c r="Q5406" s="44"/>
      <c r="R5406" s="41"/>
      <c r="S5406" s="46"/>
      <c r="T5406" s="46"/>
      <c r="U5406" s="46"/>
      <c r="V5406" s="47"/>
    </row>
    <row r="5407" spans="13:22" ht="13.5" thickBot="1" x14ac:dyDescent="0.25">
      <c r="M5407" s="48"/>
      <c r="N5407" s="49"/>
      <c r="O5407" s="49"/>
      <c r="P5407" s="49"/>
      <c r="Q5407" s="50"/>
      <c r="R5407" s="45"/>
      <c r="S5407" s="52"/>
      <c r="T5407" s="52"/>
      <c r="U5407" s="52"/>
      <c r="V5407" s="53"/>
    </row>
    <row r="5408" spans="13:22" x14ac:dyDescent="0.2">
      <c r="M5408" s="54"/>
      <c r="N5408" s="29"/>
      <c r="O5408" s="29"/>
      <c r="P5408" s="29"/>
      <c r="Q5408" s="34"/>
      <c r="R5408" s="51"/>
      <c r="S5408" s="36"/>
      <c r="T5408" s="36"/>
      <c r="U5408" s="36"/>
      <c r="V5408" s="37"/>
    </row>
    <row r="5409" spans="13:22" x14ac:dyDescent="0.2">
      <c r="M5409" s="33"/>
      <c r="N5409" s="29"/>
      <c r="O5409" s="29"/>
      <c r="P5409" s="29"/>
      <c r="Q5409" s="34"/>
      <c r="R5409" s="41"/>
      <c r="S5409" s="36"/>
      <c r="T5409" s="36"/>
      <c r="U5409" s="36"/>
      <c r="V5409" s="37"/>
    </row>
    <row r="5410" spans="13:22" x14ac:dyDescent="0.2">
      <c r="M5410" s="33"/>
      <c r="N5410" s="29"/>
      <c r="O5410" s="29"/>
      <c r="P5410" s="29"/>
      <c r="Q5410" s="34"/>
      <c r="R5410" s="35"/>
      <c r="S5410" s="36"/>
      <c r="T5410" s="36"/>
      <c r="U5410" s="36"/>
      <c r="V5410" s="37"/>
    </row>
    <row r="5411" spans="13:22" x14ac:dyDescent="0.2">
      <c r="M5411" s="33"/>
      <c r="N5411" s="29"/>
      <c r="O5411" s="29"/>
      <c r="P5411" s="29"/>
      <c r="Q5411" s="34"/>
      <c r="R5411" s="35"/>
      <c r="S5411" s="36"/>
      <c r="T5411" s="36"/>
      <c r="U5411" s="36"/>
      <c r="V5411" s="37"/>
    </row>
    <row r="5412" spans="13:22" x14ac:dyDescent="0.2">
      <c r="M5412" s="33"/>
      <c r="N5412" s="29"/>
      <c r="O5412" s="29"/>
      <c r="P5412" s="29"/>
      <c r="Q5412" s="34"/>
      <c r="R5412" s="35"/>
      <c r="S5412" s="36"/>
      <c r="T5412" s="36"/>
      <c r="U5412" s="36"/>
      <c r="V5412" s="37"/>
    </row>
    <row r="5413" spans="13:22" x14ac:dyDescent="0.2">
      <c r="M5413" s="33"/>
      <c r="N5413" s="29"/>
      <c r="O5413" s="29"/>
      <c r="P5413" s="29"/>
      <c r="Q5413" s="34"/>
      <c r="R5413" s="35"/>
      <c r="S5413" s="36"/>
      <c r="T5413" s="36"/>
      <c r="U5413" s="36"/>
      <c r="V5413" s="37"/>
    </row>
    <row r="5414" spans="13:22" x14ac:dyDescent="0.2">
      <c r="M5414" s="33"/>
      <c r="N5414" s="29"/>
      <c r="O5414" s="29"/>
      <c r="P5414" s="29"/>
      <c r="Q5414" s="38"/>
      <c r="R5414" s="35"/>
      <c r="S5414" s="36"/>
      <c r="T5414" s="36"/>
      <c r="U5414" s="36"/>
      <c r="V5414" s="37"/>
    </row>
    <row r="5415" spans="13:22" x14ac:dyDescent="0.2">
      <c r="M5415" s="33"/>
      <c r="N5415" s="29"/>
      <c r="O5415" s="29"/>
      <c r="P5415" s="29"/>
      <c r="Q5415" s="34"/>
      <c r="R5415" s="35"/>
      <c r="S5415" s="36"/>
      <c r="T5415" s="36"/>
      <c r="U5415" s="36"/>
      <c r="V5415" s="37"/>
    </row>
    <row r="5416" spans="13:22" x14ac:dyDescent="0.2">
      <c r="M5416" s="33"/>
      <c r="N5416" s="29"/>
      <c r="O5416" s="29"/>
      <c r="P5416" s="29"/>
      <c r="Q5416" s="34"/>
      <c r="R5416" s="35"/>
      <c r="S5416" s="36"/>
      <c r="T5416" s="36"/>
      <c r="U5416" s="36"/>
      <c r="V5416" s="37"/>
    </row>
    <row r="5417" spans="13:22" x14ac:dyDescent="0.2">
      <c r="M5417" s="33"/>
      <c r="N5417" s="29"/>
      <c r="O5417" s="29"/>
      <c r="P5417" s="29"/>
      <c r="Q5417" s="34"/>
      <c r="R5417" s="35"/>
      <c r="S5417" s="36"/>
      <c r="T5417" s="36"/>
      <c r="U5417" s="36"/>
      <c r="V5417" s="37"/>
    </row>
    <row r="5418" spans="13:22" x14ac:dyDescent="0.2">
      <c r="M5418" s="33"/>
      <c r="N5418" s="29"/>
      <c r="O5418" s="29"/>
      <c r="P5418" s="29"/>
      <c r="Q5418" s="34"/>
      <c r="R5418" s="35"/>
      <c r="S5418" s="36"/>
      <c r="T5418" s="36"/>
      <c r="U5418" s="36"/>
      <c r="V5418" s="37"/>
    </row>
    <row r="5419" spans="13:22" x14ac:dyDescent="0.2">
      <c r="M5419" s="26"/>
      <c r="N5419" s="15"/>
      <c r="O5419" s="15"/>
      <c r="P5419" s="15"/>
      <c r="Q5419" s="39"/>
      <c r="R5419" s="35"/>
      <c r="S5419" s="36"/>
      <c r="T5419" s="36"/>
      <c r="U5419" s="36"/>
      <c r="V5419" s="37"/>
    </row>
    <row r="5420" spans="13:22" x14ac:dyDescent="0.2">
      <c r="M5420" s="26"/>
      <c r="N5420" s="15"/>
      <c r="O5420" s="15"/>
      <c r="P5420" s="15"/>
      <c r="Q5420" s="39"/>
      <c r="R5420" s="35"/>
      <c r="S5420" s="36"/>
      <c r="T5420" s="36"/>
      <c r="U5420" s="36"/>
      <c r="V5420" s="37"/>
    </row>
    <row r="5421" spans="13:22" x14ac:dyDescent="0.2">
      <c r="M5421" s="40"/>
      <c r="N5421" s="15"/>
      <c r="O5421" s="15"/>
      <c r="P5421" s="15"/>
      <c r="Q5421" s="39"/>
      <c r="R5421" s="35"/>
      <c r="S5421" s="36"/>
      <c r="T5421" s="36"/>
      <c r="U5421" s="36"/>
      <c r="V5421" s="37"/>
    </row>
    <row r="5422" spans="13:22" x14ac:dyDescent="0.2">
      <c r="M5422" s="40"/>
      <c r="N5422" s="15"/>
      <c r="O5422" s="15"/>
      <c r="P5422" s="15"/>
      <c r="Q5422" s="39"/>
      <c r="R5422" s="41"/>
      <c r="S5422" s="36"/>
      <c r="T5422" s="36"/>
      <c r="U5422" s="36"/>
      <c r="V5422" s="37"/>
    </row>
    <row r="5423" spans="13:22" x14ac:dyDescent="0.2">
      <c r="M5423" s="40"/>
      <c r="N5423" s="15"/>
      <c r="O5423" s="15"/>
      <c r="P5423" s="15"/>
      <c r="Q5423" s="39"/>
      <c r="R5423" s="41"/>
      <c r="S5423" s="36"/>
      <c r="T5423" s="36"/>
      <c r="U5423" s="36"/>
      <c r="V5423" s="37"/>
    </row>
    <row r="5424" spans="13:22" x14ac:dyDescent="0.2">
      <c r="M5424" s="40"/>
      <c r="N5424" s="15"/>
      <c r="O5424" s="15"/>
      <c r="P5424" s="15"/>
      <c r="Q5424" s="39"/>
      <c r="R5424" s="41"/>
      <c r="S5424" s="36"/>
      <c r="T5424" s="36"/>
      <c r="U5424" s="36"/>
      <c r="V5424" s="37"/>
    </row>
    <row r="5425" spans="13:22" x14ac:dyDescent="0.2">
      <c r="M5425" s="40"/>
      <c r="N5425" s="15"/>
      <c r="O5425" s="15"/>
      <c r="P5425" s="15"/>
      <c r="Q5425" s="39"/>
      <c r="R5425" s="41"/>
      <c r="S5425" s="36"/>
      <c r="T5425" s="36"/>
      <c r="U5425" s="36"/>
      <c r="V5425" s="37"/>
    </row>
    <row r="5426" spans="13:22" x14ac:dyDescent="0.2">
      <c r="M5426" s="40"/>
      <c r="N5426" s="15"/>
      <c r="O5426" s="15"/>
      <c r="P5426" s="15"/>
      <c r="Q5426" s="39"/>
      <c r="R5426" s="41"/>
      <c r="S5426" s="36"/>
      <c r="T5426" s="36"/>
      <c r="U5426" s="36"/>
      <c r="V5426" s="37"/>
    </row>
    <row r="5427" spans="13:22" x14ac:dyDescent="0.2">
      <c r="M5427" s="40"/>
      <c r="N5427" s="15"/>
      <c r="O5427" s="15"/>
      <c r="P5427" s="15"/>
      <c r="Q5427" s="39"/>
      <c r="R5427" s="41"/>
      <c r="S5427" s="36"/>
      <c r="T5427" s="36"/>
      <c r="U5427" s="36"/>
      <c r="V5427" s="37"/>
    </row>
    <row r="5428" spans="13:22" x14ac:dyDescent="0.2">
      <c r="M5428" s="40"/>
      <c r="N5428" s="15"/>
      <c r="O5428" s="15"/>
      <c r="P5428" s="15"/>
      <c r="Q5428" s="39"/>
      <c r="R5428" s="41"/>
      <c r="S5428" s="36"/>
      <c r="T5428" s="36"/>
      <c r="U5428" s="36"/>
      <c r="V5428" s="37"/>
    </row>
    <row r="5429" spans="13:22" x14ac:dyDescent="0.2">
      <c r="M5429" s="40"/>
      <c r="N5429" s="15"/>
      <c r="O5429" s="15"/>
      <c r="P5429" s="15"/>
      <c r="Q5429" s="39"/>
      <c r="R5429" s="41"/>
      <c r="S5429" s="36"/>
      <c r="T5429" s="36"/>
      <c r="U5429" s="36"/>
      <c r="V5429" s="37"/>
    </row>
    <row r="5430" spans="13:22" x14ac:dyDescent="0.2">
      <c r="M5430" s="40"/>
      <c r="N5430" s="15"/>
      <c r="O5430" s="15"/>
      <c r="P5430" s="15"/>
      <c r="Q5430" s="39"/>
      <c r="R5430" s="41"/>
      <c r="S5430" s="36"/>
      <c r="T5430" s="36"/>
      <c r="U5430" s="36"/>
      <c r="V5430" s="37"/>
    </row>
    <row r="5431" spans="13:22" ht="13.5" thickBot="1" x14ac:dyDescent="0.25">
      <c r="M5431" s="42"/>
      <c r="N5431" s="43"/>
      <c r="O5431" s="43"/>
      <c r="P5431" s="43"/>
      <c r="Q5431" s="44"/>
      <c r="R5431" s="41"/>
      <c r="S5431" s="46"/>
      <c r="T5431" s="46"/>
      <c r="U5431" s="46"/>
      <c r="V5431" s="47"/>
    </row>
    <row r="5432" spans="13:22" ht="13.5" thickBot="1" x14ac:dyDescent="0.25">
      <c r="M5432" s="48"/>
      <c r="N5432" s="49"/>
      <c r="O5432" s="49"/>
      <c r="P5432" s="49"/>
      <c r="Q5432" s="50"/>
      <c r="R5432" s="45"/>
      <c r="S5432" s="52"/>
      <c r="T5432" s="52"/>
      <c r="U5432" s="52"/>
      <c r="V5432" s="53"/>
    </row>
    <row r="5433" spans="13:22" x14ac:dyDescent="0.2">
      <c r="M5433" s="54"/>
      <c r="N5433" s="29"/>
      <c r="O5433" s="29"/>
      <c r="P5433" s="29"/>
      <c r="Q5433" s="34"/>
      <c r="R5433" s="51"/>
      <c r="S5433" s="36"/>
      <c r="T5433" s="36"/>
      <c r="U5433" s="36"/>
      <c r="V5433" s="37"/>
    </row>
    <row r="5434" spans="13:22" x14ac:dyDescent="0.2">
      <c r="M5434" s="33"/>
      <c r="N5434" s="29"/>
      <c r="O5434" s="29"/>
      <c r="P5434" s="29"/>
      <c r="Q5434" s="34"/>
      <c r="R5434" s="41"/>
      <c r="S5434" s="36"/>
      <c r="T5434" s="36"/>
      <c r="U5434" s="36"/>
      <c r="V5434" s="37"/>
    </row>
    <row r="5435" spans="13:22" x14ac:dyDescent="0.2">
      <c r="M5435" s="33"/>
      <c r="N5435" s="29"/>
      <c r="O5435" s="29"/>
      <c r="P5435" s="29"/>
      <c r="Q5435" s="34"/>
      <c r="R5435" s="35"/>
      <c r="S5435" s="36"/>
      <c r="T5435" s="36"/>
      <c r="U5435" s="36"/>
      <c r="V5435" s="37"/>
    </row>
    <row r="5436" spans="13:22" x14ac:dyDescent="0.2">
      <c r="M5436" s="33"/>
      <c r="N5436" s="29"/>
      <c r="O5436" s="29"/>
      <c r="P5436" s="29"/>
      <c r="Q5436" s="34"/>
      <c r="R5436" s="35"/>
      <c r="S5436" s="36"/>
      <c r="T5436" s="36"/>
      <c r="U5436" s="36"/>
      <c r="V5436" s="37"/>
    </row>
    <row r="5437" spans="13:22" x14ac:dyDescent="0.2">
      <c r="M5437" s="33"/>
      <c r="N5437" s="29"/>
      <c r="O5437" s="29"/>
      <c r="P5437" s="29"/>
      <c r="Q5437" s="34"/>
      <c r="R5437" s="35"/>
      <c r="S5437" s="36"/>
      <c r="T5437" s="36"/>
      <c r="U5437" s="36"/>
      <c r="V5437" s="37"/>
    </row>
    <row r="5438" spans="13:22" x14ac:dyDescent="0.2">
      <c r="M5438" s="33"/>
      <c r="N5438" s="29"/>
      <c r="O5438" s="29"/>
      <c r="P5438" s="29"/>
      <c r="Q5438" s="34"/>
      <c r="R5438" s="35"/>
      <c r="S5438" s="36"/>
      <c r="T5438" s="36"/>
      <c r="U5438" s="36"/>
      <c r="V5438" s="37"/>
    </row>
    <row r="5439" spans="13:22" x14ac:dyDescent="0.2">
      <c r="M5439" s="33"/>
      <c r="N5439" s="29"/>
      <c r="O5439" s="29"/>
      <c r="P5439" s="29"/>
      <c r="Q5439" s="38"/>
      <c r="R5439" s="35"/>
      <c r="S5439" s="36"/>
      <c r="T5439" s="36"/>
      <c r="U5439" s="36"/>
      <c r="V5439" s="37"/>
    </row>
    <row r="5440" spans="13:22" x14ac:dyDescent="0.2">
      <c r="M5440" s="33"/>
      <c r="N5440" s="29"/>
      <c r="O5440" s="29"/>
      <c r="P5440" s="29"/>
      <c r="Q5440" s="34"/>
      <c r="R5440" s="35"/>
      <c r="S5440" s="36"/>
      <c r="T5440" s="36"/>
      <c r="U5440" s="36"/>
      <c r="V5440" s="37"/>
    </row>
    <row r="5441" spans="13:22" x14ac:dyDescent="0.2">
      <c r="M5441" s="33"/>
      <c r="N5441" s="29"/>
      <c r="O5441" s="29"/>
      <c r="P5441" s="29"/>
      <c r="Q5441" s="34"/>
      <c r="R5441" s="35"/>
      <c r="S5441" s="36"/>
      <c r="T5441" s="36"/>
      <c r="U5441" s="36"/>
      <c r="V5441" s="37"/>
    </row>
    <row r="5442" spans="13:22" x14ac:dyDescent="0.2">
      <c r="M5442" s="33"/>
      <c r="N5442" s="29"/>
      <c r="O5442" s="29"/>
      <c r="P5442" s="29"/>
      <c r="Q5442" s="34"/>
      <c r="R5442" s="35"/>
      <c r="S5442" s="36"/>
      <c r="T5442" s="36"/>
      <c r="U5442" s="36"/>
      <c r="V5442" s="37"/>
    </row>
    <row r="5443" spans="13:22" x14ac:dyDescent="0.2">
      <c r="M5443" s="33"/>
      <c r="N5443" s="29"/>
      <c r="O5443" s="29"/>
      <c r="P5443" s="29"/>
      <c r="Q5443" s="34"/>
      <c r="R5443" s="35"/>
      <c r="S5443" s="36"/>
      <c r="T5443" s="36"/>
      <c r="U5443" s="36"/>
      <c r="V5443" s="37"/>
    </row>
    <row r="5444" spans="13:22" x14ac:dyDescent="0.2">
      <c r="M5444" s="26"/>
      <c r="N5444" s="15"/>
      <c r="O5444" s="15"/>
      <c r="P5444" s="15"/>
      <c r="Q5444" s="39"/>
      <c r="R5444" s="35"/>
      <c r="S5444" s="36"/>
      <c r="T5444" s="36"/>
      <c r="U5444" s="36"/>
      <c r="V5444" s="37"/>
    </row>
    <row r="5445" spans="13:22" x14ac:dyDescent="0.2">
      <c r="M5445" s="26"/>
      <c r="N5445" s="15"/>
      <c r="O5445" s="15"/>
      <c r="P5445" s="15"/>
      <c r="Q5445" s="39"/>
      <c r="R5445" s="35"/>
      <c r="S5445" s="36"/>
      <c r="T5445" s="36"/>
      <c r="U5445" s="36"/>
      <c r="V5445" s="37"/>
    </row>
    <row r="5446" spans="13:22" x14ac:dyDescent="0.2">
      <c r="M5446" s="40"/>
      <c r="N5446" s="15"/>
      <c r="O5446" s="15"/>
      <c r="P5446" s="15"/>
      <c r="Q5446" s="39"/>
      <c r="R5446" s="35"/>
      <c r="S5446" s="36"/>
      <c r="T5446" s="36"/>
      <c r="U5446" s="36"/>
      <c r="V5446" s="37"/>
    </row>
    <row r="5447" spans="13:22" x14ac:dyDescent="0.2">
      <c r="M5447" s="40"/>
      <c r="N5447" s="15"/>
      <c r="O5447" s="15"/>
      <c r="P5447" s="15"/>
      <c r="Q5447" s="39"/>
      <c r="R5447" s="41"/>
      <c r="S5447" s="36"/>
      <c r="T5447" s="36"/>
      <c r="U5447" s="36"/>
      <c r="V5447" s="37"/>
    </row>
    <row r="5448" spans="13:22" x14ac:dyDescent="0.2">
      <c r="M5448" s="40"/>
      <c r="N5448" s="15"/>
      <c r="O5448" s="15"/>
      <c r="P5448" s="15"/>
      <c r="Q5448" s="39"/>
      <c r="R5448" s="41"/>
      <c r="S5448" s="36"/>
      <c r="T5448" s="36"/>
      <c r="U5448" s="36"/>
      <c r="V5448" s="37"/>
    </row>
    <row r="5449" spans="13:22" x14ac:dyDescent="0.2">
      <c r="M5449" s="40"/>
      <c r="N5449" s="15"/>
      <c r="O5449" s="15"/>
      <c r="P5449" s="15"/>
      <c r="Q5449" s="39"/>
      <c r="R5449" s="41"/>
      <c r="S5449" s="36"/>
      <c r="T5449" s="36"/>
      <c r="U5449" s="36"/>
      <c r="V5449" s="37"/>
    </row>
    <row r="5450" spans="13:22" x14ac:dyDescent="0.2">
      <c r="M5450" s="40"/>
      <c r="N5450" s="15"/>
      <c r="O5450" s="15"/>
      <c r="P5450" s="15"/>
      <c r="Q5450" s="39"/>
      <c r="R5450" s="41"/>
      <c r="S5450" s="36"/>
      <c r="T5450" s="36"/>
      <c r="U5450" s="36"/>
      <c r="V5450" s="37"/>
    </row>
    <row r="5451" spans="13:22" x14ac:dyDescent="0.2">
      <c r="M5451" s="40"/>
      <c r="N5451" s="15"/>
      <c r="O5451" s="15"/>
      <c r="P5451" s="15"/>
      <c r="Q5451" s="39"/>
      <c r="R5451" s="41"/>
      <c r="S5451" s="36"/>
      <c r="T5451" s="36"/>
      <c r="U5451" s="36"/>
      <c r="V5451" s="37"/>
    </row>
    <row r="5452" spans="13:22" x14ac:dyDescent="0.2">
      <c r="M5452" s="40"/>
      <c r="N5452" s="15"/>
      <c r="O5452" s="15"/>
      <c r="P5452" s="15"/>
      <c r="Q5452" s="39"/>
      <c r="R5452" s="41"/>
      <c r="S5452" s="36"/>
      <c r="T5452" s="36"/>
      <c r="U5452" s="36"/>
      <c r="V5452" s="37"/>
    </row>
    <row r="5453" spans="13:22" x14ac:dyDescent="0.2">
      <c r="M5453" s="40"/>
      <c r="N5453" s="15"/>
      <c r="O5453" s="15"/>
      <c r="P5453" s="15"/>
      <c r="Q5453" s="39"/>
      <c r="R5453" s="41"/>
      <c r="S5453" s="36"/>
      <c r="T5453" s="36"/>
      <c r="U5453" s="36"/>
      <c r="V5453" s="37"/>
    </row>
    <row r="5454" spans="13:22" x14ac:dyDescent="0.2">
      <c r="M5454" s="40"/>
      <c r="N5454" s="15"/>
      <c r="O5454" s="15"/>
      <c r="P5454" s="15"/>
      <c r="Q5454" s="39"/>
      <c r="R5454" s="41"/>
      <c r="S5454" s="36"/>
      <c r="T5454" s="36"/>
      <c r="U5454" s="36"/>
      <c r="V5454" s="37"/>
    </row>
    <row r="5455" spans="13:22" x14ac:dyDescent="0.2">
      <c r="M5455" s="40"/>
      <c r="N5455" s="15"/>
      <c r="O5455" s="15"/>
      <c r="P5455" s="15"/>
      <c r="Q5455" s="39"/>
      <c r="R5455" s="41"/>
      <c r="S5455" s="36"/>
      <c r="T5455" s="36"/>
      <c r="U5455" s="36"/>
      <c r="V5455" s="37"/>
    </row>
    <row r="5456" spans="13:22" ht="13.5" thickBot="1" x14ac:dyDescent="0.25">
      <c r="M5456" s="42"/>
      <c r="N5456" s="43"/>
      <c r="O5456" s="43"/>
      <c r="P5456" s="43"/>
      <c r="Q5456" s="44"/>
      <c r="R5456" s="41"/>
      <c r="S5456" s="46"/>
      <c r="T5456" s="46"/>
      <c r="U5456" s="46"/>
      <c r="V5456" s="47"/>
    </row>
    <row r="5457" spans="13:22" ht="13.5" thickBot="1" x14ac:dyDescent="0.25">
      <c r="M5457" s="48"/>
      <c r="N5457" s="49"/>
      <c r="O5457" s="49"/>
      <c r="P5457" s="49"/>
      <c r="Q5457" s="50"/>
      <c r="R5457" s="45"/>
      <c r="S5457" s="52"/>
      <c r="T5457" s="52"/>
      <c r="U5457" s="52"/>
      <c r="V5457" s="53"/>
    </row>
    <row r="5458" spans="13:22" x14ac:dyDescent="0.2">
      <c r="M5458" s="54"/>
      <c r="N5458" s="29"/>
      <c r="O5458" s="29"/>
      <c r="P5458" s="29"/>
      <c r="Q5458" s="34"/>
      <c r="R5458" s="51"/>
      <c r="S5458" s="36"/>
      <c r="T5458" s="36"/>
      <c r="U5458" s="36"/>
      <c r="V5458" s="37"/>
    </row>
    <row r="5459" spans="13:22" x14ac:dyDescent="0.2">
      <c r="M5459" s="33"/>
      <c r="N5459" s="29"/>
      <c r="O5459" s="29"/>
      <c r="P5459" s="29"/>
      <c r="Q5459" s="34"/>
      <c r="R5459" s="41"/>
      <c r="S5459" s="36"/>
      <c r="T5459" s="36"/>
      <c r="U5459" s="36"/>
      <c r="V5459" s="37"/>
    </row>
    <row r="5460" spans="13:22" x14ac:dyDescent="0.2">
      <c r="M5460" s="33"/>
      <c r="N5460" s="29"/>
      <c r="O5460" s="29"/>
      <c r="P5460" s="29"/>
      <c r="Q5460" s="34"/>
      <c r="R5460" s="35"/>
      <c r="S5460" s="36"/>
      <c r="T5460" s="36"/>
      <c r="U5460" s="36"/>
      <c r="V5460" s="37"/>
    </row>
    <row r="5461" spans="13:22" x14ac:dyDescent="0.2">
      <c r="M5461" s="33"/>
      <c r="N5461" s="29"/>
      <c r="O5461" s="29"/>
      <c r="P5461" s="29"/>
      <c r="Q5461" s="34"/>
      <c r="R5461" s="35"/>
      <c r="S5461" s="36"/>
      <c r="T5461" s="36"/>
      <c r="U5461" s="36"/>
      <c r="V5461" s="37"/>
    </row>
    <row r="5462" spans="13:22" x14ac:dyDescent="0.2">
      <c r="M5462" s="33"/>
      <c r="N5462" s="29"/>
      <c r="O5462" s="29"/>
      <c r="P5462" s="29"/>
      <c r="Q5462" s="34"/>
      <c r="R5462" s="35"/>
      <c r="S5462" s="36"/>
      <c r="T5462" s="36"/>
      <c r="U5462" s="36"/>
      <c r="V5462" s="37"/>
    </row>
    <row r="5463" spans="13:22" x14ac:dyDescent="0.2">
      <c r="M5463" s="33"/>
      <c r="N5463" s="29"/>
      <c r="O5463" s="29"/>
      <c r="P5463" s="29"/>
      <c r="Q5463" s="34"/>
      <c r="R5463" s="35"/>
      <c r="S5463" s="36"/>
      <c r="T5463" s="36"/>
      <c r="U5463" s="36"/>
      <c r="V5463" s="37"/>
    </row>
    <row r="5464" spans="13:22" x14ac:dyDescent="0.2">
      <c r="M5464" s="33"/>
      <c r="N5464" s="29"/>
      <c r="O5464" s="29"/>
      <c r="P5464" s="29"/>
      <c r="Q5464" s="38"/>
      <c r="R5464" s="35"/>
      <c r="S5464" s="36"/>
      <c r="T5464" s="36"/>
      <c r="U5464" s="36"/>
      <c r="V5464" s="37"/>
    </row>
    <row r="5465" spans="13:22" x14ac:dyDescent="0.2">
      <c r="M5465" s="33"/>
      <c r="N5465" s="29"/>
      <c r="O5465" s="29"/>
      <c r="P5465" s="29"/>
      <c r="Q5465" s="34"/>
      <c r="R5465" s="35"/>
      <c r="S5465" s="36"/>
      <c r="T5465" s="36"/>
      <c r="U5465" s="36"/>
      <c r="V5465" s="37"/>
    </row>
    <row r="5466" spans="13:22" x14ac:dyDescent="0.2">
      <c r="M5466" s="33"/>
      <c r="N5466" s="29"/>
      <c r="O5466" s="29"/>
      <c r="P5466" s="29"/>
      <c r="Q5466" s="34"/>
      <c r="R5466" s="35"/>
      <c r="S5466" s="36"/>
      <c r="T5466" s="36"/>
      <c r="U5466" s="36"/>
      <c r="V5466" s="37"/>
    </row>
    <row r="5467" spans="13:22" x14ac:dyDescent="0.2">
      <c r="M5467" s="33"/>
      <c r="N5467" s="29"/>
      <c r="O5467" s="29"/>
      <c r="P5467" s="29"/>
      <c r="Q5467" s="34"/>
      <c r="R5467" s="35"/>
      <c r="S5467" s="36"/>
      <c r="T5467" s="36"/>
      <c r="U5467" s="36"/>
      <c r="V5467" s="37"/>
    </row>
    <row r="5468" spans="13:22" x14ac:dyDescent="0.2">
      <c r="M5468" s="33"/>
      <c r="N5468" s="29"/>
      <c r="O5468" s="29"/>
      <c r="P5468" s="29"/>
      <c r="Q5468" s="34"/>
      <c r="R5468" s="35"/>
      <c r="S5468" s="36"/>
      <c r="T5468" s="36"/>
      <c r="U5468" s="36"/>
      <c r="V5468" s="37"/>
    </row>
    <row r="5469" spans="13:22" x14ac:dyDescent="0.2">
      <c r="M5469" s="26"/>
      <c r="N5469" s="15"/>
      <c r="O5469" s="15"/>
      <c r="P5469" s="15"/>
      <c r="Q5469" s="39"/>
      <c r="R5469" s="35"/>
      <c r="S5469" s="36"/>
      <c r="T5469" s="36"/>
      <c r="U5469" s="36"/>
      <c r="V5469" s="37"/>
    </row>
    <row r="5470" spans="13:22" x14ac:dyDescent="0.2">
      <c r="M5470" s="26"/>
      <c r="N5470" s="15"/>
      <c r="O5470" s="15"/>
      <c r="P5470" s="15"/>
      <c r="Q5470" s="39"/>
      <c r="R5470" s="35"/>
      <c r="S5470" s="36"/>
      <c r="T5470" s="36"/>
      <c r="U5470" s="36"/>
      <c r="V5470" s="37"/>
    </row>
    <row r="5471" spans="13:22" x14ac:dyDescent="0.2">
      <c r="M5471" s="40"/>
      <c r="N5471" s="15"/>
      <c r="O5471" s="15"/>
      <c r="P5471" s="15"/>
      <c r="Q5471" s="39"/>
      <c r="R5471" s="35"/>
      <c r="S5471" s="36"/>
      <c r="T5471" s="36"/>
      <c r="U5471" s="36"/>
      <c r="V5471" s="37"/>
    </row>
    <row r="5472" spans="13:22" x14ac:dyDescent="0.2">
      <c r="M5472" s="40"/>
      <c r="N5472" s="15"/>
      <c r="O5472" s="15"/>
      <c r="P5472" s="15"/>
      <c r="Q5472" s="39"/>
      <c r="R5472" s="41"/>
      <c r="S5472" s="36"/>
      <c r="T5472" s="36"/>
      <c r="U5472" s="36"/>
      <c r="V5472" s="37"/>
    </row>
    <row r="5473" spans="13:22" x14ac:dyDescent="0.2">
      <c r="M5473" s="40"/>
      <c r="N5473" s="15"/>
      <c r="O5473" s="15"/>
      <c r="P5473" s="15"/>
      <c r="Q5473" s="39"/>
      <c r="R5473" s="41"/>
      <c r="S5473" s="36"/>
      <c r="T5473" s="36"/>
      <c r="U5473" s="36"/>
      <c r="V5473" s="37"/>
    </row>
    <row r="5474" spans="13:22" x14ac:dyDescent="0.2">
      <c r="M5474" s="40"/>
      <c r="N5474" s="15"/>
      <c r="O5474" s="15"/>
      <c r="P5474" s="15"/>
      <c r="Q5474" s="39"/>
      <c r="R5474" s="41"/>
      <c r="S5474" s="36"/>
      <c r="T5474" s="36"/>
      <c r="U5474" s="36"/>
      <c r="V5474" s="37"/>
    </row>
    <row r="5475" spans="13:22" x14ac:dyDescent="0.2">
      <c r="M5475" s="40"/>
      <c r="N5475" s="15"/>
      <c r="O5475" s="15"/>
      <c r="P5475" s="15"/>
      <c r="Q5475" s="39"/>
      <c r="R5475" s="41"/>
      <c r="S5475" s="36"/>
      <c r="T5475" s="36"/>
      <c r="U5475" s="36"/>
      <c r="V5475" s="37"/>
    </row>
    <row r="5476" spans="13:22" x14ac:dyDescent="0.2">
      <c r="M5476" s="40"/>
      <c r="N5476" s="15"/>
      <c r="O5476" s="15"/>
      <c r="P5476" s="15"/>
      <c r="Q5476" s="39"/>
      <c r="R5476" s="41"/>
      <c r="S5476" s="36"/>
      <c r="T5476" s="36"/>
      <c r="U5476" s="36"/>
      <c r="V5476" s="37"/>
    </row>
    <row r="5477" spans="13:22" x14ac:dyDescent="0.2">
      <c r="M5477" s="40"/>
      <c r="N5477" s="15"/>
      <c r="O5477" s="15"/>
      <c r="P5477" s="15"/>
      <c r="Q5477" s="39"/>
      <c r="R5477" s="41"/>
      <c r="S5477" s="36"/>
      <c r="T5477" s="36"/>
      <c r="U5477" s="36"/>
      <c r="V5477" s="37"/>
    </row>
    <row r="5478" spans="13:22" x14ac:dyDescent="0.2">
      <c r="M5478" s="40"/>
      <c r="N5478" s="15"/>
      <c r="O5478" s="15"/>
      <c r="P5478" s="15"/>
      <c r="Q5478" s="39"/>
      <c r="R5478" s="41"/>
      <c r="S5478" s="36"/>
      <c r="T5478" s="36"/>
      <c r="U5478" s="36"/>
      <c r="V5478" s="37"/>
    </row>
    <row r="5479" spans="13:22" x14ac:dyDescent="0.2">
      <c r="M5479" s="40"/>
      <c r="N5479" s="15"/>
      <c r="O5479" s="15"/>
      <c r="P5479" s="15"/>
      <c r="Q5479" s="39"/>
      <c r="R5479" s="41"/>
      <c r="S5479" s="36"/>
      <c r="T5479" s="36"/>
      <c r="U5479" s="36"/>
      <c r="V5479" s="37"/>
    </row>
    <row r="5480" spans="13:22" x14ac:dyDescent="0.2">
      <c r="M5480" s="40"/>
      <c r="N5480" s="15"/>
      <c r="O5480" s="15"/>
      <c r="P5480" s="15"/>
      <c r="Q5480" s="39"/>
      <c r="R5480" s="41"/>
      <c r="S5480" s="36"/>
      <c r="T5480" s="36"/>
      <c r="U5480" s="36"/>
      <c r="V5480" s="37"/>
    </row>
    <row r="5481" spans="13:22" ht="13.5" thickBot="1" x14ac:dyDescent="0.25">
      <c r="M5481" s="42"/>
      <c r="N5481" s="43"/>
      <c r="O5481" s="43"/>
      <c r="P5481" s="43"/>
      <c r="Q5481" s="44"/>
      <c r="R5481" s="41"/>
      <c r="S5481" s="46"/>
      <c r="T5481" s="46"/>
      <c r="U5481" s="46"/>
      <c r="V5481" s="47"/>
    </row>
    <row r="5482" spans="13:22" ht="13.5" thickBot="1" x14ac:dyDescent="0.25">
      <c r="M5482" s="48"/>
      <c r="N5482" s="49"/>
      <c r="O5482" s="49"/>
      <c r="P5482" s="49"/>
      <c r="Q5482" s="50"/>
      <c r="R5482" s="45"/>
      <c r="S5482" s="52"/>
      <c r="T5482" s="52"/>
      <c r="U5482" s="52"/>
      <c r="V5482" s="53"/>
    </row>
    <row r="5483" spans="13:22" x14ac:dyDescent="0.2">
      <c r="M5483" s="54"/>
      <c r="N5483" s="29"/>
      <c r="O5483" s="29"/>
      <c r="P5483" s="29"/>
      <c r="Q5483" s="34"/>
      <c r="R5483" s="51"/>
      <c r="S5483" s="36"/>
      <c r="T5483" s="36"/>
      <c r="U5483" s="36"/>
      <c r="V5483" s="37"/>
    </row>
    <row r="5484" spans="13:22" x14ac:dyDescent="0.2">
      <c r="M5484" s="33"/>
      <c r="N5484" s="29"/>
      <c r="O5484" s="29"/>
      <c r="P5484" s="29"/>
      <c r="Q5484" s="34"/>
      <c r="R5484" s="41"/>
      <c r="S5484" s="36"/>
      <c r="T5484" s="36"/>
      <c r="U5484" s="36"/>
      <c r="V5484" s="37"/>
    </row>
    <row r="5485" spans="13:22" x14ac:dyDescent="0.2">
      <c r="M5485" s="33"/>
      <c r="N5485" s="29"/>
      <c r="O5485" s="29"/>
      <c r="P5485" s="29"/>
      <c r="Q5485" s="34"/>
      <c r="R5485" s="35"/>
      <c r="S5485" s="36"/>
      <c r="T5485" s="36"/>
      <c r="U5485" s="36"/>
      <c r="V5485" s="37"/>
    </row>
    <row r="5486" spans="13:22" x14ac:dyDescent="0.2">
      <c r="M5486" s="33"/>
      <c r="N5486" s="29"/>
      <c r="O5486" s="29"/>
      <c r="P5486" s="29"/>
      <c r="Q5486" s="34"/>
      <c r="R5486" s="35"/>
      <c r="S5486" s="36"/>
      <c r="T5486" s="36"/>
      <c r="U5486" s="36"/>
      <c r="V5486" s="37"/>
    </row>
    <row r="5487" spans="13:22" x14ac:dyDescent="0.2">
      <c r="M5487" s="33"/>
      <c r="N5487" s="29"/>
      <c r="O5487" s="29"/>
      <c r="P5487" s="29"/>
      <c r="Q5487" s="34"/>
      <c r="R5487" s="35"/>
      <c r="S5487" s="36"/>
      <c r="T5487" s="36"/>
      <c r="U5487" s="36"/>
      <c r="V5487" s="37"/>
    </row>
    <row r="5488" spans="13:22" x14ac:dyDescent="0.2">
      <c r="M5488" s="33"/>
      <c r="N5488" s="29"/>
      <c r="O5488" s="29"/>
      <c r="P5488" s="29"/>
      <c r="Q5488" s="34"/>
      <c r="R5488" s="35"/>
      <c r="S5488" s="36"/>
      <c r="T5488" s="36"/>
      <c r="U5488" s="36"/>
      <c r="V5488" s="37"/>
    </row>
    <row r="5489" spans="13:22" x14ac:dyDescent="0.2">
      <c r="M5489" s="33"/>
      <c r="N5489" s="29"/>
      <c r="O5489" s="29"/>
      <c r="P5489" s="29"/>
      <c r="Q5489" s="38"/>
      <c r="R5489" s="35"/>
      <c r="S5489" s="36"/>
      <c r="T5489" s="36"/>
      <c r="U5489" s="36"/>
      <c r="V5489" s="37"/>
    </row>
    <row r="5490" spans="13:22" x14ac:dyDescent="0.2">
      <c r="M5490" s="33"/>
      <c r="N5490" s="29"/>
      <c r="O5490" s="29"/>
      <c r="P5490" s="29"/>
      <c r="Q5490" s="34"/>
      <c r="R5490" s="35"/>
      <c r="S5490" s="36"/>
      <c r="T5490" s="36"/>
      <c r="U5490" s="36"/>
      <c r="V5490" s="37"/>
    </row>
    <row r="5491" spans="13:22" x14ac:dyDescent="0.2">
      <c r="M5491" s="33"/>
      <c r="N5491" s="29"/>
      <c r="O5491" s="29"/>
      <c r="P5491" s="29"/>
      <c r="Q5491" s="34"/>
      <c r="R5491" s="35"/>
      <c r="S5491" s="36"/>
      <c r="T5491" s="36"/>
      <c r="U5491" s="36"/>
      <c r="V5491" s="37"/>
    </row>
    <row r="5492" spans="13:22" x14ac:dyDescent="0.2">
      <c r="M5492" s="33"/>
      <c r="N5492" s="29"/>
      <c r="O5492" s="29"/>
      <c r="P5492" s="29"/>
      <c r="Q5492" s="34"/>
      <c r="R5492" s="35"/>
      <c r="S5492" s="36"/>
      <c r="T5492" s="36"/>
      <c r="U5492" s="36"/>
      <c r="V5492" s="37"/>
    </row>
    <row r="5493" spans="13:22" x14ac:dyDescent="0.2">
      <c r="M5493" s="33"/>
      <c r="N5493" s="29"/>
      <c r="O5493" s="29"/>
      <c r="P5493" s="29"/>
      <c r="Q5493" s="34"/>
      <c r="R5493" s="35"/>
      <c r="S5493" s="36"/>
      <c r="T5493" s="36"/>
      <c r="U5493" s="36"/>
      <c r="V5493" s="37"/>
    </row>
    <row r="5494" spans="13:22" x14ac:dyDescent="0.2">
      <c r="M5494" s="26"/>
      <c r="N5494" s="15"/>
      <c r="O5494" s="15"/>
      <c r="P5494" s="15"/>
      <c r="Q5494" s="39"/>
      <c r="R5494" s="35"/>
      <c r="S5494" s="36"/>
      <c r="T5494" s="36"/>
      <c r="U5494" s="36"/>
      <c r="V5494" s="37"/>
    </row>
    <row r="5495" spans="13:22" x14ac:dyDescent="0.2">
      <c r="M5495" s="26"/>
      <c r="N5495" s="15"/>
      <c r="O5495" s="15"/>
      <c r="P5495" s="15"/>
      <c r="Q5495" s="39"/>
      <c r="R5495" s="35"/>
      <c r="S5495" s="36"/>
      <c r="T5495" s="36"/>
      <c r="U5495" s="36"/>
      <c r="V5495" s="37"/>
    </row>
    <row r="5496" spans="13:22" x14ac:dyDescent="0.2">
      <c r="M5496" s="40"/>
      <c r="N5496" s="15"/>
      <c r="O5496" s="15"/>
      <c r="P5496" s="15"/>
      <c r="Q5496" s="39"/>
      <c r="R5496" s="35"/>
      <c r="S5496" s="36"/>
      <c r="T5496" s="36"/>
      <c r="U5496" s="36"/>
      <c r="V5496" s="37"/>
    </row>
    <row r="5497" spans="13:22" x14ac:dyDescent="0.2">
      <c r="M5497" s="40"/>
      <c r="N5497" s="15"/>
      <c r="O5497" s="15"/>
      <c r="P5497" s="15"/>
      <c r="Q5497" s="39"/>
      <c r="R5497" s="41"/>
      <c r="S5497" s="36"/>
      <c r="T5497" s="36"/>
      <c r="U5497" s="36"/>
      <c r="V5497" s="37"/>
    </row>
    <row r="5498" spans="13:22" x14ac:dyDescent="0.2">
      <c r="M5498" s="40"/>
      <c r="N5498" s="15"/>
      <c r="O5498" s="15"/>
      <c r="P5498" s="15"/>
      <c r="Q5498" s="39"/>
      <c r="R5498" s="41"/>
      <c r="S5498" s="36"/>
      <c r="T5498" s="36"/>
      <c r="U5498" s="36"/>
      <c r="V5498" s="37"/>
    </row>
    <row r="5499" spans="13:22" x14ac:dyDescent="0.2">
      <c r="M5499" s="40"/>
      <c r="N5499" s="15"/>
      <c r="O5499" s="15"/>
      <c r="P5499" s="15"/>
      <c r="Q5499" s="39"/>
      <c r="R5499" s="41"/>
      <c r="S5499" s="36"/>
      <c r="T5499" s="36"/>
      <c r="U5499" s="36"/>
      <c r="V5499" s="37"/>
    </row>
    <row r="5500" spans="13:22" x14ac:dyDescent="0.2">
      <c r="M5500" s="40"/>
      <c r="N5500" s="15"/>
      <c r="O5500" s="15"/>
      <c r="P5500" s="15"/>
      <c r="Q5500" s="39"/>
      <c r="R5500" s="41"/>
      <c r="S5500" s="36"/>
      <c r="T5500" s="36"/>
      <c r="U5500" s="36"/>
      <c r="V5500" s="37"/>
    </row>
    <row r="5501" spans="13:22" x14ac:dyDescent="0.2">
      <c r="M5501" s="40"/>
      <c r="N5501" s="15"/>
      <c r="O5501" s="15"/>
      <c r="P5501" s="15"/>
      <c r="Q5501" s="39"/>
      <c r="R5501" s="41"/>
      <c r="S5501" s="36"/>
      <c r="T5501" s="36"/>
      <c r="U5501" s="36"/>
      <c r="V5501" s="37"/>
    </row>
    <row r="5502" spans="13:22" x14ac:dyDescent="0.2">
      <c r="M5502" s="40"/>
      <c r="N5502" s="15"/>
      <c r="O5502" s="15"/>
      <c r="P5502" s="15"/>
      <c r="Q5502" s="39"/>
      <c r="R5502" s="41"/>
      <c r="S5502" s="36"/>
      <c r="T5502" s="36"/>
      <c r="U5502" s="36"/>
      <c r="V5502" s="37"/>
    </row>
    <row r="5503" spans="13:22" x14ac:dyDescent="0.2">
      <c r="M5503" s="40"/>
      <c r="N5503" s="15"/>
      <c r="O5503" s="15"/>
      <c r="P5503" s="15"/>
      <c r="Q5503" s="39"/>
      <c r="R5503" s="41"/>
      <c r="S5503" s="36"/>
      <c r="T5503" s="36"/>
      <c r="U5503" s="36"/>
      <c r="V5503" s="37"/>
    </row>
    <row r="5504" spans="13:22" x14ac:dyDescent="0.2">
      <c r="M5504" s="40"/>
      <c r="N5504" s="15"/>
      <c r="O5504" s="15"/>
      <c r="P5504" s="15"/>
      <c r="Q5504" s="39"/>
      <c r="R5504" s="41"/>
      <c r="S5504" s="36"/>
      <c r="T5504" s="36"/>
      <c r="U5504" s="36"/>
      <c r="V5504" s="37"/>
    </row>
    <row r="5505" spans="13:22" x14ac:dyDescent="0.2">
      <c r="M5505" s="40"/>
      <c r="N5505" s="15"/>
      <c r="O5505" s="15"/>
      <c r="P5505" s="15"/>
      <c r="Q5505" s="39"/>
      <c r="R5505" s="41"/>
      <c r="S5505" s="36"/>
      <c r="T5505" s="36"/>
      <c r="U5505" s="36"/>
      <c r="V5505" s="37"/>
    </row>
    <row r="5506" spans="13:22" ht="13.5" thickBot="1" x14ac:dyDescent="0.25">
      <c r="M5506" s="42"/>
      <c r="N5506" s="43"/>
      <c r="O5506" s="43"/>
      <c r="P5506" s="43"/>
      <c r="Q5506" s="44"/>
      <c r="R5506" s="41"/>
      <c r="S5506" s="46"/>
      <c r="T5506" s="46"/>
      <c r="U5506" s="46"/>
      <c r="V5506" s="47"/>
    </row>
    <row r="5507" spans="13:22" ht="13.5" thickBot="1" x14ac:dyDescent="0.25">
      <c r="M5507" s="48"/>
      <c r="N5507" s="49"/>
      <c r="O5507" s="49"/>
      <c r="P5507" s="49"/>
      <c r="Q5507" s="50"/>
      <c r="R5507" s="45"/>
      <c r="S5507" s="52"/>
      <c r="T5507" s="52"/>
      <c r="U5507" s="52"/>
      <c r="V5507" s="53"/>
    </row>
    <row r="5508" spans="13:22" x14ac:dyDescent="0.2">
      <c r="M5508" s="54"/>
      <c r="N5508" s="29"/>
      <c r="O5508" s="29"/>
      <c r="P5508" s="29"/>
      <c r="Q5508" s="34"/>
      <c r="R5508" s="51"/>
      <c r="S5508" s="36"/>
      <c r="T5508" s="36"/>
      <c r="U5508" s="36"/>
      <c r="V5508" s="37"/>
    </row>
    <row r="5509" spans="13:22" x14ac:dyDescent="0.2">
      <c r="M5509" s="33"/>
      <c r="N5509" s="29"/>
      <c r="O5509" s="29"/>
      <c r="P5509" s="29"/>
      <c r="Q5509" s="34"/>
      <c r="R5509" s="41"/>
      <c r="S5509" s="36"/>
      <c r="T5509" s="36"/>
      <c r="U5509" s="36"/>
      <c r="V5509" s="37"/>
    </row>
    <row r="5510" spans="13:22" x14ac:dyDescent="0.2">
      <c r="M5510" s="33"/>
      <c r="N5510" s="29"/>
      <c r="O5510" s="29"/>
      <c r="P5510" s="29"/>
      <c r="Q5510" s="34"/>
      <c r="R5510" s="35"/>
      <c r="S5510" s="36"/>
      <c r="T5510" s="36"/>
      <c r="U5510" s="36"/>
      <c r="V5510" s="37"/>
    </row>
    <row r="5511" spans="13:22" x14ac:dyDescent="0.2">
      <c r="M5511" s="33"/>
      <c r="N5511" s="29"/>
      <c r="O5511" s="29"/>
      <c r="P5511" s="29"/>
      <c r="Q5511" s="34"/>
      <c r="R5511" s="35"/>
      <c r="S5511" s="36"/>
      <c r="T5511" s="36"/>
      <c r="U5511" s="36"/>
      <c r="V5511" s="37"/>
    </row>
    <row r="5512" spans="13:22" x14ac:dyDescent="0.2">
      <c r="M5512" s="33"/>
      <c r="N5512" s="29"/>
      <c r="O5512" s="29"/>
      <c r="P5512" s="29"/>
      <c r="Q5512" s="34"/>
      <c r="R5512" s="35"/>
      <c r="S5512" s="36"/>
      <c r="T5512" s="36"/>
      <c r="U5512" s="36"/>
      <c r="V5512" s="37"/>
    </row>
    <row r="5513" spans="13:22" x14ac:dyDescent="0.2">
      <c r="M5513" s="33"/>
      <c r="N5513" s="29"/>
      <c r="O5513" s="29"/>
      <c r="P5513" s="29"/>
      <c r="Q5513" s="34"/>
      <c r="R5513" s="35"/>
      <c r="S5513" s="36"/>
      <c r="T5513" s="36"/>
      <c r="U5513" s="36"/>
      <c r="V5513" s="37"/>
    </row>
    <row r="5514" spans="13:22" x14ac:dyDescent="0.2">
      <c r="M5514" s="33"/>
      <c r="N5514" s="29"/>
      <c r="O5514" s="29"/>
      <c r="P5514" s="29"/>
      <c r="Q5514" s="38"/>
      <c r="R5514" s="35"/>
      <c r="S5514" s="36"/>
      <c r="T5514" s="36"/>
      <c r="U5514" s="36"/>
      <c r="V5514" s="37"/>
    </row>
    <row r="5515" spans="13:22" x14ac:dyDescent="0.2">
      <c r="M5515" s="33"/>
      <c r="N5515" s="29"/>
      <c r="O5515" s="29"/>
      <c r="P5515" s="29"/>
      <c r="Q5515" s="34"/>
      <c r="R5515" s="35"/>
      <c r="S5515" s="36"/>
      <c r="T5515" s="36"/>
      <c r="U5515" s="36"/>
      <c r="V5515" s="37"/>
    </row>
    <row r="5516" spans="13:22" x14ac:dyDescent="0.2">
      <c r="M5516" s="33"/>
      <c r="N5516" s="29"/>
      <c r="O5516" s="29"/>
      <c r="P5516" s="29"/>
      <c r="Q5516" s="34"/>
      <c r="R5516" s="35"/>
      <c r="S5516" s="36"/>
      <c r="T5516" s="36"/>
      <c r="U5516" s="36"/>
      <c r="V5516" s="37"/>
    </row>
    <row r="5517" spans="13:22" x14ac:dyDescent="0.2">
      <c r="M5517" s="33"/>
      <c r="N5517" s="29"/>
      <c r="O5517" s="29"/>
      <c r="P5517" s="29"/>
      <c r="Q5517" s="34"/>
      <c r="R5517" s="35"/>
      <c r="S5517" s="36"/>
      <c r="T5517" s="36"/>
      <c r="U5517" s="36"/>
      <c r="V5517" s="37"/>
    </row>
    <row r="5518" spans="13:22" x14ac:dyDescent="0.2">
      <c r="M5518" s="33"/>
      <c r="N5518" s="29"/>
      <c r="O5518" s="29"/>
      <c r="P5518" s="29"/>
      <c r="Q5518" s="34"/>
      <c r="R5518" s="35"/>
      <c r="S5518" s="36"/>
      <c r="T5518" s="36"/>
      <c r="U5518" s="36"/>
      <c r="V5518" s="37"/>
    </row>
    <row r="5519" spans="13:22" x14ac:dyDescent="0.2">
      <c r="M5519" s="26"/>
      <c r="N5519" s="15"/>
      <c r="O5519" s="15"/>
      <c r="P5519" s="15"/>
      <c r="Q5519" s="39"/>
      <c r="R5519" s="35"/>
      <c r="S5519" s="36"/>
      <c r="T5519" s="36"/>
      <c r="U5519" s="36"/>
      <c r="V5519" s="37"/>
    </row>
    <row r="5520" spans="13:22" x14ac:dyDescent="0.2">
      <c r="M5520" s="26"/>
      <c r="N5520" s="15"/>
      <c r="O5520" s="15"/>
      <c r="P5520" s="15"/>
      <c r="Q5520" s="39"/>
      <c r="R5520" s="35"/>
      <c r="S5520" s="36"/>
      <c r="T5520" s="36"/>
      <c r="U5520" s="36"/>
      <c r="V5520" s="37"/>
    </row>
    <row r="5521" spans="13:22" x14ac:dyDescent="0.2">
      <c r="M5521" s="40"/>
      <c r="N5521" s="15"/>
      <c r="O5521" s="15"/>
      <c r="P5521" s="15"/>
      <c r="Q5521" s="39"/>
      <c r="R5521" s="35"/>
      <c r="S5521" s="36"/>
      <c r="T5521" s="36"/>
      <c r="U5521" s="36"/>
      <c r="V5521" s="37"/>
    </row>
    <row r="5522" spans="13:22" x14ac:dyDescent="0.2">
      <c r="M5522" s="40"/>
      <c r="N5522" s="15"/>
      <c r="O5522" s="15"/>
      <c r="P5522" s="15"/>
      <c r="Q5522" s="39"/>
      <c r="R5522" s="41"/>
      <c r="S5522" s="36"/>
      <c r="T5522" s="36"/>
      <c r="U5522" s="36"/>
      <c r="V5522" s="37"/>
    </row>
    <row r="5523" spans="13:22" x14ac:dyDescent="0.2">
      <c r="M5523" s="40"/>
      <c r="N5523" s="15"/>
      <c r="O5523" s="15"/>
      <c r="P5523" s="15"/>
      <c r="Q5523" s="39"/>
      <c r="R5523" s="41"/>
      <c r="S5523" s="36"/>
      <c r="T5523" s="36"/>
      <c r="U5523" s="36"/>
      <c r="V5523" s="37"/>
    </row>
    <row r="5524" spans="13:22" x14ac:dyDescent="0.2">
      <c r="M5524" s="40"/>
      <c r="N5524" s="15"/>
      <c r="O5524" s="15"/>
      <c r="P5524" s="15"/>
      <c r="Q5524" s="39"/>
      <c r="R5524" s="41"/>
      <c r="S5524" s="36"/>
      <c r="T5524" s="36"/>
      <c r="U5524" s="36"/>
      <c r="V5524" s="37"/>
    </row>
    <row r="5525" spans="13:22" x14ac:dyDescent="0.2">
      <c r="M5525" s="40"/>
      <c r="N5525" s="15"/>
      <c r="O5525" s="15"/>
      <c r="P5525" s="15"/>
      <c r="Q5525" s="39"/>
      <c r="R5525" s="41"/>
      <c r="S5525" s="36"/>
      <c r="T5525" s="36"/>
      <c r="U5525" s="36"/>
      <c r="V5525" s="37"/>
    </row>
    <row r="5526" spans="13:22" x14ac:dyDescent="0.2">
      <c r="M5526" s="40"/>
      <c r="N5526" s="15"/>
      <c r="O5526" s="15"/>
      <c r="P5526" s="15"/>
      <c r="Q5526" s="39"/>
      <c r="R5526" s="41"/>
      <c r="S5526" s="36"/>
      <c r="T5526" s="36"/>
      <c r="U5526" s="36"/>
      <c r="V5526" s="37"/>
    </row>
    <row r="5527" spans="13:22" x14ac:dyDescent="0.2">
      <c r="M5527" s="40"/>
      <c r="N5527" s="15"/>
      <c r="O5527" s="15"/>
      <c r="P5527" s="15"/>
      <c r="Q5527" s="39"/>
      <c r="R5527" s="41"/>
      <c r="S5527" s="36"/>
      <c r="T5527" s="36"/>
      <c r="U5527" s="36"/>
      <c r="V5527" s="37"/>
    </row>
    <row r="5528" spans="13:22" x14ac:dyDescent="0.2">
      <c r="M5528" s="40"/>
      <c r="N5528" s="15"/>
      <c r="O5528" s="15"/>
      <c r="P5528" s="15"/>
      <c r="Q5528" s="39"/>
      <c r="R5528" s="41"/>
      <c r="S5528" s="36"/>
      <c r="T5528" s="36"/>
      <c r="U5528" s="36"/>
      <c r="V5528" s="37"/>
    </row>
    <row r="5529" spans="13:22" x14ac:dyDescent="0.2">
      <c r="M5529" s="40"/>
      <c r="N5529" s="15"/>
      <c r="O5529" s="15"/>
      <c r="P5529" s="15"/>
      <c r="Q5529" s="39"/>
      <c r="R5529" s="41"/>
      <c r="S5529" s="36"/>
      <c r="T5529" s="36"/>
      <c r="U5529" s="36"/>
      <c r="V5529" s="37"/>
    </row>
    <row r="5530" spans="13:22" x14ac:dyDescent="0.2">
      <c r="M5530" s="40"/>
      <c r="N5530" s="15"/>
      <c r="O5530" s="15"/>
      <c r="P5530" s="15"/>
      <c r="Q5530" s="39"/>
      <c r="R5530" s="41"/>
      <c r="S5530" s="36"/>
      <c r="T5530" s="36"/>
      <c r="U5530" s="36"/>
      <c r="V5530" s="37"/>
    </row>
    <row r="5531" spans="13:22" ht="13.5" thickBot="1" x14ac:dyDescent="0.25">
      <c r="M5531" s="42"/>
      <c r="N5531" s="43"/>
      <c r="O5531" s="43"/>
      <c r="P5531" s="43"/>
      <c r="Q5531" s="44"/>
      <c r="R5531" s="41"/>
      <c r="S5531" s="46"/>
      <c r="T5531" s="46"/>
      <c r="U5531" s="46"/>
      <c r="V5531" s="47"/>
    </row>
    <row r="5532" spans="13:22" ht="13.5" thickBot="1" x14ac:dyDescent="0.25">
      <c r="M5532" s="48"/>
      <c r="N5532" s="49"/>
      <c r="O5532" s="49"/>
      <c r="P5532" s="49"/>
      <c r="Q5532" s="50"/>
      <c r="R5532" s="45"/>
      <c r="S5532" s="52"/>
      <c r="T5532" s="52"/>
      <c r="U5532" s="52"/>
      <c r="V5532" s="53"/>
    </row>
    <row r="5533" spans="13:22" x14ac:dyDescent="0.2">
      <c r="M5533" s="54"/>
      <c r="N5533" s="29"/>
      <c r="O5533" s="29"/>
      <c r="P5533" s="29"/>
      <c r="Q5533" s="34"/>
      <c r="R5533" s="51"/>
      <c r="S5533" s="36"/>
      <c r="T5533" s="36"/>
      <c r="U5533" s="36"/>
      <c r="V5533" s="37"/>
    </row>
    <row r="5534" spans="13:22" x14ac:dyDescent="0.2">
      <c r="M5534" s="33"/>
      <c r="N5534" s="29"/>
      <c r="O5534" s="29"/>
      <c r="P5534" s="29"/>
      <c r="Q5534" s="34"/>
      <c r="R5534" s="41"/>
      <c r="S5534" s="36"/>
      <c r="T5534" s="36"/>
      <c r="U5534" s="36"/>
      <c r="V5534" s="37"/>
    </row>
    <row r="5535" spans="13:22" x14ac:dyDescent="0.2">
      <c r="M5535" s="33"/>
      <c r="N5535" s="29"/>
      <c r="O5535" s="29"/>
      <c r="P5535" s="29"/>
      <c r="Q5535" s="34"/>
      <c r="R5535" s="35"/>
      <c r="S5535" s="36"/>
      <c r="T5535" s="36"/>
      <c r="U5535" s="36"/>
      <c r="V5535" s="37"/>
    </row>
    <row r="5536" spans="13:22" x14ac:dyDescent="0.2">
      <c r="M5536" s="33"/>
      <c r="N5536" s="29"/>
      <c r="O5536" s="29"/>
      <c r="P5536" s="29"/>
      <c r="Q5536" s="34"/>
      <c r="R5536" s="35"/>
      <c r="S5536" s="36"/>
      <c r="T5536" s="36"/>
      <c r="U5536" s="36"/>
      <c r="V5536" s="37"/>
    </row>
    <row r="5537" spans="13:22" x14ac:dyDescent="0.2">
      <c r="M5537" s="33"/>
      <c r="N5537" s="29"/>
      <c r="O5537" s="29"/>
      <c r="P5537" s="29"/>
      <c r="Q5537" s="34"/>
      <c r="R5537" s="35"/>
      <c r="S5537" s="36"/>
      <c r="T5537" s="36"/>
      <c r="U5537" s="36"/>
      <c r="V5537" s="37"/>
    </row>
    <row r="5538" spans="13:22" x14ac:dyDescent="0.2">
      <c r="M5538" s="33"/>
      <c r="N5538" s="29"/>
      <c r="O5538" s="29"/>
      <c r="P5538" s="29"/>
      <c r="Q5538" s="34"/>
      <c r="R5538" s="35"/>
      <c r="S5538" s="36"/>
      <c r="T5538" s="36"/>
      <c r="U5538" s="36"/>
      <c r="V5538" s="37"/>
    </row>
    <row r="5539" spans="13:22" x14ac:dyDescent="0.2">
      <c r="M5539" s="33"/>
      <c r="N5539" s="29"/>
      <c r="O5539" s="29"/>
      <c r="P5539" s="29"/>
      <c r="Q5539" s="38"/>
      <c r="R5539" s="35"/>
      <c r="S5539" s="36"/>
      <c r="T5539" s="36"/>
      <c r="U5539" s="36"/>
      <c r="V5539" s="37"/>
    </row>
    <row r="5540" spans="13:22" x14ac:dyDescent="0.2">
      <c r="M5540" s="33"/>
      <c r="N5540" s="29"/>
      <c r="O5540" s="29"/>
      <c r="P5540" s="29"/>
      <c r="Q5540" s="34"/>
      <c r="R5540" s="35"/>
      <c r="S5540" s="36"/>
      <c r="T5540" s="36"/>
      <c r="U5540" s="36"/>
      <c r="V5540" s="37"/>
    </row>
    <row r="5541" spans="13:22" x14ac:dyDescent="0.2">
      <c r="M5541" s="33"/>
      <c r="N5541" s="29"/>
      <c r="O5541" s="29"/>
      <c r="P5541" s="29"/>
      <c r="Q5541" s="34"/>
      <c r="R5541" s="35"/>
      <c r="S5541" s="36"/>
      <c r="T5541" s="36"/>
      <c r="U5541" s="36"/>
      <c r="V5541" s="37"/>
    </row>
    <row r="5542" spans="13:22" x14ac:dyDescent="0.2">
      <c r="M5542" s="33"/>
      <c r="N5542" s="29"/>
      <c r="O5542" s="29"/>
      <c r="P5542" s="29"/>
      <c r="Q5542" s="34"/>
      <c r="R5542" s="35"/>
      <c r="S5542" s="36"/>
      <c r="T5542" s="36"/>
      <c r="U5542" s="36"/>
      <c r="V5542" s="37"/>
    </row>
    <row r="5543" spans="13:22" x14ac:dyDescent="0.2">
      <c r="M5543" s="33"/>
      <c r="N5543" s="29"/>
      <c r="O5543" s="29"/>
      <c r="P5543" s="29"/>
      <c r="Q5543" s="34"/>
      <c r="R5543" s="35"/>
      <c r="S5543" s="36"/>
      <c r="T5543" s="36"/>
      <c r="U5543" s="36"/>
      <c r="V5543" s="37"/>
    </row>
    <row r="5544" spans="13:22" x14ac:dyDescent="0.2">
      <c r="M5544" s="26"/>
      <c r="N5544" s="15"/>
      <c r="O5544" s="15"/>
      <c r="P5544" s="15"/>
      <c r="Q5544" s="39"/>
      <c r="R5544" s="35"/>
      <c r="S5544" s="36"/>
      <c r="T5544" s="36"/>
      <c r="U5544" s="36"/>
      <c r="V5544" s="37"/>
    </row>
    <row r="5545" spans="13:22" x14ac:dyDescent="0.2">
      <c r="M5545" s="26"/>
      <c r="N5545" s="15"/>
      <c r="O5545" s="15"/>
      <c r="P5545" s="15"/>
      <c r="Q5545" s="39"/>
      <c r="R5545" s="35"/>
      <c r="S5545" s="36"/>
      <c r="T5545" s="36"/>
      <c r="U5545" s="36"/>
      <c r="V5545" s="37"/>
    </row>
    <row r="5546" spans="13:22" x14ac:dyDescent="0.2">
      <c r="M5546" s="40"/>
      <c r="N5546" s="15"/>
      <c r="O5546" s="15"/>
      <c r="P5546" s="15"/>
      <c r="Q5546" s="39"/>
      <c r="R5546" s="35"/>
      <c r="S5546" s="36"/>
      <c r="T5546" s="36"/>
      <c r="U5546" s="36"/>
      <c r="V5546" s="37"/>
    </row>
    <row r="5547" spans="13:22" x14ac:dyDescent="0.2">
      <c r="M5547" s="40"/>
      <c r="N5547" s="15"/>
      <c r="O5547" s="15"/>
      <c r="P5547" s="15"/>
      <c r="Q5547" s="39"/>
      <c r="R5547" s="41"/>
      <c r="S5547" s="36"/>
      <c r="T5547" s="36"/>
      <c r="U5547" s="36"/>
      <c r="V5547" s="37"/>
    </row>
    <row r="5548" spans="13:22" x14ac:dyDescent="0.2">
      <c r="M5548" s="40"/>
      <c r="N5548" s="15"/>
      <c r="O5548" s="15"/>
      <c r="P5548" s="15"/>
      <c r="Q5548" s="39"/>
      <c r="R5548" s="41"/>
      <c r="S5548" s="36"/>
      <c r="T5548" s="36"/>
      <c r="U5548" s="36"/>
      <c r="V5548" s="37"/>
    </row>
    <row r="5549" spans="13:22" x14ac:dyDescent="0.2">
      <c r="M5549" s="40"/>
      <c r="N5549" s="15"/>
      <c r="O5549" s="15"/>
      <c r="P5549" s="15"/>
      <c r="Q5549" s="39"/>
      <c r="R5549" s="41"/>
      <c r="S5549" s="36"/>
      <c r="T5549" s="36"/>
      <c r="U5549" s="36"/>
      <c r="V5549" s="37"/>
    </row>
    <row r="5550" spans="13:22" x14ac:dyDescent="0.2">
      <c r="M5550" s="40"/>
      <c r="N5550" s="15"/>
      <c r="O5550" s="15"/>
      <c r="P5550" s="15"/>
      <c r="Q5550" s="39"/>
      <c r="R5550" s="41"/>
      <c r="S5550" s="36"/>
      <c r="T5550" s="36"/>
      <c r="U5550" s="36"/>
      <c r="V5550" s="37"/>
    </row>
    <row r="5551" spans="13:22" x14ac:dyDescent="0.2">
      <c r="M5551" s="40"/>
      <c r="N5551" s="15"/>
      <c r="O5551" s="15"/>
      <c r="P5551" s="15"/>
      <c r="Q5551" s="39"/>
      <c r="R5551" s="41"/>
      <c r="S5551" s="36"/>
      <c r="T5551" s="36"/>
      <c r="U5551" s="36"/>
      <c r="V5551" s="37"/>
    </row>
    <row r="5552" spans="13:22" x14ac:dyDescent="0.2">
      <c r="M5552" s="40"/>
      <c r="N5552" s="15"/>
      <c r="O5552" s="15"/>
      <c r="P5552" s="15"/>
      <c r="Q5552" s="39"/>
      <c r="R5552" s="41"/>
      <c r="S5552" s="36"/>
      <c r="T5552" s="36"/>
      <c r="U5552" s="36"/>
      <c r="V5552" s="37"/>
    </row>
    <row r="5553" spans="13:22" x14ac:dyDescent="0.2">
      <c r="M5553" s="40"/>
      <c r="N5553" s="15"/>
      <c r="O5553" s="15"/>
      <c r="P5553" s="15"/>
      <c r="Q5553" s="39"/>
      <c r="R5553" s="41"/>
      <c r="S5553" s="36"/>
      <c r="T5553" s="36"/>
      <c r="U5553" s="36"/>
      <c r="V5553" s="37"/>
    </row>
    <row r="5554" spans="13:22" x14ac:dyDescent="0.2">
      <c r="M5554" s="40"/>
      <c r="N5554" s="15"/>
      <c r="O5554" s="15"/>
      <c r="P5554" s="15"/>
      <c r="Q5554" s="39"/>
      <c r="R5554" s="41"/>
      <c r="S5554" s="36"/>
      <c r="T5554" s="36"/>
      <c r="U5554" s="36"/>
      <c r="V5554" s="37"/>
    </row>
    <row r="5555" spans="13:22" x14ac:dyDescent="0.2">
      <c r="M5555" s="40"/>
      <c r="N5555" s="15"/>
      <c r="O5555" s="15"/>
      <c r="P5555" s="15"/>
      <c r="Q5555" s="39"/>
      <c r="R5555" s="41"/>
      <c r="S5555" s="36"/>
      <c r="T5555" s="36"/>
      <c r="U5555" s="36"/>
      <c r="V5555" s="37"/>
    </row>
    <row r="5556" spans="13:22" ht="13.5" thickBot="1" x14ac:dyDescent="0.25">
      <c r="M5556" s="42"/>
      <c r="N5556" s="43"/>
      <c r="O5556" s="43"/>
      <c r="P5556" s="43"/>
      <c r="Q5556" s="44"/>
      <c r="R5556" s="41"/>
      <c r="S5556" s="46"/>
      <c r="T5556" s="46"/>
      <c r="U5556" s="46"/>
      <c r="V5556" s="47"/>
    </row>
    <row r="5557" spans="13:22" ht="13.5" thickBot="1" x14ac:dyDescent="0.25">
      <c r="M5557" s="48"/>
      <c r="N5557" s="49"/>
      <c r="O5557" s="49"/>
      <c r="P5557" s="49"/>
      <c r="Q5557" s="50"/>
      <c r="R5557" s="45"/>
      <c r="S5557" s="52"/>
      <c r="T5557" s="52"/>
      <c r="U5557" s="52"/>
      <c r="V5557" s="53"/>
    </row>
    <row r="5558" spans="13:22" x14ac:dyDescent="0.2">
      <c r="M5558" s="54"/>
      <c r="N5558" s="29"/>
      <c r="O5558" s="29"/>
      <c r="P5558" s="29"/>
      <c r="Q5558" s="34"/>
      <c r="R5558" s="51"/>
      <c r="S5558" s="36"/>
      <c r="T5558" s="36"/>
      <c r="U5558" s="36"/>
      <c r="V5558" s="37"/>
    </row>
    <row r="5559" spans="13:22" x14ac:dyDescent="0.2">
      <c r="M5559" s="33"/>
      <c r="N5559" s="29"/>
      <c r="O5559" s="29"/>
      <c r="P5559" s="29"/>
      <c r="Q5559" s="34"/>
      <c r="R5559" s="41"/>
      <c r="S5559" s="36"/>
      <c r="T5559" s="36"/>
      <c r="U5559" s="36"/>
      <c r="V5559" s="37"/>
    </row>
    <row r="5560" spans="13:22" x14ac:dyDescent="0.2">
      <c r="M5560" s="33"/>
      <c r="N5560" s="29"/>
      <c r="O5560" s="29"/>
      <c r="P5560" s="29"/>
      <c r="Q5560" s="34"/>
      <c r="R5560" s="35"/>
      <c r="S5560" s="36"/>
      <c r="T5560" s="36"/>
      <c r="U5560" s="36"/>
      <c r="V5560" s="37"/>
    </row>
    <row r="5561" spans="13:22" x14ac:dyDescent="0.2">
      <c r="M5561" s="33"/>
      <c r="N5561" s="29"/>
      <c r="O5561" s="29"/>
      <c r="P5561" s="29"/>
      <c r="Q5561" s="34"/>
      <c r="R5561" s="35"/>
      <c r="S5561" s="36"/>
      <c r="T5561" s="36"/>
      <c r="U5561" s="36"/>
      <c r="V5561" s="37"/>
    </row>
    <row r="5562" spans="13:22" x14ac:dyDescent="0.2">
      <c r="M5562" s="33"/>
      <c r="N5562" s="29"/>
      <c r="O5562" s="29"/>
      <c r="P5562" s="29"/>
      <c r="Q5562" s="34"/>
      <c r="R5562" s="35"/>
      <c r="S5562" s="36"/>
      <c r="T5562" s="36"/>
      <c r="U5562" s="36"/>
      <c r="V5562" s="37"/>
    </row>
    <row r="5563" spans="13:22" x14ac:dyDescent="0.2">
      <c r="M5563" s="33"/>
      <c r="N5563" s="29"/>
      <c r="O5563" s="29"/>
      <c r="P5563" s="29"/>
      <c r="Q5563" s="34"/>
      <c r="R5563" s="35"/>
      <c r="S5563" s="36"/>
      <c r="T5563" s="36"/>
      <c r="U5563" s="36"/>
      <c r="V5563" s="37"/>
    </row>
    <row r="5564" spans="13:22" x14ac:dyDescent="0.2">
      <c r="M5564" s="33"/>
      <c r="N5564" s="29"/>
      <c r="O5564" s="29"/>
      <c r="P5564" s="29"/>
      <c r="Q5564" s="38"/>
      <c r="R5564" s="35"/>
      <c r="S5564" s="36"/>
      <c r="T5564" s="36"/>
      <c r="U5564" s="36"/>
      <c r="V5564" s="37"/>
    </row>
    <row r="5565" spans="13:22" x14ac:dyDescent="0.2">
      <c r="M5565" s="33"/>
      <c r="N5565" s="29"/>
      <c r="O5565" s="29"/>
      <c r="P5565" s="29"/>
      <c r="Q5565" s="34"/>
      <c r="R5565" s="35"/>
      <c r="S5565" s="36"/>
      <c r="T5565" s="36"/>
      <c r="U5565" s="36"/>
      <c r="V5565" s="37"/>
    </row>
    <row r="5566" spans="13:22" x14ac:dyDescent="0.2">
      <c r="M5566" s="33"/>
      <c r="N5566" s="29"/>
      <c r="O5566" s="29"/>
      <c r="P5566" s="29"/>
      <c r="Q5566" s="34"/>
      <c r="R5566" s="35"/>
      <c r="S5566" s="36"/>
      <c r="T5566" s="36"/>
      <c r="U5566" s="36"/>
      <c r="V5566" s="37"/>
    </row>
    <row r="5567" spans="13:22" x14ac:dyDescent="0.2">
      <c r="M5567" s="33"/>
      <c r="N5567" s="29"/>
      <c r="O5567" s="29"/>
      <c r="P5567" s="29"/>
      <c r="Q5567" s="34"/>
      <c r="R5567" s="35"/>
      <c r="S5567" s="36"/>
      <c r="T5567" s="36"/>
      <c r="U5567" s="36"/>
      <c r="V5567" s="37"/>
    </row>
    <row r="5568" spans="13:22" x14ac:dyDescent="0.2">
      <c r="M5568" s="33"/>
      <c r="N5568" s="29"/>
      <c r="O5568" s="29"/>
      <c r="P5568" s="29"/>
      <c r="Q5568" s="34"/>
      <c r="R5568" s="35"/>
      <c r="S5568" s="36"/>
      <c r="T5568" s="36"/>
      <c r="U5568" s="36"/>
      <c r="V5568" s="37"/>
    </row>
    <row r="5569" spans="13:22" x14ac:dyDescent="0.2">
      <c r="M5569" s="26"/>
      <c r="N5569" s="15"/>
      <c r="O5569" s="15"/>
      <c r="P5569" s="15"/>
      <c r="Q5569" s="39"/>
      <c r="R5569" s="35"/>
      <c r="S5569" s="36"/>
      <c r="T5569" s="36"/>
      <c r="U5569" s="36"/>
      <c r="V5569" s="37"/>
    </row>
    <row r="5570" spans="13:22" x14ac:dyDescent="0.2">
      <c r="M5570" s="26"/>
      <c r="N5570" s="15"/>
      <c r="O5570" s="15"/>
      <c r="P5570" s="15"/>
      <c r="Q5570" s="39"/>
      <c r="R5570" s="35"/>
      <c r="S5570" s="36"/>
      <c r="T5570" s="36"/>
      <c r="U5570" s="36"/>
      <c r="V5570" s="37"/>
    </row>
    <row r="5571" spans="13:22" x14ac:dyDescent="0.2">
      <c r="M5571" s="40"/>
      <c r="N5571" s="15"/>
      <c r="O5571" s="15"/>
      <c r="P5571" s="15"/>
      <c r="Q5571" s="39"/>
      <c r="R5571" s="35"/>
      <c r="S5571" s="36"/>
      <c r="T5571" s="36"/>
      <c r="U5571" s="36"/>
      <c r="V5571" s="37"/>
    </row>
    <row r="5572" spans="13:22" x14ac:dyDescent="0.2">
      <c r="M5572" s="40"/>
      <c r="N5572" s="15"/>
      <c r="O5572" s="15"/>
      <c r="P5572" s="15"/>
      <c r="Q5572" s="39"/>
      <c r="R5572" s="41"/>
      <c r="S5572" s="36"/>
      <c r="T5572" s="36"/>
      <c r="U5572" s="36"/>
      <c r="V5572" s="37"/>
    </row>
    <row r="5573" spans="13:22" x14ac:dyDescent="0.2">
      <c r="M5573" s="40"/>
      <c r="N5573" s="15"/>
      <c r="O5573" s="15"/>
      <c r="P5573" s="15"/>
      <c r="Q5573" s="39"/>
      <c r="R5573" s="41"/>
      <c r="S5573" s="36"/>
      <c r="T5573" s="36"/>
      <c r="U5573" s="36"/>
      <c r="V5573" s="37"/>
    </row>
    <row r="5574" spans="13:22" x14ac:dyDescent="0.2">
      <c r="M5574" s="40"/>
      <c r="N5574" s="15"/>
      <c r="O5574" s="15"/>
      <c r="P5574" s="15"/>
      <c r="Q5574" s="39"/>
      <c r="R5574" s="41"/>
      <c r="S5574" s="36"/>
      <c r="T5574" s="36"/>
      <c r="U5574" s="36"/>
      <c r="V5574" s="37"/>
    </row>
    <row r="5575" spans="13:22" x14ac:dyDescent="0.2">
      <c r="M5575" s="40"/>
      <c r="N5575" s="15"/>
      <c r="O5575" s="15"/>
      <c r="P5575" s="15"/>
      <c r="Q5575" s="39"/>
      <c r="R5575" s="41"/>
      <c r="S5575" s="36"/>
      <c r="T5575" s="36"/>
      <c r="U5575" s="36"/>
      <c r="V5575" s="37"/>
    </row>
    <row r="5576" spans="13:22" x14ac:dyDescent="0.2">
      <c r="M5576" s="40"/>
      <c r="N5576" s="15"/>
      <c r="O5576" s="15"/>
      <c r="P5576" s="15"/>
      <c r="Q5576" s="39"/>
      <c r="R5576" s="41"/>
      <c r="S5576" s="36"/>
      <c r="T5576" s="36"/>
      <c r="U5576" s="36"/>
      <c r="V5576" s="37"/>
    </row>
    <row r="5577" spans="13:22" x14ac:dyDescent="0.2">
      <c r="M5577" s="40"/>
      <c r="N5577" s="15"/>
      <c r="O5577" s="15"/>
      <c r="P5577" s="15"/>
      <c r="Q5577" s="39"/>
      <c r="R5577" s="41"/>
      <c r="S5577" s="36"/>
      <c r="T5577" s="36"/>
      <c r="U5577" s="36"/>
      <c r="V5577" s="37"/>
    </row>
    <row r="5578" spans="13:22" x14ac:dyDescent="0.2">
      <c r="M5578" s="40"/>
      <c r="N5578" s="15"/>
      <c r="O5578" s="15"/>
      <c r="P5578" s="15"/>
      <c r="Q5578" s="39"/>
      <c r="R5578" s="41"/>
      <c r="S5578" s="36"/>
      <c r="T5578" s="36"/>
      <c r="U5578" s="36"/>
      <c r="V5578" s="37"/>
    </row>
    <row r="5579" spans="13:22" x14ac:dyDescent="0.2">
      <c r="M5579" s="40"/>
      <c r="N5579" s="15"/>
      <c r="O5579" s="15"/>
      <c r="P5579" s="15"/>
      <c r="Q5579" s="39"/>
      <c r="R5579" s="41"/>
      <c r="S5579" s="36"/>
      <c r="T5579" s="36"/>
      <c r="U5579" s="36"/>
      <c r="V5579" s="37"/>
    </row>
    <row r="5580" spans="13:22" x14ac:dyDescent="0.2">
      <c r="M5580" s="40"/>
      <c r="N5580" s="15"/>
      <c r="O5580" s="15"/>
      <c r="P5580" s="15"/>
      <c r="Q5580" s="39"/>
      <c r="R5580" s="41"/>
      <c r="S5580" s="36"/>
      <c r="T5580" s="36"/>
      <c r="U5580" s="36"/>
      <c r="V5580" s="37"/>
    </row>
    <row r="5581" spans="13:22" ht="13.5" thickBot="1" x14ac:dyDescent="0.25">
      <c r="M5581" s="42"/>
      <c r="N5581" s="43"/>
      <c r="O5581" s="43"/>
      <c r="P5581" s="43"/>
      <c r="Q5581" s="44"/>
      <c r="R5581" s="41"/>
      <c r="S5581" s="46"/>
      <c r="T5581" s="46"/>
      <c r="U5581" s="46"/>
      <c r="V5581" s="47"/>
    </row>
    <row r="5582" spans="13:22" ht="13.5" thickBot="1" x14ac:dyDescent="0.25">
      <c r="M5582" s="48"/>
      <c r="N5582" s="49"/>
      <c r="O5582" s="49"/>
      <c r="P5582" s="49"/>
      <c r="Q5582" s="50"/>
      <c r="R5582" s="45"/>
      <c r="S5582" s="52"/>
      <c r="T5582" s="52"/>
      <c r="U5582" s="52"/>
      <c r="V5582" s="53"/>
    </row>
    <row r="5583" spans="13:22" x14ac:dyDescent="0.2">
      <c r="M5583" s="54"/>
      <c r="N5583" s="29"/>
      <c r="O5583" s="29"/>
      <c r="P5583" s="29"/>
      <c r="Q5583" s="34"/>
      <c r="R5583" s="51"/>
      <c r="S5583" s="36"/>
      <c r="T5583" s="36"/>
      <c r="U5583" s="36"/>
      <c r="V5583" s="37"/>
    </row>
    <row r="5584" spans="13:22" x14ac:dyDescent="0.2">
      <c r="M5584" s="33"/>
      <c r="N5584" s="29"/>
      <c r="O5584" s="29"/>
      <c r="P5584" s="29"/>
      <c r="Q5584" s="34"/>
      <c r="R5584" s="41"/>
      <c r="S5584" s="36"/>
      <c r="T5584" s="36"/>
      <c r="U5584" s="36"/>
      <c r="V5584" s="37"/>
    </row>
    <row r="5585" spans="13:22" x14ac:dyDescent="0.2">
      <c r="M5585" s="33"/>
      <c r="N5585" s="29"/>
      <c r="O5585" s="29"/>
      <c r="P5585" s="29"/>
      <c r="Q5585" s="34"/>
      <c r="R5585" s="35"/>
      <c r="S5585" s="36"/>
      <c r="T5585" s="36"/>
      <c r="U5585" s="36"/>
      <c r="V5585" s="37"/>
    </row>
    <row r="5586" spans="13:22" x14ac:dyDescent="0.2">
      <c r="M5586" s="33"/>
      <c r="N5586" s="29"/>
      <c r="O5586" s="29"/>
      <c r="P5586" s="29"/>
      <c r="Q5586" s="34"/>
      <c r="R5586" s="35"/>
      <c r="S5586" s="36"/>
      <c r="T5586" s="36"/>
      <c r="U5586" s="36"/>
      <c r="V5586" s="37"/>
    </row>
    <row r="5587" spans="13:22" x14ac:dyDescent="0.2">
      <c r="M5587" s="33"/>
      <c r="N5587" s="29"/>
      <c r="O5587" s="29"/>
      <c r="P5587" s="29"/>
      <c r="Q5587" s="34"/>
      <c r="R5587" s="35"/>
      <c r="S5587" s="36"/>
      <c r="T5587" s="36"/>
      <c r="U5587" s="36"/>
      <c r="V5587" s="37"/>
    </row>
    <row r="5588" spans="13:22" x14ac:dyDescent="0.2">
      <c r="M5588" s="33"/>
      <c r="N5588" s="29"/>
      <c r="O5588" s="29"/>
      <c r="P5588" s="29"/>
      <c r="Q5588" s="34"/>
      <c r="R5588" s="35"/>
      <c r="S5588" s="36"/>
      <c r="T5588" s="36"/>
      <c r="U5588" s="36"/>
      <c r="V5588" s="37"/>
    </row>
    <row r="5589" spans="13:22" x14ac:dyDescent="0.2">
      <c r="M5589" s="33"/>
      <c r="N5589" s="29"/>
      <c r="O5589" s="29"/>
      <c r="P5589" s="29"/>
      <c r="Q5589" s="38"/>
      <c r="R5589" s="35"/>
      <c r="S5589" s="36"/>
      <c r="T5589" s="36"/>
      <c r="U5589" s="36"/>
      <c r="V5589" s="37"/>
    </row>
    <row r="5590" spans="13:22" x14ac:dyDescent="0.2">
      <c r="M5590" s="33"/>
      <c r="N5590" s="29"/>
      <c r="O5590" s="29"/>
      <c r="P5590" s="29"/>
      <c r="Q5590" s="34"/>
      <c r="R5590" s="35"/>
      <c r="S5590" s="36"/>
      <c r="T5590" s="36"/>
      <c r="U5590" s="36"/>
      <c r="V5590" s="37"/>
    </row>
    <row r="5591" spans="13:22" x14ac:dyDescent="0.2">
      <c r="M5591" s="33"/>
      <c r="N5591" s="29"/>
      <c r="O5591" s="29"/>
      <c r="P5591" s="29"/>
      <c r="Q5591" s="34"/>
      <c r="R5591" s="35"/>
      <c r="S5591" s="36"/>
      <c r="T5591" s="36"/>
      <c r="U5591" s="36"/>
      <c r="V5591" s="37"/>
    </row>
    <row r="5592" spans="13:22" x14ac:dyDescent="0.2">
      <c r="M5592" s="33"/>
      <c r="N5592" s="29"/>
      <c r="O5592" s="29"/>
      <c r="P5592" s="29"/>
      <c r="Q5592" s="34"/>
      <c r="R5592" s="35"/>
      <c r="S5592" s="36"/>
      <c r="T5592" s="36"/>
      <c r="U5592" s="36"/>
      <c r="V5592" s="37"/>
    </row>
    <row r="5593" spans="13:22" x14ac:dyDescent="0.2">
      <c r="M5593" s="33"/>
      <c r="N5593" s="29"/>
      <c r="O5593" s="29"/>
      <c r="P5593" s="29"/>
      <c r="Q5593" s="34"/>
      <c r="R5593" s="35"/>
      <c r="S5593" s="36"/>
      <c r="T5593" s="36"/>
      <c r="U5593" s="36"/>
      <c r="V5593" s="37"/>
    </row>
    <row r="5594" spans="13:22" x14ac:dyDescent="0.2">
      <c r="M5594" s="26"/>
      <c r="N5594" s="15"/>
      <c r="O5594" s="15"/>
      <c r="P5594" s="15"/>
      <c r="Q5594" s="39"/>
      <c r="R5594" s="35"/>
      <c r="S5594" s="36"/>
      <c r="T5594" s="36"/>
      <c r="U5594" s="36"/>
      <c r="V5594" s="37"/>
    </row>
    <row r="5595" spans="13:22" x14ac:dyDescent="0.2">
      <c r="M5595" s="26"/>
      <c r="N5595" s="15"/>
      <c r="O5595" s="15"/>
      <c r="P5595" s="15"/>
      <c r="Q5595" s="39"/>
      <c r="R5595" s="35"/>
      <c r="S5595" s="36"/>
      <c r="T5595" s="36"/>
      <c r="U5595" s="36"/>
      <c r="V5595" s="37"/>
    </row>
    <row r="5596" spans="13:22" x14ac:dyDescent="0.2">
      <c r="M5596" s="40"/>
      <c r="N5596" s="15"/>
      <c r="O5596" s="15"/>
      <c r="P5596" s="15"/>
      <c r="Q5596" s="39"/>
      <c r="R5596" s="35"/>
      <c r="S5596" s="36"/>
      <c r="T5596" s="36"/>
      <c r="U5596" s="36"/>
      <c r="V5596" s="37"/>
    </row>
    <row r="5597" spans="13:22" x14ac:dyDescent="0.2">
      <c r="M5597" s="40"/>
      <c r="N5597" s="15"/>
      <c r="O5597" s="15"/>
      <c r="P5597" s="15"/>
      <c r="Q5597" s="39"/>
      <c r="R5597" s="41"/>
      <c r="S5597" s="36"/>
      <c r="T5597" s="36"/>
      <c r="U5597" s="36"/>
      <c r="V5597" s="37"/>
    </row>
    <row r="5598" spans="13:22" x14ac:dyDescent="0.2">
      <c r="M5598" s="40"/>
      <c r="N5598" s="15"/>
      <c r="O5598" s="15"/>
      <c r="P5598" s="15"/>
      <c r="Q5598" s="39"/>
      <c r="R5598" s="41"/>
      <c r="S5598" s="36"/>
      <c r="T5598" s="36"/>
      <c r="U5598" s="36"/>
      <c r="V5598" s="37"/>
    </row>
    <row r="5599" spans="13:22" x14ac:dyDescent="0.2">
      <c r="M5599" s="40"/>
      <c r="N5599" s="15"/>
      <c r="O5599" s="15"/>
      <c r="P5599" s="15"/>
      <c r="Q5599" s="39"/>
      <c r="R5599" s="41"/>
      <c r="S5599" s="36"/>
      <c r="T5599" s="36"/>
      <c r="U5599" s="36"/>
      <c r="V5599" s="37"/>
    </row>
    <row r="5600" spans="13:22" x14ac:dyDescent="0.2">
      <c r="M5600" s="40"/>
      <c r="N5600" s="15"/>
      <c r="O5600" s="15"/>
      <c r="P5600" s="15"/>
      <c r="Q5600" s="39"/>
      <c r="R5600" s="41"/>
      <c r="S5600" s="36"/>
      <c r="T5600" s="36"/>
      <c r="U5600" s="36"/>
      <c r="V5600" s="37"/>
    </row>
    <row r="5601" spans="13:22" x14ac:dyDescent="0.2">
      <c r="M5601" s="40"/>
      <c r="N5601" s="15"/>
      <c r="O5601" s="15"/>
      <c r="P5601" s="15"/>
      <c r="Q5601" s="39"/>
      <c r="R5601" s="41"/>
      <c r="S5601" s="36"/>
      <c r="T5601" s="36"/>
      <c r="U5601" s="36"/>
      <c r="V5601" s="37"/>
    </row>
    <row r="5602" spans="13:22" x14ac:dyDescent="0.2">
      <c r="M5602" s="40"/>
      <c r="N5602" s="15"/>
      <c r="O5602" s="15"/>
      <c r="P5602" s="15"/>
      <c r="Q5602" s="39"/>
      <c r="R5602" s="41"/>
      <c r="S5602" s="36"/>
      <c r="T5602" s="36"/>
      <c r="U5602" s="36"/>
      <c r="V5602" s="37"/>
    </row>
    <row r="5603" spans="13:22" x14ac:dyDescent="0.2">
      <c r="M5603" s="40"/>
      <c r="N5603" s="15"/>
      <c r="O5603" s="15"/>
      <c r="P5603" s="15"/>
      <c r="Q5603" s="39"/>
      <c r="R5603" s="41"/>
      <c r="S5603" s="36"/>
      <c r="T5603" s="36"/>
      <c r="U5603" s="36"/>
      <c r="V5603" s="37"/>
    </row>
    <row r="5604" spans="13:22" x14ac:dyDescent="0.2">
      <c r="M5604" s="40"/>
      <c r="N5604" s="15"/>
      <c r="O5604" s="15"/>
      <c r="P5604" s="15"/>
      <c r="Q5604" s="39"/>
      <c r="R5604" s="41"/>
      <c r="S5604" s="36"/>
      <c r="T5604" s="36"/>
      <c r="U5604" s="36"/>
      <c r="V5604" s="37"/>
    </row>
    <row r="5605" spans="13:22" x14ac:dyDescent="0.2">
      <c r="M5605" s="40"/>
      <c r="N5605" s="15"/>
      <c r="O5605" s="15"/>
      <c r="P5605" s="15"/>
      <c r="Q5605" s="39"/>
      <c r="R5605" s="41"/>
      <c r="S5605" s="36"/>
      <c r="T5605" s="36"/>
      <c r="U5605" s="36"/>
      <c r="V5605" s="37"/>
    </row>
    <row r="5606" spans="13:22" ht="13.5" thickBot="1" x14ac:dyDescent="0.25">
      <c r="M5606" s="42"/>
      <c r="N5606" s="43"/>
      <c r="O5606" s="43"/>
      <c r="P5606" s="43"/>
      <c r="Q5606" s="44"/>
      <c r="R5606" s="41"/>
      <c r="S5606" s="46"/>
      <c r="T5606" s="46"/>
      <c r="U5606" s="46"/>
      <c r="V5606" s="47"/>
    </row>
    <row r="5607" spans="13:22" ht="13.5" thickBot="1" x14ac:dyDescent="0.25">
      <c r="M5607" s="48"/>
      <c r="N5607" s="49"/>
      <c r="O5607" s="49"/>
      <c r="P5607" s="49"/>
      <c r="Q5607" s="50"/>
      <c r="R5607" s="45"/>
      <c r="S5607" s="52"/>
      <c r="T5607" s="52"/>
      <c r="U5607" s="52"/>
      <c r="V5607" s="53"/>
    </row>
    <row r="5608" spans="13:22" x14ac:dyDescent="0.2">
      <c r="M5608" s="54"/>
      <c r="N5608" s="29"/>
      <c r="O5608" s="29"/>
      <c r="P5608" s="29"/>
      <c r="Q5608" s="34"/>
      <c r="R5608" s="51"/>
      <c r="S5608" s="36"/>
      <c r="T5608" s="36"/>
      <c r="U5608" s="36"/>
      <c r="V5608" s="37"/>
    </row>
    <row r="5609" spans="13:22" x14ac:dyDescent="0.2">
      <c r="M5609" s="33"/>
      <c r="N5609" s="29"/>
      <c r="O5609" s="29"/>
      <c r="P5609" s="29"/>
      <c r="Q5609" s="34"/>
      <c r="R5609" s="41"/>
      <c r="S5609" s="36"/>
      <c r="T5609" s="36"/>
      <c r="U5609" s="36"/>
      <c r="V5609" s="37"/>
    </row>
    <row r="5610" spans="13:22" x14ac:dyDescent="0.2">
      <c r="M5610" s="33"/>
      <c r="N5610" s="29"/>
      <c r="O5610" s="29"/>
      <c r="P5610" s="29"/>
      <c r="Q5610" s="34"/>
      <c r="R5610" s="35"/>
      <c r="S5610" s="36"/>
      <c r="T5610" s="36"/>
      <c r="U5610" s="36"/>
      <c r="V5610" s="37"/>
    </row>
    <row r="5611" spans="13:22" x14ac:dyDescent="0.2">
      <c r="M5611" s="33"/>
      <c r="N5611" s="29"/>
      <c r="O5611" s="29"/>
      <c r="P5611" s="29"/>
      <c r="Q5611" s="34"/>
      <c r="R5611" s="35"/>
      <c r="S5611" s="36"/>
      <c r="T5611" s="36"/>
      <c r="U5611" s="36"/>
      <c r="V5611" s="37"/>
    </row>
    <row r="5612" spans="13:22" x14ac:dyDescent="0.2">
      <c r="M5612" s="33"/>
      <c r="N5612" s="29"/>
      <c r="O5612" s="29"/>
      <c r="P5612" s="29"/>
      <c r="Q5612" s="34"/>
      <c r="R5612" s="35"/>
      <c r="S5612" s="36"/>
      <c r="T5612" s="36"/>
      <c r="U5612" s="36"/>
      <c r="V5612" s="37"/>
    </row>
    <row r="5613" spans="13:22" x14ac:dyDescent="0.2">
      <c r="M5613" s="33"/>
      <c r="N5613" s="29"/>
      <c r="O5613" s="29"/>
      <c r="P5613" s="29"/>
      <c r="Q5613" s="34"/>
      <c r="R5613" s="35"/>
      <c r="S5613" s="36"/>
      <c r="T5613" s="36"/>
      <c r="U5613" s="36"/>
      <c r="V5613" s="37"/>
    </row>
    <row r="5614" spans="13:22" x14ac:dyDescent="0.2">
      <c r="M5614" s="33"/>
      <c r="N5614" s="29"/>
      <c r="O5614" s="29"/>
      <c r="P5614" s="29"/>
      <c r="Q5614" s="38"/>
      <c r="R5614" s="35"/>
      <c r="S5614" s="36"/>
      <c r="T5614" s="36"/>
      <c r="U5614" s="36"/>
      <c r="V5614" s="37"/>
    </row>
    <row r="5615" spans="13:22" x14ac:dyDescent="0.2">
      <c r="M5615" s="33"/>
      <c r="N5615" s="29"/>
      <c r="O5615" s="29"/>
      <c r="P5615" s="29"/>
      <c r="Q5615" s="34"/>
      <c r="R5615" s="35"/>
      <c r="S5615" s="36"/>
      <c r="T5615" s="36"/>
      <c r="U5615" s="36"/>
      <c r="V5615" s="37"/>
    </row>
    <row r="5616" spans="13:22" x14ac:dyDescent="0.2">
      <c r="M5616" s="33"/>
      <c r="N5616" s="29"/>
      <c r="O5616" s="29"/>
      <c r="P5616" s="29"/>
      <c r="Q5616" s="34"/>
      <c r="R5616" s="35"/>
      <c r="S5616" s="36"/>
      <c r="T5616" s="36"/>
      <c r="U5616" s="36"/>
      <c r="V5616" s="37"/>
    </row>
    <row r="5617" spans="13:22" x14ac:dyDescent="0.2">
      <c r="M5617" s="33"/>
      <c r="N5617" s="29"/>
      <c r="O5617" s="29"/>
      <c r="P5617" s="29"/>
      <c r="Q5617" s="34"/>
      <c r="R5617" s="35"/>
      <c r="S5617" s="36"/>
      <c r="T5617" s="36"/>
      <c r="U5617" s="36"/>
      <c r="V5617" s="37"/>
    </row>
    <row r="5618" spans="13:22" x14ac:dyDescent="0.2">
      <c r="M5618" s="33"/>
      <c r="N5618" s="29"/>
      <c r="O5618" s="29"/>
      <c r="P5618" s="29"/>
      <c r="Q5618" s="34"/>
      <c r="R5618" s="35"/>
      <c r="S5618" s="36"/>
      <c r="T5618" s="36"/>
      <c r="U5618" s="36"/>
      <c r="V5618" s="37"/>
    </row>
    <row r="5619" spans="13:22" x14ac:dyDescent="0.2">
      <c r="M5619" s="26"/>
      <c r="N5619" s="15"/>
      <c r="O5619" s="15"/>
      <c r="P5619" s="15"/>
      <c r="Q5619" s="39"/>
      <c r="R5619" s="35"/>
      <c r="S5619" s="36"/>
      <c r="T5619" s="36"/>
      <c r="U5619" s="36"/>
      <c r="V5619" s="37"/>
    </row>
    <row r="5620" spans="13:22" x14ac:dyDescent="0.2">
      <c r="M5620" s="26"/>
      <c r="N5620" s="15"/>
      <c r="O5620" s="15"/>
      <c r="P5620" s="15"/>
      <c r="Q5620" s="39"/>
      <c r="R5620" s="35"/>
      <c r="S5620" s="36"/>
      <c r="T5620" s="36"/>
      <c r="U5620" s="36"/>
      <c r="V5620" s="37"/>
    </row>
    <row r="5621" spans="13:22" x14ac:dyDescent="0.2">
      <c r="M5621" s="40"/>
      <c r="N5621" s="15"/>
      <c r="O5621" s="15"/>
      <c r="P5621" s="15"/>
      <c r="Q5621" s="39"/>
      <c r="R5621" s="35"/>
      <c r="S5621" s="36"/>
      <c r="T5621" s="36"/>
      <c r="U5621" s="36"/>
      <c r="V5621" s="37"/>
    </row>
    <row r="5622" spans="13:22" x14ac:dyDescent="0.2">
      <c r="M5622" s="40"/>
      <c r="N5622" s="15"/>
      <c r="O5622" s="15"/>
      <c r="P5622" s="15"/>
      <c r="Q5622" s="39"/>
      <c r="R5622" s="41"/>
      <c r="S5622" s="36"/>
      <c r="T5622" s="36"/>
      <c r="U5622" s="36"/>
      <c r="V5622" s="37"/>
    </row>
    <row r="5623" spans="13:22" x14ac:dyDescent="0.2">
      <c r="M5623" s="40"/>
      <c r="N5623" s="15"/>
      <c r="O5623" s="15"/>
      <c r="P5623" s="15"/>
      <c r="Q5623" s="39"/>
      <c r="R5623" s="41"/>
      <c r="S5623" s="36"/>
      <c r="T5623" s="36"/>
      <c r="U5623" s="36"/>
      <c r="V5623" s="37"/>
    </row>
    <row r="5624" spans="13:22" x14ac:dyDescent="0.2">
      <c r="M5624" s="40"/>
      <c r="N5624" s="15"/>
      <c r="O5624" s="15"/>
      <c r="P5624" s="15"/>
      <c r="Q5624" s="39"/>
      <c r="R5624" s="41"/>
      <c r="S5624" s="36"/>
      <c r="T5624" s="36"/>
      <c r="U5624" s="36"/>
      <c r="V5624" s="37"/>
    </row>
    <row r="5625" spans="13:22" x14ac:dyDescent="0.2">
      <c r="M5625" s="40"/>
      <c r="N5625" s="15"/>
      <c r="O5625" s="15"/>
      <c r="P5625" s="15"/>
      <c r="Q5625" s="39"/>
      <c r="R5625" s="41"/>
      <c r="S5625" s="36"/>
      <c r="T5625" s="36"/>
      <c r="U5625" s="36"/>
      <c r="V5625" s="37"/>
    </row>
    <row r="5626" spans="13:22" x14ac:dyDescent="0.2">
      <c r="M5626" s="40"/>
      <c r="N5626" s="15"/>
      <c r="O5626" s="15"/>
      <c r="P5626" s="15"/>
      <c r="Q5626" s="39"/>
      <c r="R5626" s="41"/>
      <c r="S5626" s="36"/>
      <c r="T5626" s="36"/>
      <c r="U5626" s="36"/>
      <c r="V5626" s="37"/>
    </row>
    <row r="5627" spans="13:22" x14ac:dyDescent="0.2">
      <c r="M5627" s="40"/>
      <c r="N5627" s="15"/>
      <c r="O5627" s="15"/>
      <c r="P5627" s="15"/>
      <c r="Q5627" s="39"/>
      <c r="R5627" s="41"/>
      <c r="S5627" s="36"/>
      <c r="T5627" s="36"/>
      <c r="U5627" s="36"/>
      <c r="V5627" s="37"/>
    </row>
    <row r="5628" spans="13:22" x14ac:dyDescent="0.2">
      <c r="M5628" s="40"/>
      <c r="N5628" s="15"/>
      <c r="O5628" s="15"/>
      <c r="P5628" s="15"/>
      <c r="Q5628" s="39"/>
      <c r="R5628" s="41"/>
      <c r="S5628" s="36"/>
      <c r="T5628" s="36"/>
      <c r="U5628" s="36"/>
      <c r="V5628" s="37"/>
    </row>
    <row r="5629" spans="13:22" x14ac:dyDescent="0.2">
      <c r="M5629" s="40"/>
      <c r="N5629" s="15"/>
      <c r="O5629" s="15"/>
      <c r="P5629" s="15"/>
      <c r="Q5629" s="39"/>
      <c r="R5629" s="41"/>
      <c r="S5629" s="36"/>
      <c r="T5629" s="36"/>
      <c r="U5629" s="36"/>
      <c r="V5629" s="37"/>
    </row>
    <row r="5630" spans="13:22" x14ac:dyDescent="0.2">
      <c r="M5630" s="40"/>
      <c r="N5630" s="15"/>
      <c r="O5630" s="15"/>
      <c r="P5630" s="15"/>
      <c r="Q5630" s="39"/>
      <c r="R5630" s="41"/>
      <c r="S5630" s="36"/>
      <c r="T5630" s="36"/>
      <c r="U5630" s="36"/>
      <c r="V5630" s="37"/>
    </row>
    <row r="5631" spans="13:22" ht="13.5" thickBot="1" x14ac:dyDescent="0.25">
      <c r="M5631" s="42"/>
      <c r="N5631" s="43"/>
      <c r="O5631" s="43"/>
      <c r="P5631" s="43"/>
      <c r="Q5631" s="44"/>
      <c r="R5631" s="41"/>
      <c r="S5631" s="46"/>
      <c r="T5631" s="46"/>
      <c r="U5631" s="46"/>
      <c r="V5631" s="47"/>
    </row>
    <row r="5632" spans="13:22" ht="13.5" thickBot="1" x14ac:dyDescent="0.25">
      <c r="M5632" s="48"/>
      <c r="N5632" s="49"/>
      <c r="O5632" s="49"/>
      <c r="P5632" s="49"/>
      <c r="Q5632" s="50"/>
      <c r="R5632" s="45"/>
      <c r="S5632" s="52"/>
      <c r="T5632" s="52"/>
      <c r="U5632" s="52"/>
      <c r="V5632" s="53"/>
    </row>
    <row r="5633" spans="13:22" x14ac:dyDescent="0.2">
      <c r="M5633" s="54"/>
      <c r="N5633" s="29"/>
      <c r="O5633" s="29"/>
      <c r="P5633" s="29"/>
      <c r="Q5633" s="34"/>
      <c r="R5633" s="51"/>
      <c r="S5633" s="36"/>
      <c r="T5633" s="36"/>
      <c r="U5633" s="36"/>
      <c r="V5633" s="37"/>
    </row>
    <row r="5634" spans="13:22" x14ac:dyDescent="0.2">
      <c r="M5634" s="33"/>
      <c r="N5634" s="29"/>
      <c r="O5634" s="29"/>
      <c r="P5634" s="29"/>
      <c r="Q5634" s="34"/>
      <c r="R5634" s="41"/>
      <c r="S5634" s="36"/>
      <c r="T5634" s="36"/>
      <c r="U5634" s="36"/>
      <c r="V5634" s="37"/>
    </row>
    <row r="5635" spans="13:22" x14ac:dyDescent="0.2">
      <c r="M5635" s="33"/>
      <c r="N5635" s="29"/>
      <c r="O5635" s="29"/>
      <c r="P5635" s="29"/>
      <c r="Q5635" s="34"/>
      <c r="R5635" s="35"/>
      <c r="S5635" s="36"/>
      <c r="T5635" s="36"/>
      <c r="U5635" s="36"/>
      <c r="V5635" s="37"/>
    </row>
    <row r="5636" spans="13:22" x14ac:dyDescent="0.2">
      <c r="M5636" s="33"/>
      <c r="N5636" s="29"/>
      <c r="O5636" s="29"/>
      <c r="P5636" s="29"/>
      <c r="Q5636" s="34"/>
      <c r="R5636" s="35"/>
      <c r="S5636" s="36"/>
      <c r="T5636" s="36"/>
      <c r="U5636" s="36"/>
      <c r="V5636" s="37"/>
    </row>
    <row r="5637" spans="13:22" x14ac:dyDescent="0.2">
      <c r="M5637" s="33"/>
      <c r="N5637" s="29"/>
      <c r="O5637" s="29"/>
      <c r="P5637" s="29"/>
      <c r="Q5637" s="34"/>
      <c r="R5637" s="35"/>
      <c r="S5637" s="36"/>
      <c r="T5637" s="36"/>
      <c r="U5637" s="36"/>
      <c r="V5637" s="37"/>
    </row>
    <row r="5638" spans="13:22" x14ac:dyDescent="0.2">
      <c r="M5638" s="33"/>
      <c r="N5638" s="29"/>
      <c r="O5638" s="29"/>
      <c r="P5638" s="29"/>
      <c r="Q5638" s="34"/>
      <c r="R5638" s="35"/>
      <c r="S5638" s="36"/>
      <c r="T5638" s="36"/>
      <c r="U5638" s="36"/>
      <c r="V5638" s="37"/>
    </row>
    <row r="5639" spans="13:22" x14ac:dyDescent="0.2">
      <c r="M5639" s="33"/>
      <c r="N5639" s="29"/>
      <c r="O5639" s="29"/>
      <c r="P5639" s="29"/>
      <c r="Q5639" s="38"/>
      <c r="R5639" s="35"/>
      <c r="S5639" s="36"/>
      <c r="T5639" s="36"/>
      <c r="U5639" s="36"/>
      <c r="V5639" s="37"/>
    </row>
    <row r="5640" spans="13:22" x14ac:dyDescent="0.2">
      <c r="M5640" s="33"/>
      <c r="N5640" s="29"/>
      <c r="O5640" s="29"/>
      <c r="P5640" s="29"/>
      <c r="Q5640" s="34"/>
      <c r="R5640" s="35"/>
      <c r="S5640" s="36"/>
      <c r="T5640" s="36"/>
      <c r="U5640" s="36"/>
      <c r="V5640" s="37"/>
    </row>
    <row r="5641" spans="13:22" x14ac:dyDescent="0.2">
      <c r="M5641" s="33"/>
      <c r="N5641" s="29"/>
      <c r="O5641" s="29"/>
      <c r="P5641" s="29"/>
      <c r="Q5641" s="34"/>
      <c r="R5641" s="35"/>
      <c r="S5641" s="36"/>
      <c r="T5641" s="36"/>
      <c r="U5641" s="36"/>
      <c r="V5641" s="37"/>
    </row>
    <row r="5642" spans="13:22" x14ac:dyDescent="0.2">
      <c r="M5642" s="33"/>
      <c r="N5642" s="29"/>
      <c r="O5642" s="29"/>
      <c r="P5642" s="29"/>
      <c r="Q5642" s="34"/>
      <c r="R5642" s="35"/>
      <c r="S5642" s="36"/>
      <c r="T5642" s="36"/>
      <c r="U5642" s="36"/>
      <c r="V5642" s="37"/>
    </row>
    <row r="5643" spans="13:22" x14ac:dyDescent="0.2">
      <c r="M5643" s="33"/>
      <c r="N5643" s="29"/>
      <c r="O5643" s="29"/>
      <c r="P5643" s="29"/>
      <c r="Q5643" s="34"/>
      <c r="R5643" s="35"/>
      <c r="S5643" s="36"/>
      <c r="T5643" s="36"/>
      <c r="U5643" s="36"/>
      <c r="V5643" s="37"/>
    </row>
    <row r="5644" spans="13:22" x14ac:dyDescent="0.2">
      <c r="M5644" s="26"/>
      <c r="N5644" s="15"/>
      <c r="O5644" s="15"/>
      <c r="P5644" s="15"/>
      <c r="Q5644" s="39"/>
      <c r="R5644" s="35"/>
      <c r="S5644" s="36"/>
      <c r="T5644" s="36"/>
      <c r="U5644" s="36"/>
      <c r="V5644" s="37"/>
    </row>
    <row r="5645" spans="13:22" x14ac:dyDescent="0.2">
      <c r="M5645" s="26"/>
      <c r="N5645" s="15"/>
      <c r="O5645" s="15"/>
      <c r="P5645" s="15"/>
      <c r="Q5645" s="39"/>
      <c r="R5645" s="35"/>
      <c r="S5645" s="36"/>
      <c r="T5645" s="36"/>
      <c r="U5645" s="36"/>
      <c r="V5645" s="37"/>
    </row>
    <row r="5646" spans="13:22" x14ac:dyDescent="0.2">
      <c r="M5646" s="40"/>
      <c r="N5646" s="15"/>
      <c r="O5646" s="15"/>
      <c r="P5646" s="15"/>
      <c r="Q5646" s="39"/>
      <c r="R5646" s="35"/>
      <c r="S5646" s="36"/>
      <c r="T5646" s="36"/>
      <c r="U5646" s="36"/>
      <c r="V5646" s="37"/>
    </row>
    <row r="5647" spans="13:22" x14ac:dyDescent="0.2">
      <c r="M5647" s="40"/>
      <c r="N5647" s="15"/>
      <c r="O5647" s="15"/>
      <c r="P5647" s="15"/>
      <c r="Q5647" s="39"/>
      <c r="R5647" s="41"/>
      <c r="S5647" s="36"/>
      <c r="T5647" s="36"/>
      <c r="U5647" s="36"/>
      <c r="V5647" s="37"/>
    </row>
    <row r="5648" spans="13:22" x14ac:dyDescent="0.2">
      <c r="M5648" s="40"/>
      <c r="N5648" s="15"/>
      <c r="O5648" s="15"/>
      <c r="P5648" s="15"/>
      <c r="Q5648" s="39"/>
      <c r="R5648" s="41"/>
      <c r="S5648" s="36"/>
      <c r="T5648" s="36"/>
      <c r="U5648" s="36"/>
      <c r="V5648" s="37"/>
    </row>
    <row r="5649" spans="13:22" x14ac:dyDescent="0.2">
      <c r="M5649" s="40"/>
      <c r="N5649" s="15"/>
      <c r="O5649" s="15"/>
      <c r="P5649" s="15"/>
      <c r="Q5649" s="39"/>
      <c r="R5649" s="41"/>
      <c r="S5649" s="36"/>
      <c r="T5649" s="36"/>
      <c r="U5649" s="36"/>
      <c r="V5649" s="37"/>
    </row>
    <row r="5650" spans="13:22" x14ac:dyDescent="0.2">
      <c r="M5650" s="40"/>
      <c r="N5650" s="15"/>
      <c r="O5650" s="15"/>
      <c r="P5650" s="15"/>
      <c r="Q5650" s="39"/>
      <c r="R5650" s="41"/>
      <c r="S5650" s="36"/>
      <c r="T5650" s="36"/>
      <c r="U5650" s="36"/>
      <c r="V5650" s="37"/>
    </row>
    <row r="5651" spans="13:22" x14ac:dyDescent="0.2">
      <c r="M5651" s="40"/>
      <c r="N5651" s="15"/>
      <c r="O5651" s="15"/>
      <c r="P5651" s="15"/>
      <c r="Q5651" s="39"/>
      <c r="R5651" s="41"/>
      <c r="S5651" s="36"/>
      <c r="T5651" s="36"/>
      <c r="U5651" s="36"/>
      <c r="V5651" s="37"/>
    </row>
    <row r="5652" spans="13:22" x14ac:dyDescent="0.2">
      <c r="M5652" s="40"/>
      <c r="N5652" s="15"/>
      <c r="O5652" s="15"/>
      <c r="P5652" s="15"/>
      <c r="Q5652" s="39"/>
      <c r="R5652" s="41"/>
      <c r="S5652" s="36"/>
      <c r="T5652" s="36"/>
      <c r="U5652" s="36"/>
      <c r="V5652" s="37"/>
    </row>
    <row r="5653" spans="13:22" x14ac:dyDescent="0.2">
      <c r="M5653" s="40"/>
      <c r="N5653" s="15"/>
      <c r="O5653" s="15"/>
      <c r="P5653" s="15"/>
      <c r="Q5653" s="39"/>
      <c r="R5653" s="41"/>
      <c r="S5653" s="36"/>
      <c r="T5653" s="36"/>
      <c r="U5653" s="36"/>
      <c r="V5653" s="37"/>
    </row>
    <row r="5654" spans="13:22" x14ac:dyDescent="0.2">
      <c r="M5654" s="40"/>
      <c r="N5654" s="15"/>
      <c r="O5654" s="15"/>
      <c r="P5654" s="15"/>
      <c r="Q5654" s="39"/>
      <c r="R5654" s="41"/>
      <c r="S5654" s="36"/>
      <c r="T5654" s="36"/>
      <c r="U5654" s="36"/>
      <c r="V5654" s="37"/>
    </row>
    <row r="5655" spans="13:22" x14ac:dyDescent="0.2">
      <c r="M5655" s="40"/>
      <c r="N5655" s="15"/>
      <c r="O5655" s="15"/>
      <c r="P5655" s="15"/>
      <c r="Q5655" s="39"/>
      <c r="R5655" s="41"/>
      <c r="S5655" s="36"/>
      <c r="T5655" s="36"/>
      <c r="U5655" s="36"/>
      <c r="V5655" s="37"/>
    </row>
    <row r="5656" spans="13:22" ht="13.5" thickBot="1" x14ac:dyDescent="0.25">
      <c r="M5656" s="42"/>
      <c r="N5656" s="43"/>
      <c r="O5656" s="43"/>
      <c r="P5656" s="43"/>
      <c r="Q5656" s="44"/>
      <c r="R5656" s="41"/>
      <c r="S5656" s="46"/>
      <c r="T5656" s="46"/>
      <c r="U5656" s="46"/>
      <c r="V5656" s="47"/>
    </row>
    <row r="5657" spans="13:22" ht="13.5" thickBot="1" x14ac:dyDescent="0.25">
      <c r="M5657" s="48"/>
      <c r="N5657" s="49"/>
      <c r="O5657" s="49"/>
      <c r="P5657" s="49"/>
      <c r="Q5657" s="50"/>
      <c r="R5657" s="45"/>
      <c r="S5657" s="52"/>
      <c r="T5657" s="52"/>
      <c r="U5657" s="52"/>
      <c r="V5657" s="53"/>
    </row>
    <row r="5658" spans="13:22" x14ac:dyDescent="0.2">
      <c r="M5658" s="54"/>
      <c r="N5658" s="29"/>
      <c r="O5658" s="29"/>
      <c r="P5658" s="29"/>
      <c r="Q5658" s="34"/>
      <c r="R5658" s="51"/>
      <c r="S5658" s="36"/>
      <c r="T5658" s="36"/>
      <c r="U5658" s="36"/>
      <c r="V5658" s="37"/>
    </row>
    <row r="5659" spans="13:22" x14ac:dyDescent="0.2">
      <c r="M5659" s="33"/>
      <c r="N5659" s="29"/>
      <c r="O5659" s="29"/>
      <c r="P5659" s="29"/>
      <c r="Q5659" s="34"/>
      <c r="R5659" s="41"/>
      <c r="S5659" s="36"/>
      <c r="T5659" s="36"/>
      <c r="U5659" s="36"/>
      <c r="V5659" s="37"/>
    </row>
    <row r="5660" spans="13:22" x14ac:dyDescent="0.2">
      <c r="M5660" s="33"/>
      <c r="N5660" s="29"/>
      <c r="O5660" s="29"/>
      <c r="P5660" s="29"/>
      <c r="Q5660" s="34"/>
      <c r="R5660" s="35"/>
      <c r="S5660" s="36"/>
      <c r="T5660" s="36"/>
      <c r="U5660" s="36"/>
      <c r="V5660" s="37"/>
    </row>
    <row r="5661" spans="13:22" x14ac:dyDescent="0.2">
      <c r="M5661" s="33"/>
      <c r="N5661" s="29"/>
      <c r="O5661" s="29"/>
      <c r="P5661" s="29"/>
      <c r="Q5661" s="34"/>
      <c r="R5661" s="35"/>
      <c r="S5661" s="36"/>
      <c r="T5661" s="36"/>
      <c r="U5661" s="36"/>
      <c r="V5661" s="37"/>
    </row>
    <row r="5662" spans="13:22" x14ac:dyDescent="0.2">
      <c r="M5662" s="33"/>
      <c r="N5662" s="29"/>
      <c r="O5662" s="29"/>
      <c r="P5662" s="29"/>
      <c r="Q5662" s="34"/>
      <c r="R5662" s="35"/>
      <c r="S5662" s="36"/>
      <c r="T5662" s="36"/>
      <c r="U5662" s="36"/>
      <c r="V5662" s="37"/>
    </row>
    <row r="5663" spans="13:22" x14ac:dyDescent="0.2">
      <c r="M5663" s="33"/>
      <c r="N5663" s="29"/>
      <c r="O5663" s="29"/>
      <c r="P5663" s="29"/>
      <c r="Q5663" s="34"/>
      <c r="R5663" s="35"/>
      <c r="S5663" s="36"/>
      <c r="T5663" s="36"/>
      <c r="U5663" s="36"/>
      <c r="V5663" s="37"/>
    </row>
    <row r="5664" spans="13:22" x14ac:dyDescent="0.2">
      <c r="M5664" s="33"/>
      <c r="N5664" s="29"/>
      <c r="O5664" s="29"/>
      <c r="P5664" s="29"/>
      <c r="Q5664" s="38"/>
      <c r="R5664" s="35"/>
      <c r="S5664" s="36"/>
      <c r="T5664" s="36"/>
      <c r="U5664" s="36"/>
      <c r="V5664" s="37"/>
    </row>
    <row r="5665" spans="13:22" x14ac:dyDescent="0.2">
      <c r="M5665" s="33"/>
      <c r="N5665" s="29"/>
      <c r="O5665" s="29"/>
      <c r="P5665" s="29"/>
      <c r="Q5665" s="34"/>
      <c r="R5665" s="35"/>
      <c r="S5665" s="36"/>
      <c r="T5665" s="36"/>
      <c r="U5665" s="36"/>
      <c r="V5665" s="37"/>
    </row>
    <row r="5666" spans="13:22" x14ac:dyDescent="0.2">
      <c r="M5666" s="33"/>
      <c r="N5666" s="29"/>
      <c r="O5666" s="29"/>
      <c r="P5666" s="29"/>
      <c r="Q5666" s="34"/>
      <c r="R5666" s="35"/>
      <c r="S5666" s="36"/>
      <c r="T5666" s="36"/>
      <c r="U5666" s="36"/>
      <c r="V5666" s="37"/>
    </row>
    <row r="5667" spans="13:22" x14ac:dyDescent="0.2">
      <c r="M5667" s="33"/>
      <c r="N5667" s="29"/>
      <c r="O5667" s="29"/>
      <c r="P5667" s="29"/>
      <c r="Q5667" s="34"/>
      <c r="R5667" s="35"/>
      <c r="S5667" s="36"/>
      <c r="T5667" s="36"/>
      <c r="U5667" s="36"/>
      <c r="V5667" s="37"/>
    </row>
    <row r="5668" spans="13:22" x14ac:dyDescent="0.2">
      <c r="M5668" s="33"/>
      <c r="N5668" s="29"/>
      <c r="O5668" s="29"/>
      <c r="P5668" s="29"/>
      <c r="Q5668" s="34"/>
      <c r="R5668" s="35"/>
      <c r="S5668" s="36"/>
      <c r="T5668" s="36"/>
      <c r="U5668" s="36"/>
      <c r="V5668" s="37"/>
    </row>
    <row r="5669" spans="13:22" x14ac:dyDescent="0.2">
      <c r="M5669" s="26"/>
      <c r="N5669" s="15"/>
      <c r="O5669" s="15"/>
      <c r="P5669" s="15"/>
      <c r="Q5669" s="39"/>
      <c r="R5669" s="35"/>
      <c r="S5669" s="36"/>
      <c r="T5669" s="36"/>
      <c r="U5669" s="36"/>
      <c r="V5669" s="37"/>
    </row>
    <row r="5670" spans="13:22" x14ac:dyDescent="0.2">
      <c r="M5670" s="26"/>
      <c r="N5670" s="15"/>
      <c r="O5670" s="15"/>
      <c r="P5670" s="15"/>
      <c r="Q5670" s="39"/>
      <c r="R5670" s="35"/>
      <c r="S5670" s="36"/>
      <c r="T5670" s="36"/>
      <c r="U5670" s="36"/>
      <c r="V5670" s="37"/>
    </row>
    <row r="5671" spans="13:22" x14ac:dyDescent="0.2">
      <c r="M5671" s="40"/>
      <c r="N5671" s="15"/>
      <c r="O5671" s="15"/>
      <c r="P5671" s="15"/>
      <c r="Q5671" s="39"/>
      <c r="R5671" s="35"/>
      <c r="S5671" s="36"/>
      <c r="T5671" s="36"/>
      <c r="U5671" s="36"/>
      <c r="V5671" s="37"/>
    </row>
    <row r="5672" spans="13:22" x14ac:dyDescent="0.2">
      <c r="M5672" s="40"/>
      <c r="N5672" s="15"/>
      <c r="O5672" s="15"/>
      <c r="P5672" s="15"/>
      <c r="Q5672" s="39"/>
      <c r="R5672" s="41"/>
      <c r="S5672" s="36"/>
      <c r="T5672" s="36"/>
      <c r="U5672" s="36"/>
      <c r="V5672" s="37"/>
    </row>
    <row r="5673" spans="13:22" x14ac:dyDescent="0.2">
      <c r="M5673" s="40"/>
      <c r="N5673" s="15"/>
      <c r="O5673" s="15"/>
      <c r="P5673" s="15"/>
      <c r="Q5673" s="39"/>
      <c r="R5673" s="41"/>
      <c r="S5673" s="36"/>
      <c r="T5673" s="36"/>
      <c r="U5673" s="36"/>
      <c r="V5673" s="37"/>
    </row>
    <row r="5674" spans="13:22" x14ac:dyDescent="0.2">
      <c r="M5674" s="40"/>
      <c r="N5674" s="15"/>
      <c r="O5674" s="15"/>
      <c r="P5674" s="15"/>
      <c r="Q5674" s="39"/>
      <c r="R5674" s="41"/>
      <c r="S5674" s="36"/>
      <c r="T5674" s="36"/>
      <c r="U5674" s="36"/>
      <c r="V5674" s="37"/>
    </row>
    <row r="5675" spans="13:22" x14ac:dyDescent="0.2">
      <c r="M5675" s="40"/>
      <c r="N5675" s="15"/>
      <c r="O5675" s="15"/>
      <c r="P5675" s="15"/>
      <c r="Q5675" s="39"/>
      <c r="R5675" s="41"/>
      <c r="S5675" s="36"/>
      <c r="T5675" s="36"/>
      <c r="U5675" s="36"/>
      <c r="V5675" s="37"/>
    </row>
    <row r="5676" spans="13:22" x14ac:dyDescent="0.2">
      <c r="M5676" s="40"/>
      <c r="N5676" s="15"/>
      <c r="O5676" s="15"/>
      <c r="P5676" s="15"/>
      <c r="Q5676" s="39"/>
      <c r="R5676" s="41"/>
      <c r="S5676" s="36"/>
      <c r="T5676" s="36"/>
      <c r="U5676" s="36"/>
      <c r="V5676" s="37"/>
    </row>
    <row r="5677" spans="13:22" x14ac:dyDescent="0.2">
      <c r="M5677" s="40"/>
      <c r="N5677" s="15"/>
      <c r="O5677" s="15"/>
      <c r="P5677" s="15"/>
      <c r="Q5677" s="39"/>
      <c r="R5677" s="41"/>
      <c r="S5677" s="36"/>
      <c r="T5677" s="36"/>
      <c r="U5677" s="36"/>
      <c r="V5677" s="37"/>
    </row>
    <row r="5678" spans="13:22" x14ac:dyDescent="0.2">
      <c r="M5678" s="40"/>
      <c r="N5678" s="15"/>
      <c r="O5678" s="15"/>
      <c r="P5678" s="15"/>
      <c r="Q5678" s="39"/>
      <c r="R5678" s="41"/>
      <c r="S5678" s="36"/>
      <c r="T5678" s="36"/>
      <c r="U5678" s="36"/>
      <c r="V5678" s="37"/>
    </row>
    <row r="5679" spans="13:22" x14ac:dyDescent="0.2">
      <c r="M5679" s="40"/>
      <c r="N5679" s="15"/>
      <c r="O5679" s="15"/>
      <c r="P5679" s="15"/>
      <c r="Q5679" s="39"/>
      <c r="R5679" s="41"/>
      <c r="S5679" s="36"/>
      <c r="T5679" s="36"/>
      <c r="U5679" s="36"/>
      <c r="V5679" s="37"/>
    </row>
    <row r="5680" spans="13:22" x14ac:dyDescent="0.2">
      <c r="M5680" s="40"/>
      <c r="N5680" s="15"/>
      <c r="O5680" s="15"/>
      <c r="P5680" s="15"/>
      <c r="Q5680" s="39"/>
      <c r="R5680" s="41"/>
      <c r="S5680" s="36"/>
      <c r="T5680" s="36"/>
      <c r="U5680" s="36"/>
      <c r="V5680" s="37"/>
    </row>
    <row r="5681" spans="13:22" ht="13.5" thickBot="1" x14ac:dyDescent="0.25">
      <c r="M5681" s="42"/>
      <c r="N5681" s="43"/>
      <c r="O5681" s="43"/>
      <c r="P5681" s="43"/>
      <c r="Q5681" s="44"/>
      <c r="R5681" s="41"/>
      <c r="S5681" s="46"/>
      <c r="T5681" s="46"/>
      <c r="U5681" s="46"/>
      <c r="V5681" s="47"/>
    </row>
    <row r="5682" spans="13:22" ht="13.5" thickBot="1" x14ac:dyDescent="0.25">
      <c r="M5682" s="48"/>
      <c r="N5682" s="49"/>
      <c r="O5682" s="49"/>
      <c r="P5682" s="49"/>
      <c r="Q5682" s="50"/>
      <c r="R5682" s="45"/>
      <c r="S5682" s="52"/>
      <c r="T5682" s="52"/>
      <c r="U5682" s="52"/>
      <c r="V5682" s="53"/>
    </row>
    <row r="5683" spans="13:22" x14ac:dyDescent="0.2">
      <c r="M5683" s="54"/>
      <c r="N5683" s="29"/>
      <c r="O5683" s="29"/>
      <c r="P5683" s="29"/>
      <c r="Q5683" s="34"/>
      <c r="R5683" s="51"/>
      <c r="S5683" s="36"/>
      <c r="T5683" s="36"/>
      <c r="U5683" s="36"/>
      <c r="V5683" s="37"/>
    </row>
    <row r="5684" spans="13:22" x14ac:dyDescent="0.2">
      <c r="M5684" s="33"/>
      <c r="N5684" s="29"/>
      <c r="O5684" s="29"/>
      <c r="P5684" s="29"/>
      <c r="Q5684" s="34"/>
      <c r="R5684" s="41"/>
      <c r="S5684" s="36"/>
      <c r="T5684" s="36"/>
      <c r="U5684" s="36"/>
      <c r="V5684" s="37"/>
    </row>
    <row r="5685" spans="13:22" x14ac:dyDescent="0.2">
      <c r="M5685" s="33"/>
      <c r="N5685" s="29"/>
      <c r="O5685" s="29"/>
      <c r="P5685" s="29"/>
      <c r="Q5685" s="34"/>
      <c r="R5685" s="35"/>
      <c r="S5685" s="36"/>
      <c r="T5685" s="36"/>
      <c r="U5685" s="36"/>
      <c r="V5685" s="37"/>
    </row>
    <row r="5686" spans="13:22" x14ac:dyDescent="0.2">
      <c r="M5686" s="33"/>
      <c r="N5686" s="29"/>
      <c r="O5686" s="29"/>
      <c r="P5686" s="29"/>
      <c r="Q5686" s="34"/>
      <c r="R5686" s="35"/>
      <c r="S5686" s="36"/>
      <c r="T5686" s="36"/>
      <c r="U5686" s="36"/>
      <c r="V5686" s="37"/>
    </row>
    <row r="5687" spans="13:22" x14ac:dyDescent="0.2">
      <c r="M5687" s="33"/>
      <c r="N5687" s="29"/>
      <c r="O5687" s="29"/>
      <c r="P5687" s="29"/>
      <c r="Q5687" s="34"/>
      <c r="R5687" s="35"/>
      <c r="S5687" s="36"/>
      <c r="T5687" s="36"/>
      <c r="U5687" s="36"/>
      <c r="V5687" s="37"/>
    </row>
    <row r="5688" spans="13:22" x14ac:dyDescent="0.2">
      <c r="M5688" s="33"/>
      <c r="N5688" s="29"/>
      <c r="O5688" s="29"/>
      <c r="P5688" s="29"/>
      <c r="Q5688" s="34"/>
      <c r="R5688" s="35"/>
      <c r="S5688" s="36"/>
      <c r="T5688" s="36"/>
      <c r="U5688" s="36"/>
      <c r="V5688" s="37"/>
    </row>
    <row r="5689" spans="13:22" x14ac:dyDescent="0.2">
      <c r="M5689" s="33"/>
      <c r="N5689" s="29"/>
      <c r="O5689" s="29"/>
      <c r="P5689" s="29"/>
      <c r="Q5689" s="38"/>
      <c r="R5689" s="35"/>
      <c r="S5689" s="36"/>
      <c r="T5689" s="36"/>
      <c r="U5689" s="36"/>
      <c r="V5689" s="37"/>
    </row>
    <row r="5690" spans="13:22" x14ac:dyDescent="0.2">
      <c r="M5690" s="33"/>
      <c r="N5690" s="29"/>
      <c r="O5690" s="29"/>
      <c r="P5690" s="29"/>
      <c r="Q5690" s="34"/>
      <c r="R5690" s="35"/>
      <c r="S5690" s="36"/>
      <c r="T5690" s="36"/>
      <c r="U5690" s="36"/>
      <c r="V5690" s="37"/>
    </row>
    <row r="5691" spans="13:22" x14ac:dyDescent="0.2">
      <c r="M5691" s="33"/>
      <c r="N5691" s="29"/>
      <c r="O5691" s="29"/>
      <c r="P5691" s="29"/>
      <c r="Q5691" s="34"/>
      <c r="R5691" s="35"/>
      <c r="S5691" s="36"/>
      <c r="T5691" s="36"/>
      <c r="U5691" s="36"/>
      <c r="V5691" s="37"/>
    </row>
    <row r="5692" spans="13:22" x14ac:dyDescent="0.2">
      <c r="M5692" s="33"/>
      <c r="N5692" s="29"/>
      <c r="O5692" s="29"/>
      <c r="P5692" s="29"/>
      <c r="Q5692" s="34"/>
      <c r="R5692" s="35"/>
      <c r="S5692" s="36"/>
      <c r="T5692" s="36"/>
      <c r="U5692" s="36"/>
      <c r="V5692" s="37"/>
    </row>
    <row r="5693" spans="13:22" x14ac:dyDescent="0.2">
      <c r="M5693" s="33"/>
      <c r="N5693" s="29"/>
      <c r="O5693" s="29"/>
      <c r="P5693" s="29"/>
      <c r="Q5693" s="34"/>
      <c r="R5693" s="35"/>
      <c r="S5693" s="36"/>
      <c r="T5693" s="36"/>
      <c r="U5693" s="36"/>
      <c r="V5693" s="37"/>
    </row>
    <row r="5694" spans="13:22" x14ac:dyDescent="0.2">
      <c r="M5694" s="26"/>
      <c r="N5694" s="15"/>
      <c r="O5694" s="15"/>
      <c r="P5694" s="15"/>
      <c r="Q5694" s="39"/>
      <c r="R5694" s="35"/>
      <c r="S5694" s="36"/>
      <c r="T5694" s="36"/>
      <c r="U5694" s="36"/>
      <c r="V5694" s="37"/>
    </row>
    <row r="5695" spans="13:22" x14ac:dyDescent="0.2">
      <c r="M5695" s="26"/>
      <c r="N5695" s="15"/>
      <c r="O5695" s="15"/>
      <c r="P5695" s="15"/>
      <c r="Q5695" s="39"/>
      <c r="R5695" s="35"/>
      <c r="S5695" s="36"/>
      <c r="T5695" s="36"/>
      <c r="U5695" s="36"/>
      <c r="V5695" s="37"/>
    </row>
    <row r="5696" spans="13:22" x14ac:dyDescent="0.2">
      <c r="M5696" s="40"/>
      <c r="N5696" s="15"/>
      <c r="O5696" s="15"/>
      <c r="P5696" s="15"/>
      <c r="Q5696" s="39"/>
      <c r="R5696" s="35"/>
      <c r="S5696" s="36"/>
      <c r="T5696" s="36"/>
      <c r="U5696" s="36"/>
      <c r="V5696" s="37"/>
    </row>
    <row r="5697" spans="13:22" x14ac:dyDescent="0.2">
      <c r="M5697" s="40"/>
      <c r="N5697" s="15"/>
      <c r="O5697" s="15"/>
      <c r="P5697" s="15"/>
      <c r="Q5697" s="39"/>
      <c r="R5697" s="41"/>
      <c r="S5697" s="36"/>
      <c r="T5697" s="36"/>
      <c r="U5697" s="36"/>
      <c r="V5697" s="37"/>
    </row>
    <row r="5698" spans="13:22" x14ac:dyDescent="0.2">
      <c r="M5698" s="40"/>
      <c r="N5698" s="15"/>
      <c r="O5698" s="15"/>
      <c r="P5698" s="15"/>
      <c r="Q5698" s="39"/>
      <c r="R5698" s="41"/>
      <c r="S5698" s="36"/>
      <c r="T5698" s="36"/>
      <c r="U5698" s="36"/>
      <c r="V5698" s="37"/>
    </row>
    <row r="5699" spans="13:22" x14ac:dyDescent="0.2">
      <c r="M5699" s="40"/>
      <c r="N5699" s="15"/>
      <c r="O5699" s="15"/>
      <c r="P5699" s="15"/>
      <c r="Q5699" s="39"/>
      <c r="R5699" s="41"/>
      <c r="S5699" s="36"/>
      <c r="T5699" s="36"/>
      <c r="U5699" s="36"/>
      <c r="V5699" s="37"/>
    </row>
    <row r="5700" spans="13:22" x14ac:dyDescent="0.2">
      <c r="M5700" s="40"/>
      <c r="N5700" s="15"/>
      <c r="O5700" s="15"/>
      <c r="P5700" s="15"/>
      <c r="Q5700" s="39"/>
      <c r="R5700" s="41"/>
      <c r="S5700" s="36"/>
      <c r="T5700" s="36"/>
      <c r="U5700" s="36"/>
      <c r="V5700" s="37"/>
    </row>
    <row r="5701" spans="13:22" x14ac:dyDescent="0.2">
      <c r="M5701" s="40"/>
      <c r="N5701" s="15"/>
      <c r="O5701" s="15"/>
      <c r="P5701" s="15"/>
      <c r="Q5701" s="39"/>
      <c r="R5701" s="41"/>
      <c r="S5701" s="36"/>
      <c r="T5701" s="36"/>
      <c r="U5701" s="36"/>
      <c r="V5701" s="37"/>
    </row>
    <row r="5702" spans="13:22" x14ac:dyDescent="0.2">
      <c r="M5702" s="40"/>
      <c r="N5702" s="15"/>
      <c r="O5702" s="15"/>
      <c r="P5702" s="15"/>
      <c r="Q5702" s="39"/>
      <c r="R5702" s="41"/>
      <c r="S5702" s="36"/>
      <c r="T5702" s="36"/>
      <c r="U5702" s="36"/>
      <c r="V5702" s="37"/>
    </row>
    <row r="5703" spans="13:22" x14ac:dyDescent="0.2">
      <c r="M5703" s="40"/>
      <c r="N5703" s="15"/>
      <c r="O5703" s="15"/>
      <c r="P5703" s="15"/>
      <c r="Q5703" s="39"/>
      <c r="R5703" s="41"/>
      <c r="S5703" s="36"/>
      <c r="T5703" s="36"/>
      <c r="U5703" s="36"/>
      <c r="V5703" s="37"/>
    </row>
    <row r="5704" spans="13:22" x14ac:dyDescent="0.2">
      <c r="M5704" s="40"/>
      <c r="N5704" s="15"/>
      <c r="O5704" s="15"/>
      <c r="P5704" s="15"/>
      <c r="Q5704" s="39"/>
      <c r="R5704" s="41"/>
      <c r="S5704" s="36"/>
      <c r="T5704" s="36"/>
      <c r="U5704" s="36"/>
      <c r="V5704" s="37"/>
    </row>
    <row r="5705" spans="13:22" x14ac:dyDescent="0.2">
      <c r="M5705" s="40"/>
      <c r="N5705" s="15"/>
      <c r="O5705" s="15"/>
      <c r="P5705" s="15"/>
      <c r="Q5705" s="39"/>
      <c r="R5705" s="41"/>
      <c r="S5705" s="36"/>
      <c r="T5705" s="36"/>
      <c r="U5705" s="36"/>
      <c r="V5705" s="37"/>
    </row>
    <row r="5706" spans="13:22" ht="13.5" thickBot="1" x14ac:dyDescent="0.25">
      <c r="M5706" s="42"/>
      <c r="N5706" s="43"/>
      <c r="O5706" s="43"/>
      <c r="P5706" s="43"/>
      <c r="Q5706" s="44"/>
      <c r="R5706" s="41"/>
      <c r="S5706" s="46"/>
      <c r="T5706" s="46"/>
      <c r="U5706" s="46"/>
      <c r="V5706" s="47"/>
    </row>
    <row r="5707" spans="13:22" ht="13.5" thickBot="1" x14ac:dyDescent="0.25">
      <c r="M5707" s="48"/>
      <c r="N5707" s="49"/>
      <c r="O5707" s="49"/>
      <c r="P5707" s="49"/>
      <c r="Q5707" s="50"/>
      <c r="R5707" s="45"/>
      <c r="S5707" s="52"/>
      <c r="T5707" s="52"/>
      <c r="U5707" s="52"/>
      <c r="V5707" s="53"/>
    </row>
    <row r="5708" spans="13:22" x14ac:dyDescent="0.2">
      <c r="M5708" s="54"/>
      <c r="N5708" s="29"/>
      <c r="O5708" s="29"/>
      <c r="P5708" s="29"/>
      <c r="Q5708" s="34"/>
      <c r="R5708" s="51"/>
      <c r="S5708" s="36"/>
      <c r="T5708" s="36"/>
      <c r="U5708" s="36"/>
      <c r="V5708" s="37"/>
    </row>
    <row r="5709" spans="13:22" x14ac:dyDescent="0.2">
      <c r="M5709" s="33"/>
      <c r="N5709" s="29"/>
      <c r="O5709" s="29"/>
      <c r="P5709" s="29"/>
      <c r="Q5709" s="34"/>
      <c r="R5709" s="41"/>
      <c r="S5709" s="36"/>
      <c r="T5709" s="36"/>
      <c r="U5709" s="36"/>
      <c r="V5709" s="37"/>
    </row>
    <row r="5710" spans="13:22" x14ac:dyDescent="0.2">
      <c r="M5710" s="33"/>
      <c r="N5710" s="29"/>
      <c r="O5710" s="29"/>
      <c r="P5710" s="29"/>
      <c r="Q5710" s="34"/>
      <c r="R5710" s="35"/>
      <c r="S5710" s="36"/>
      <c r="T5710" s="36"/>
      <c r="U5710" s="36"/>
      <c r="V5710" s="37"/>
    </row>
    <row r="5711" spans="13:22" x14ac:dyDescent="0.2">
      <c r="M5711" s="33"/>
      <c r="N5711" s="29"/>
      <c r="O5711" s="29"/>
      <c r="P5711" s="29"/>
      <c r="Q5711" s="34"/>
      <c r="R5711" s="35"/>
      <c r="S5711" s="36"/>
      <c r="T5711" s="36"/>
      <c r="U5711" s="36"/>
      <c r="V5711" s="37"/>
    </row>
    <row r="5712" spans="13:22" x14ac:dyDescent="0.2">
      <c r="M5712" s="33"/>
      <c r="N5712" s="29"/>
      <c r="O5712" s="29"/>
      <c r="P5712" s="29"/>
      <c r="Q5712" s="34"/>
      <c r="R5712" s="35"/>
      <c r="S5712" s="36"/>
      <c r="T5712" s="36"/>
      <c r="U5712" s="36"/>
      <c r="V5712" s="37"/>
    </row>
    <row r="5713" spans="13:22" x14ac:dyDescent="0.2">
      <c r="M5713" s="33"/>
      <c r="N5713" s="29"/>
      <c r="O5713" s="29"/>
      <c r="P5713" s="29"/>
      <c r="Q5713" s="34"/>
      <c r="R5713" s="35"/>
      <c r="S5713" s="36"/>
      <c r="T5713" s="36"/>
      <c r="U5713" s="36"/>
      <c r="V5713" s="37"/>
    </row>
    <row r="5714" spans="13:22" x14ac:dyDescent="0.2">
      <c r="M5714" s="33"/>
      <c r="N5714" s="29"/>
      <c r="O5714" s="29"/>
      <c r="P5714" s="29"/>
      <c r="Q5714" s="38"/>
      <c r="R5714" s="35"/>
      <c r="S5714" s="36"/>
      <c r="T5714" s="36"/>
      <c r="U5714" s="36"/>
      <c r="V5714" s="37"/>
    </row>
    <row r="5715" spans="13:22" x14ac:dyDescent="0.2">
      <c r="M5715" s="33"/>
      <c r="N5715" s="29"/>
      <c r="O5715" s="29"/>
      <c r="P5715" s="29"/>
      <c r="Q5715" s="34"/>
      <c r="R5715" s="35"/>
      <c r="S5715" s="36"/>
      <c r="T5715" s="36"/>
      <c r="U5715" s="36"/>
      <c r="V5715" s="37"/>
    </row>
    <row r="5716" spans="13:22" x14ac:dyDescent="0.2">
      <c r="M5716" s="33"/>
      <c r="N5716" s="29"/>
      <c r="O5716" s="29"/>
      <c r="P5716" s="29"/>
      <c r="Q5716" s="34"/>
      <c r="R5716" s="35"/>
      <c r="S5716" s="36"/>
      <c r="T5716" s="36"/>
      <c r="U5716" s="36"/>
      <c r="V5716" s="37"/>
    </row>
    <row r="5717" spans="13:22" x14ac:dyDescent="0.2">
      <c r="M5717" s="33"/>
      <c r="N5717" s="29"/>
      <c r="O5717" s="29"/>
      <c r="P5717" s="29"/>
      <c r="Q5717" s="34"/>
      <c r="R5717" s="35"/>
      <c r="S5717" s="36"/>
      <c r="T5717" s="36"/>
      <c r="U5717" s="36"/>
      <c r="V5717" s="37"/>
    </row>
    <row r="5718" spans="13:22" x14ac:dyDescent="0.2">
      <c r="M5718" s="33"/>
      <c r="N5718" s="29"/>
      <c r="O5718" s="29"/>
      <c r="P5718" s="29"/>
      <c r="Q5718" s="34"/>
      <c r="R5718" s="35"/>
      <c r="S5718" s="36"/>
      <c r="T5718" s="36"/>
      <c r="U5718" s="36"/>
      <c r="V5718" s="37"/>
    </row>
    <row r="5719" spans="13:22" x14ac:dyDescent="0.2">
      <c r="M5719" s="26"/>
      <c r="N5719" s="15"/>
      <c r="O5719" s="15"/>
      <c r="P5719" s="15"/>
      <c r="Q5719" s="39"/>
      <c r="R5719" s="35"/>
      <c r="S5719" s="36"/>
      <c r="T5719" s="36"/>
      <c r="U5719" s="36"/>
      <c r="V5719" s="37"/>
    </row>
    <row r="5720" spans="13:22" x14ac:dyDescent="0.2">
      <c r="M5720" s="26"/>
      <c r="N5720" s="15"/>
      <c r="O5720" s="15"/>
      <c r="P5720" s="15"/>
      <c r="Q5720" s="39"/>
      <c r="R5720" s="35"/>
      <c r="S5720" s="36"/>
      <c r="T5720" s="36"/>
      <c r="U5720" s="36"/>
      <c r="V5720" s="37"/>
    </row>
    <row r="5721" spans="13:22" x14ac:dyDescent="0.2">
      <c r="M5721" s="40"/>
      <c r="N5721" s="15"/>
      <c r="O5721" s="15"/>
      <c r="P5721" s="15"/>
      <c r="Q5721" s="39"/>
      <c r="R5721" s="35"/>
      <c r="S5721" s="36"/>
      <c r="T5721" s="36"/>
      <c r="U5721" s="36"/>
      <c r="V5721" s="37"/>
    </row>
    <row r="5722" spans="13:22" x14ac:dyDescent="0.2">
      <c r="M5722" s="40"/>
      <c r="N5722" s="15"/>
      <c r="O5722" s="15"/>
      <c r="P5722" s="15"/>
      <c r="Q5722" s="39"/>
      <c r="R5722" s="41"/>
      <c r="S5722" s="36"/>
      <c r="T5722" s="36"/>
      <c r="U5722" s="36"/>
      <c r="V5722" s="37"/>
    </row>
    <row r="5723" spans="13:22" x14ac:dyDescent="0.2">
      <c r="M5723" s="40"/>
      <c r="N5723" s="15"/>
      <c r="O5723" s="15"/>
      <c r="P5723" s="15"/>
      <c r="Q5723" s="39"/>
      <c r="R5723" s="41"/>
      <c r="S5723" s="36"/>
      <c r="T5723" s="36"/>
      <c r="U5723" s="36"/>
      <c r="V5723" s="37"/>
    </row>
    <row r="5724" spans="13:22" x14ac:dyDescent="0.2">
      <c r="M5724" s="40"/>
      <c r="N5724" s="15"/>
      <c r="O5724" s="15"/>
      <c r="P5724" s="15"/>
      <c r="Q5724" s="39"/>
      <c r="R5724" s="41"/>
      <c r="S5724" s="36"/>
      <c r="T5724" s="36"/>
      <c r="U5724" s="36"/>
      <c r="V5724" s="37"/>
    </row>
    <row r="5725" spans="13:22" x14ac:dyDescent="0.2">
      <c r="M5725" s="40"/>
      <c r="N5725" s="15"/>
      <c r="O5725" s="15"/>
      <c r="P5725" s="15"/>
      <c r="Q5725" s="39"/>
      <c r="R5725" s="41"/>
      <c r="S5725" s="36"/>
      <c r="T5725" s="36"/>
      <c r="U5725" s="36"/>
      <c r="V5725" s="37"/>
    </row>
    <row r="5726" spans="13:22" x14ac:dyDescent="0.2">
      <c r="M5726" s="40"/>
      <c r="N5726" s="15"/>
      <c r="O5726" s="15"/>
      <c r="P5726" s="15"/>
      <c r="Q5726" s="39"/>
      <c r="R5726" s="41"/>
      <c r="S5726" s="36"/>
      <c r="T5726" s="36"/>
      <c r="U5726" s="36"/>
      <c r="V5726" s="37"/>
    </row>
    <row r="5727" spans="13:22" x14ac:dyDescent="0.2">
      <c r="M5727" s="40"/>
      <c r="N5727" s="15"/>
      <c r="O5727" s="15"/>
      <c r="P5727" s="15"/>
      <c r="Q5727" s="39"/>
      <c r="R5727" s="41"/>
      <c r="S5727" s="36"/>
      <c r="T5727" s="36"/>
      <c r="U5727" s="36"/>
      <c r="V5727" s="37"/>
    </row>
    <row r="5728" spans="13:22" x14ac:dyDescent="0.2">
      <c r="M5728" s="40"/>
      <c r="N5728" s="15"/>
      <c r="O5728" s="15"/>
      <c r="P5728" s="15"/>
      <c r="Q5728" s="39"/>
      <c r="R5728" s="41"/>
      <c r="S5728" s="36"/>
      <c r="T5728" s="36"/>
      <c r="U5728" s="36"/>
      <c r="V5728" s="37"/>
    </row>
    <row r="5729" spans="13:22" x14ac:dyDescent="0.2">
      <c r="M5729" s="40"/>
      <c r="N5729" s="15"/>
      <c r="O5729" s="15"/>
      <c r="P5729" s="15"/>
      <c r="Q5729" s="39"/>
      <c r="R5729" s="41"/>
      <c r="S5729" s="36"/>
      <c r="T5729" s="36"/>
      <c r="U5729" s="36"/>
      <c r="V5729" s="37"/>
    </row>
    <row r="5730" spans="13:22" x14ac:dyDescent="0.2">
      <c r="M5730" s="40"/>
      <c r="N5730" s="15"/>
      <c r="O5730" s="15"/>
      <c r="P5730" s="15"/>
      <c r="Q5730" s="39"/>
      <c r="R5730" s="41"/>
      <c r="S5730" s="36"/>
      <c r="T5730" s="36"/>
      <c r="U5730" s="36"/>
      <c r="V5730" s="37"/>
    </row>
    <row r="5731" spans="13:22" ht="13.5" thickBot="1" x14ac:dyDescent="0.25">
      <c r="M5731" s="42"/>
      <c r="N5731" s="43"/>
      <c r="O5731" s="43"/>
      <c r="P5731" s="43"/>
      <c r="Q5731" s="44"/>
      <c r="R5731" s="41"/>
      <c r="S5731" s="46"/>
      <c r="T5731" s="46"/>
      <c r="U5731" s="46"/>
      <c r="V5731" s="47"/>
    </row>
    <row r="5732" spans="13:22" ht="13.5" thickBot="1" x14ac:dyDescent="0.25">
      <c r="M5732" s="48"/>
      <c r="N5732" s="49"/>
      <c r="O5732" s="49"/>
      <c r="P5732" s="49"/>
      <c r="Q5732" s="50"/>
      <c r="R5732" s="45"/>
      <c r="S5732" s="52"/>
      <c r="T5732" s="52"/>
      <c r="U5732" s="52"/>
      <c r="V5732" s="53"/>
    </row>
    <row r="5733" spans="13:22" x14ac:dyDescent="0.2">
      <c r="M5733" s="54"/>
      <c r="N5733" s="29"/>
      <c r="O5733" s="29"/>
      <c r="P5733" s="29"/>
      <c r="Q5733" s="34"/>
      <c r="R5733" s="51"/>
      <c r="S5733" s="36"/>
      <c r="T5733" s="36"/>
      <c r="U5733" s="36"/>
      <c r="V5733" s="37"/>
    </row>
    <row r="5734" spans="13:22" x14ac:dyDescent="0.2">
      <c r="M5734" s="33"/>
      <c r="N5734" s="29"/>
      <c r="O5734" s="29"/>
      <c r="P5734" s="29"/>
      <c r="Q5734" s="34"/>
      <c r="R5734" s="41"/>
      <c r="S5734" s="36"/>
      <c r="T5734" s="36"/>
      <c r="U5734" s="36"/>
      <c r="V5734" s="37"/>
    </row>
    <row r="5735" spans="13:22" x14ac:dyDescent="0.2">
      <c r="M5735" s="33"/>
      <c r="N5735" s="29"/>
      <c r="O5735" s="29"/>
      <c r="P5735" s="29"/>
      <c r="Q5735" s="34"/>
      <c r="R5735" s="35"/>
      <c r="S5735" s="36"/>
      <c r="T5735" s="36"/>
      <c r="U5735" s="36"/>
      <c r="V5735" s="37"/>
    </row>
    <row r="5736" spans="13:22" x14ac:dyDescent="0.2">
      <c r="M5736" s="33"/>
      <c r="N5736" s="29"/>
      <c r="O5736" s="29"/>
      <c r="P5736" s="29"/>
      <c r="Q5736" s="34"/>
      <c r="R5736" s="35"/>
      <c r="S5736" s="36"/>
      <c r="T5736" s="36"/>
      <c r="U5736" s="36"/>
      <c r="V5736" s="37"/>
    </row>
    <row r="5737" spans="13:22" x14ac:dyDescent="0.2">
      <c r="M5737" s="33"/>
      <c r="N5737" s="29"/>
      <c r="O5737" s="29"/>
      <c r="P5737" s="29"/>
      <c r="Q5737" s="34"/>
      <c r="R5737" s="35"/>
      <c r="S5737" s="36"/>
      <c r="T5737" s="36"/>
      <c r="U5737" s="36"/>
      <c r="V5737" s="37"/>
    </row>
    <row r="5738" spans="13:22" x14ac:dyDescent="0.2">
      <c r="M5738" s="33"/>
      <c r="N5738" s="29"/>
      <c r="O5738" s="29"/>
      <c r="P5738" s="29"/>
      <c r="Q5738" s="34"/>
      <c r="R5738" s="35"/>
      <c r="S5738" s="36"/>
      <c r="T5738" s="36"/>
      <c r="U5738" s="36"/>
      <c r="V5738" s="37"/>
    </row>
    <row r="5739" spans="13:22" x14ac:dyDescent="0.2">
      <c r="M5739" s="33"/>
      <c r="N5739" s="29"/>
      <c r="O5739" s="29"/>
      <c r="P5739" s="29"/>
      <c r="Q5739" s="38"/>
      <c r="R5739" s="35"/>
      <c r="S5739" s="36"/>
      <c r="T5739" s="36"/>
      <c r="U5739" s="36"/>
      <c r="V5739" s="37"/>
    </row>
    <row r="5740" spans="13:22" x14ac:dyDescent="0.2">
      <c r="M5740" s="33"/>
      <c r="N5740" s="29"/>
      <c r="O5740" s="29"/>
      <c r="P5740" s="29"/>
      <c r="Q5740" s="34"/>
      <c r="R5740" s="35"/>
      <c r="S5740" s="36"/>
      <c r="T5740" s="36"/>
      <c r="U5740" s="36"/>
      <c r="V5740" s="37"/>
    </row>
    <row r="5741" spans="13:22" x14ac:dyDescent="0.2">
      <c r="M5741" s="33"/>
      <c r="N5741" s="29"/>
      <c r="O5741" s="29"/>
      <c r="P5741" s="29"/>
      <c r="Q5741" s="34"/>
      <c r="R5741" s="35"/>
      <c r="S5741" s="36"/>
      <c r="T5741" s="36"/>
      <c r="U5741" s="36"/>
      <c r="V5741" s="37"/>
    </row>
    <row r="5742" spans="13:22" x14ac:dyDescent="0.2">
      <c r="M5742" s="33"/>
      <c r="N5742" s="29"/>
      <c r="O5742" s="29"/>
      <c r="P5742" s="29"/>
      <c r="Q5742" s="34"/>
      <c r="R5742" s="35"/>
      <c r="S5742" s="36"/>
      <c r="T5742" s="36"/>
      <c r="U5742" s="36"/>
      <c r="V5742" s="37"/>
    </row>
    <row r="5743" spans="13:22" x14ac:dyDescent="0.2">
      <c r="M5743" s="33"/>
      <c r="N5743" s="29"/>
      <c r="O5743" s="29"/>
      <c r="P5743" s="29"/>
      <c r="Q5743" s="34"/>
      <c r="R5743" s="35"/>
      <c r="S5743" s="36"/>
      <c r="T5743" s="36"/>
      <c r="U5743" s="36"/>
      <c r="V5743" s="37"/>
    </row>
    <row r="5744" spans="13:22" x14ac:dyDescent="0.2">
      <c r="M5744" s="26"/>
      <c r="N5744" s="15"/>
      <c r="O5744" s="15"/>
      <c r="P5744" s="15"/>
      <c r="Q5744" s="39"/>
      <c r="R5744" s="35"/>
      <c r="S5744" s="36"/>
      <c r="T5744" s="36"/>
      <c r="U5744" s="36"/>
      <c r="V5744" s="37"/>
    </row>
    <row r="5745" spans="13:22" x14ac:dyDescent="0.2">
      <c r="M5745" s="26"/>
      <c r="N5745" s="15"/>
      <c r="O5745" s="15"/>
      <c r="P5745" s="15"/>
      <c r="Q5745" s="39"/>
      <c r="R5745" s="35"/>
      <c r="S5745" s="36"/>
      <c r="T5745" s="36"/>
      <c r="U5745" s="36"/>
      <c r="V5745" s="37"/>
    </row>
    <row r="5746" spans="13:22" x14ac:dyDescent="0.2">
      <c r="M5746" s="40"/>
      <c r="N5746" s="15"/>
      <c r="O5746" s="15"/>
      <c r="P5746" s="15"/>
      <c r="Q5746" s="39"/>
      <c r="R5746" s="35"/>
      <c r="S5746" s="36"/>
      <c r="T5746" s="36"/>
      <c r="U5746" s="36"/>
      <c r="V5746" s="37"/>
    </row>
    <row r="5747" spans="13:22" x14ac:dyDescent="0.2">
      <c r="M5747" s="40"/>
      <c r="N5747" s="15"/>
      <c r="O5747" s="15"/>
      <c r="P5747" s="15"/>
      <c r="Q5747" s="39"/>
      <c r="R5747" s="41"/>
      <c r="S5747" s="36"/>
      <c r="T5747" s="36"/>
      <c r="U5747" s="36"/>
      <c r="V5747" s="37"/>
    </row>
    <row r="5748" spans="13:22" x14ac:dyDescent="0.2">
      <c r="M5748" s="40"/>
      <c r="N5748" s="15"/>
      <c r="O5748" s="15"/>
      <c r="P5748" s="15"/>
      <c r="Q5748" s="39"/>
      <c r="R5748" s="41"/>
      <c r="S5748" s="36"/>
      <c r="T5748" s="36"/>
      <c r="U5748" s="36"/>
      <c r="V5748" s="37"/>
    </row>
    <row r="5749" spans="13:22" x14ac:dyDescent="0.2">
      <c r="M5749" s="40"/>
      <c r="N5749" s="15"/>
      <c r="O5749" s="15"/>
      <c r="P5749" s="15"/>
      <c r="Q5749" s="39"/>
      <c r="R5749" s="41"/>
      <c r="S5749" s="36"/>
      <c r="T5749" s="36"/>
      <c r="U5749" s="36"/>
      <c r="V5749" s="37"/>
    </row>
    <row r="5750" spans="13:22" x14ac:dyDescent="0.2">
      <c r="M5750" s="40"/>
      <c r="N5750" s="15"/>
      <c r="O5750" s="15"/>
      <c r="P5750" s="15"/>
      <c r="Q5750" s="39"/>
      <c r="R5750" s="41"/>
      <c r="S5750" s="36"/>
      <c r="T5750" s="36"/>
      <c r="U5750" s="36"/>
      <c r="V5750" s="37"/>
    </row>
    <row r="5751" spans="13:22" x14ac:dyDescent="0.2">
      <c r="M5751" s="40"/>
      <c r="N5751" s="15"/>
      <c r="O5751" s="15"/>
      <c r="P5751" s="15"/>
      <c r="Q5751" s="39"/>
      <c r="R5751" s="41"/>
      <c r="S5751" s="36"/>
      <c r="T5751" s="36"/>
      <c r="U5751" s="36"/>
      <c r="V5751" s="37"/>
    </row>
    <row r="5752" spans="13:22" x14ac:dyDescent="0.2">
      <c r="M5752" s="40"/>
      <c r="N5752" s="15"/>
      <c r="O5752" s="15"/>
      <c r="P5752" s="15"/>
      <c r="Q5752" s="39"/>
      <c r="R5752" s="41"/>
      <c r="S5752" s="36"/>
      <c r="T5752" s="36"/>
      <c r="U5752" s="36"/>
      <c r="V5752" s="37"/>
    </row>
    <row r="5753" spans="13:22" x14ac:dyDescent="0.2">
      <c r="M5753" s="40"/>
      <c r="N5753" s="15"/>
      <c r="O5753" s="15"/>
      <c r="P5753" s="15"/>
      <c r="Q5753" s="39"/>
      <c r="R5753" s="41"/>
      <c r="S5753" s="36"/>
      <c r="T5753" s="36"/>
      <c r="U5753" s="36"/>
      <c r="V5753" s="37"/>
    </row>
    <row r="5754" spans="13:22" x14ac:dyDescent="0.2">
      <c r="M5754" s="40"/>
      <c r="N5754" s="15"/>
      <c r="O5754" s="15"/>
      <c r="P5754" s="15"/>
      <c r="Q5754" s="39"/>
      <c r="R5754" s="41"/>
      <c r="S5754" s="36"/>
      <c r="T5754" s="36"/>
      <c r="U5754" s="36"/>
      <c r="V5754" s="37"/>
    </row>
    <row r="5755" spans="13:22" x14ac:dyDescent="0.2">
      <c r="M5755" s="40"/>
      <c r="N5755" s="15"/>
      <c r="O5755" s="15"/>
      <c r="P5755" s="15"/>
      <c r="Q5755" s="39"/>
      <c r="R5755" s="41"/>
      <c r="S5755" s="36"/>
      <c r="T5755" s="36"/>
      <c r="U5755" s="36"/>
      <c r="V5755" s="37"/>
    </row>
    <row r="5756" spans="13:22" ht="13.5" thickBot="1" x14ac:dyDescent="0.25">
      <c r="M5756" s="42"/>
      <c r="N5756" s="43"/>
      <c r="O5756" s="43"/>
      <c r="P5756" s="43"/>
      <c r="Q5756" s="44"/>
      <c r="R5756" s="41"/>
      <c r="S5756" s="46"/>
      <c r="T5756" s="46"/>
      <c r="U5756" s="46"/>
      <c r="V5756" s="47"/>
    </row>
    <row r="5757" spans="13:22" ht="13.5" thickBot="1" x14ac:dyDescent="0.25">
      <c r="M5757" s="48"/>
      <c r="N5757" s="49"/>
      <c r="O5757" s="49"/>
      <c r="P5757" s="49"/>
      <c r="Q5757" s="50"/>
      <c r="R5757" s="45"/>
      <c r="S5757" s="52"/>
      <c r="T5757" s="52"/>
      <c r="U5757" s="52"/>
      <c r="V5757" s="53"/>
    </row>
    <row r="5758" spans="13:22" x14ac:dyDescent="0.2">
      <c r="M5758" s="54"/>
      <c r="N5758" s="29"/>
      <c r="O5758" s="29"/>
      <c r="P5758" s="29"/>
      <c r="Q5758" s="34"/>
      <c r="R5758" s="51"/>
      <c r="S5758" s="36"/>
      <c r="T5758" s="36"/>
      <c r="U5758" s="36"/>
      <c r="V5758" s="37"/>
    </row>
    <row r="5759" spans="13:22" x14ac:dyDescent="0.2">
      <c r="M5759" s="33"/>
      <c r="N5759" s="29"/>
      <c r="O5759" s="29"/>
      <c r="P5759" s="29"/>
      <c r="Q5759" s="34"/>
      <c r="R5759" s="41"/>
      <c r="S5759" s="36"/>
      <c r="T5759" s="36"/>
      <c r="U5759" s="36"/>
      <c r="V5759" s="37"/>
    </row>
    <row r="5760" spans="13:22" x14ac:dyDescent="0.2">
      <c r="M5760" s="33"/>
      <c r="N5760" s="29"/>
      <c r="O5760" s="29"/>
      <c r="P5760" s="29"/>
      <c r="Q5760" s="34"/>
      <c r="R5760" s="35"/>
      <c r="S5760" s="36"/>
      <c r="T5760" s="36"/>
      <c r="U5760" s="36"/>
      <c r="V5760" s="37"/>
    </row>
    <row r="5761" spans="13:22" x14ac:dyDescent="0.2">
      <c r="M5761" s="33"/>
      <c r="N5761" s="29"/>
      <c r="O5761" s="29"/>
      <c r="P5761" s="29"/>
      <c r="Q5761" s="34"/>
      <c r="R5761" s="35"/>
      <c r="S5761" s="36"/>
      <c r="T5761" s="36"/>
      <c r="U5761" s="36"/>
      <c r="V5761" s="37"/>
    </row>
    <row r="5762" spans="13:22" x14ac:dyDescent="0.2">
      <c r="M5762" s="33"/>
      <c r="N5762" s="29"/>
      <c r="O5762" s="29"/>
      <c r="P5762" s="29"/>
      <c r="Q5762" s="34"/>
      <c r="R5762" s="35"/>
      <c r="S5762" s="36"/>
      <c r="T5762" s="36"/>
      <c r="U5762" s="36"/>
      <c r="V5762" s="37"/>
    </row>
    <row r="5763" spans="13:22" x14ac:dyDescent="0.2">
      <c r="M5763" s="33"/>
      <c r="N5763" s="29"/>
      <c r="O5763" s="29"/>
      <c r="P5763" s="29"/>
      <c r="Q5763" s="34"/>
      <c r="R5763" s="35"/>
      <c r="S5763" s="36"/>
      <c r="T5763" s="36"/>
      <c r="U5763" s="36"/>
      <c r="V5763" s="37"/>
    </row>
    <row r="5764" spans="13:22" x14ac:dyDescent="0.2">
      <c r="M5764" s="33"/>
      <c r="N5764" s="29"/>
      <c r="O5764" s="29"/>
      <c r="P5764" s="29"/>
      <c r="Q5764" s="38"/>
      <c r="R5764" s="35"/>
      <c r="S5764" s="36"/>
      <c r="T5764" s="36"/>
      <c r="U5764" s="36"/>
      <c r="V5764" s="37"/>
    </row>
    <row r="5765" spans="13:22" x14ac:dyDescent="0.2">
      <c r="M5765" s="33"/>
      <c r="N5765" s="29"/>
      <c r="O5765" s="29"/>
      <c r="P5765" s="29"/>
      <c r="Q5765" s="34"/>
      <c r="R5765" s="35"/>
      <c r="S5765" s="36"/>
      <c r="T5765" s="36"/>
      <c r="U5765" s="36"/>
      <c r="V5765" s="37"/>
    </row>
    <row r="5766" spans="13:22" x14ac:dyDescent="0.2">
      <c r="M5766" s="33"/>
      <c r="N5766" s="29"/>
      <c r="O5766" s="29"/>
      <c r="P5766" s="29"/>
      <c r="Q5766" s="34"/>
      <c r="R5766" s="35"/>
      <c r="S5766" s="36"/>
      <c r="T5766" s="36"/>
      <c r="U5766" s="36"/>
      <c r="V5766" s="37"/>
    </row>
    <row r="5767" spans="13:22" x14ac:dyDescent="0.2">
      <c r="M5767" s="33"/>
      <c r="N5767" s="29"/>
      <c r="O5767" s="29"/>
      <c r="P5767" s="29"/>
      <c r="Q5767" s="34"/>
      <c r="R5767" s="35"/>
      <c r="S5767" s="36"/>
      <c r="T5767" s="36"/>
      <c r="U5767" s="36"/>
      <c r="V5767" s="37"/>
    </row>
    <row r="5768" spans="13:22" x14ac:dyDescent="0.2">
      <c r="M5768" s="33"/>
      <c r="N5768" s="29"/>
      <c r="O5768" s="29"/>
      <c r="P5768" s="29"/>
      <c r="Q5768" s="34"/>
      <c r="R5768" s="35"/>
      <c r="S5768" s="36"/>
      <c r="T5768" s="36"/>
      <c r="U5768" s="36"/>
      <c r="V5768" s="37"/>
    </row>
    <row r="5769" spans="13:22" x14ac:dyDescent="0.2">
      <c r="M5769" s="26"/>
      <c r="N5769" s="15"/>
      <c r="O5769" s="15"/>
      <c r="P5769" s="15"/>
      <c r="Q5769" s="39"/>
      <c r="R5769" s="35"/>
      <c r="S5769" s="36"/>
      <c r="T5769" s="36"/>
      <c r="U5769" s="36"/>
      <c r="V5769" s="37"/>
    </row>
    <row r="5770" spans="13:22" x14ac:dyDescent="0.2">
      <c r="M5770" s="26"/>
      <c r="N5770" s="15"/>
      <c r="O5770" s="15"/>
      <c r="P5770" s="15"/>
      <c r="Q5770" s="39"/>
      <c r="R5770" s="35"/>
      <c r="S5770" s="36"/>
      <c r="T5770" s="36"/>
      <c r="U5770" s="36"/>
      <c r="V5770" s="37"/>
    </row>
    <row r="5771" spans="13:22" x14ac:dyDescent="0.2">
      <c r="M5771" s="40"/>
      <c r="N5771" s="15"/>
      <c r="O5771" s="15"/>
      <c r="P5771" s="15"/>
      <c r="Q5771" s="39"/>
      <c r="R5771" s="35"/>
      <c r="S5771" s="36"/>
      <c r="T5771" s="36"/>
      <c r="U5771" s="36"/>
      <c r="V5771" s="37"/>
    </row>
    <row r="5772" spans="13:22" x14ac:dyDescent="0.2">
      <c r="M5772" s="40"/>
      <c r="N5772" s="15"/>
      <c r="O5772" s="15"/>
      <c r="P5772" s="15"/>
      <c r="Q5772" s="39"/>
      <c r="R5772" s="41"/>
      <c r="S5772" s="36"/>
      <c r="T5772" s="36"/>
      <c r="U5772" s="36"/>
      <c r="V5772" s="37"/>
    </row>
    <row r="5773" spans="13:22" x14ac:dyDescent="0.2">
      <c r="M5773" s="40"/>
      <c r="N5773" s="15"/>
      <c r="O5773" s="15"/>
      <c r="P5773" s="15"/>
      <c r="Q5773" s="39"/>
      <c r="R5773" s="41"/>
      <c r="S5773" s="36"/>
      <c r="T5773" s="36"/>
      <c r="U5773" s="36"/>
      <c r="V5773" s="37"/>
    </row>
    <row r="5774" spans="13:22" x14ac:dyDescent="0.2">
      <c r="M5774" s="40"/>
      <c r="N5774" s="15"/>
      <c r="O5774" s="15"/>
      <c r="P5774" s="15"/>
      <c r="Q5774" s="39"/>
      <c r="R5774" s="41"/>
      <c r="S5774" s="36"/>
      <c r="T5774" s="36"/>
      <c r="U5774" s="36"/>
      <c r="V5774" s="37"/>
    </row>
    <row r="5775" spans="13:22" x14ac:dyDescent="0.2">
      <c r="M5775" s="40"/>
      <c r="N5775" s="15"/>
      <c r="O5775" s="15"/>
      <c r="P5775" s="15"/>
      <c r="Q5775" s="39"/>
      <c r="R5775" s="41"/>
      <c r="S5775" s="36"/>
      <c r="T5775" s="36"/>
      <c r="U5775" s="36"/>
      <c r="V5775" s="37"/>
    </row>
    <row r="5776" spans="13:22" x14ac:dyDescent="0.2">
      <c r="M5776" s="40"/>
      <c r="N5776" s="15"/>
      <c r="O5776" s="15"/>
      <c r="P5776" s="15"/>
      <c r="Q5776" s="39"/>
      <c r="R5776" s="41"/>
      <c r="S5776" s="36"/>
      <c r="T5776" s="36"/>
      <c r="U5776" s="36"/>
      <c r="V5776" s="37"/>
    </row>
    <row r="5777" spans="13:22" x14ac:dyDescent="0.2">
      <c r="M5777" s="40"/>
      <c r="N5777" s="15"/>
      <c r="O5777" s="15"/>
      <c r="P5777" s="15"/>
      <c r="Q5777" s="39"/>
      <c r="R5777" s="41"/>
      <c r="S5777" s="36"/>
      <c r="T5777" s="36"/>
      <c r="U5777" s="36"/>
      <c r="V5777" s="37"/>
    </row>
    <row r="5778" spans="13:22" x14ac:dyDescent="0.2">
      <c r="M5778" s="40"/>
      <c r="N5778" s="15"/>
      <c r="O5778" s="15"/>
      <c r="P5778" s="15"/>
      <c r="Q5778" s="39"/>
      <c r="R5778" s="41"/>
      <c r="S5778" s="36"/>
      <c r="T5778" s="36"/>
      <c r="U5778" s="36"/>
      <c r="V5778" s="37"/>
    </row>
    <row r="5779" spans="13:22" x14ac:dyDescent="0.2">
      <c r="M5779" s="40"/>
      <c r="N5779" s="15"/>
      <c r="O5779" s="15"/>
      <c r="P5779" s="15"/>
      <c r="Q5779" s="39"/>
      <c r="R5779" s="41"/>
      <c r="S5779" s="36"/>
      <c r="T5779" s="36"/>
      <c r="U5779" s="36"/>
      <c r="V5779" s="37"/>
    </row>
    <row r="5780" spans="13:22" x14ac:dyDescent="0.2">
      <c r="M5780" s="40"/>
      <c r="N5780" s="15"/>
      <c r="O5780" s="15"/>
      <c r="P5780" s="15"/>
      <c r="Q5780" s="39"/>
      <c r="R5780" s="41"/>
      <c r="S5780" s="36"/>
      <c r="T5780" s="36"/>
      <c r="U5780" s="36"/>
      <c r="V5780" s="37"/>
    </row>
    <row r="5781" spans="13:22" ht="13.5" thickBot="1" x14ac:dyDescent="0.25">
      <c r="M5781" s="42"/>
      <c r="N5781" s="43"/>
      <c r="O5781" s="43"/>
      <c r="P5781" s="43"/>
      <c r="Q5781" s="44"/>
      <c r="R5781" s="41"/>
      <c r="S5781" s="46"/>
      <c r="T5781" s="46"/>
      <c r="U5781" s="46"/>
      <c r="V5781" s="47"/>
    </row>
    <row r="5782" spans="13:22" ht="13.5" thickBot="1" x14ac:dyDescent="0.25">
      <c r="M5782" s="48"/>
      <c r="N5782" s="49"/>
      <c r="O5782" s="49"/>
      <c r="P5782" s="49"/>
      <c r="Q5782" s="50"/>
      <c r="R5782" s="45"/>
      <c r="S5782" s="52"/>
      <c r="T5782" s="52"/>
      <c r="U5782" s="52"/>
      <c r="V5782" s="53"/>
    </row>
    <row r="5783" spans="13:22" x14ac:dyDescent="0.2">
      <c r="M5783" s="54"/>
      <c r="N5783" s="29"/>
      <c r="O5783" s="29"/>
      <c r="P5783" s="29"/>
      <c r="Q5783" s="34"/>
      <c r="R5783" s="51"/>
      <c r="S5783" s="36"/>
      <c r="T5783" s="36"/>
      <c r="U5783" s="36"/>
      <c r="V5783" s="37"/>
    </row>
    <row r="5784" spans="13:22" x14ac:dyDescent="0.2">
      <c r="M5784" s="33"/>
      <c r="N5784" s="29"/>
      <c r="O5784" s="29"/>
      <c r="P5784" s="29"/>
      <c r="Q5784" s="34"/>
      <c r="R5784" s="41"/>
      <c r="S5784" s="36"/>
      <c r="T5784" s="36"/>
      <c r="U5784" s="36"/>
      <c r="V5784" s="37"/>
    </row>
    <row r="5785" spans="13:22" x14ac:dyDescent="0.2">
      <c r="M5785" s="33"/>
      <c r="N5785" s="29"/>
      <c r="O5785" s="29"/>
      <c r="P5785" s="29"/>
      <c r="Q5785" s="34"/>
      <c r="R5785" s="35"/>
      <c r="S5785" s="36"/>
      <c r="T5785" s="36"/>
      <c r="U5785" s="36"/>
      <c r="V5785" s="37"/>
    </row>
    <row r="5786" spans="13:22" x14ac:dyDescent="0.2">
      <c r="M5786" s="33"/>
      <c r="N5786" s="29"/>
      <c r="O5786" s="29"/>
      <c r="P5786" s="29"/>
      <c r="Q5786" s="34"/>
      <c r="R5786" s="35"/>
      <c r="S5786" s="36"/>
      <c r="T5786" s="36"/>
      <c r="U5786" s="36"/>
      <c r="V5786" s="37"/>
    </row>
    <row r="5787" spans="13:22" x14ac:dyDescent="0.2">
      <c r="M5787" s="33"/>
      <c r="N5787" s="29"/>
      <c r="O5787" s="29"/>
      <c r="P5787" s="29"/>
      <c r="Q5787" s="34"/>
      <c r="R5787" s="35"/>
      <c r="S5787" s="36"/>
      <c r="T5787" s="36"/>
      <c r="U5787" s="36"/>
      <c r="V5787" s="37"/>
    </row>
    <row r="5788" spans="13:22" x14ac:dyDescent="0.2">
      <c r="M5788" s="33"/>
      <c r="N5788" s="29"/>
      <c r="O5788" s="29"/>
      <c r="P5788" s="29"/>
      <c r="Q5788" s="34"/>
      <c r="R5788" s="35"/>
      <c r="S5788" s="36"/>
      <c r="T5788" s="36"/>
      <c r="U5788" s="36"/>
      <c r="V5788" s="37"/>
    </row>
    <row r="5789" spans="13:22" x14ac:dyDescent="0.2">
      <c r="M5789" s="33"/>
      <c r="N5789" s="29"/>
      <c r="O5789" s="29"/>
      <c r="P5789" s="29"/>
      <c r="Q5789" s="38"/>
      <c r="R5789" s="35"/>
      <c r="S5789" s="36"/>
      <c r="T5789" s="36"/>
      <c r="U5789" s="36"/>
      <c r="V5789" s="37"/>
    </row>
    <row r="5790" spans="13:22" x14ac:dyDescent="0.2">
      <c r="M5790" s="33"/>
      <c r="N5790" s="29"/>
      <c r="O5790" s="29"/>
      <c r="P5790" s="29"/>
      <c r="Q5790" s="34"/>
      <c r="R5790" s="35"/>
      <c r="S5790" s="36"/>
      <c r="T5790" s="36"/>
      <c r="U5790" s="36"/>
      <c r="V5790" s="37"/>
    </row>
    <row r="5791" spans="13:22" x14ac:dyDescent="0.2">
      <c r="M5791" s="33"/>
      <c r="N5791" s="29"/>
      <c r="O5791" s="29"/>
      <c r="P5791" s="29"/>
      <c r="Q5791" s="34"/>
      <c r="R5791" s="35"/>
      <c r="S5791" s="36"/>
      <c r="T5791" s="36"/>
      <c r="U5791" s="36"/>
      <c r="V5791" s="37"/>
    </row>
    <row r="5792" spans="13:22" x14ac:dyDescent="0.2">
      <c r="M5792" s="33"/>
      <c r="N5792" s="29"/>
      <c r="O5792" s="29"/>
      <c r="P5792" s="29"/>
      <c r="Q5792" s="34"/>
      <c r="R5792" s="35"/>
      <c r="S5792" s="36"/>
      <c r="T5792" s="36"/>
      <c r="U5792" s="36"/>
      <c r="V5792" s="37"/>
    </row>
    <row r="5793" spans="13:22" x14ac:dyDescent="0.2">
      <c r="M5793" s="33"/>
      <c r="N5793" s="29"/>
      <c r="O5793" s="29"/>
      <c r="P5793" s="29"/>
      <c r="Q5793" s="34"/>
      <c r="R5793" s="35"/>
      <c r="S5793" s="36"/>
      <c r="T5793" s="36"/>
      <c r="U5793" s="36"/>
      <c r="V5793" s="37"/>
    </row>
    <row r="5794" spans="13:22" x14ac:dyDescent="0.2">
      <c r="M5794" s="26"/>
      <c r="N5794" s="15"/>
      <c r="O5794" s="15"/>
      <c r="P5794" s="15"/>
      <c r="Q5794" s="39"/>
      <c r="R5794" s="35"/>
      <c r="S5794" s="36"/>
      <c r="T5794" s="36"/>
      <c r="U5794" s="36"/>
      <c r="V5794" s="37"/>
    </row>
    <row r="5795" spans="13:22" x14ac:dyDescent="0.2">
      <c r="M5795" s="26"/>
      <c r="N5795" s="15"/>
      <c r="O5795" s="15"/>
      <c r="P5795" s="15"/>
      <c r="Q5795" s="39"/>
      <c r="R5795" s="35"/>
      <c r="S5795" s="36"/>
      <c r="T5795" s="36"/>
      <c r="U5795" s="36"/>
      <c r="V5795" s="37"/>
    </row>
    <row r="5796" spans="13:22" x14ac:dyDescent="0.2">
      <c r="M5796" s="40"/>
      <c r="N5796" s="15"/>
      <c r="O5796" s="15"/>
      <c r="P5796" s="15"/>
      <c r="Q5796" s="39"/>
      <c r="R5796" s="35"/>
      <c r="S5796" s="36"/>
      <c r="T5796" s="36"/>
      <c r="U5796" s="36"/>
      <c r="V5796" s="37"/>
    </row>
    <row r="5797" spans="13:22" x14ac:dyDescent="0.2">
      <c r="M5797" s="40"/>
      <c r="N5797" s="15"/>
      <c r="O5797" s="15"/>
      <c r="P5797" s="15"/>
      <c r="Q5797" s="39"/>
      <c r="R5797" s="41"/>
      <c r="S5797" s="36"/>
      <c r="T5797" s="36"/>
      <c r="U5797" s="36"/>
      <c r="V5797" s="37"/>
    </row>
    <row r="5798" spans="13:22" x14ac:dyDescent="0.2">
      <c r="M5798" s="40"/>
      <c r="N5798" s="15"/>
      <c r="O5798" s="15"/>
      <c r="P5798" s="15"/>
      <c r="Q5798" s="39"/>
      <c r="R5798" s="41"/>
      <c r="S5798" s="36"/>
      <c r="T5798" s="36"/>
      <c r="U5798" s="36"/>
      <c r="V5798" s="37"/>
    </row>
    <row r="5799" spans="13:22" x14ac:dyDescent="0.2">
      <c r="M5799" s="40"/>
      <c r="N5799" s="15"/>
      <c r="O5799" s="15"/>
      <c r="P5799" s="15"/>
      <c r="Q5799" s="39"/>
      <c r="R5799" s="41"/>
      <c r="S5799" s="36"/>
      <c r="T5799" s="36"/>
      <c r="U5799" s="36"/>
      <c r="V5799" s="37"/>
    </row>
    <row r="5800" spans="13:22" x14ac:dyDescent="0.2">
      <c r="M5800" s="40"/>
      <c r="N5800" s="15"/>
      <c r="O5800" s="15"/>
      <c r="P5800" s="15"/>
      <c r="Q5800" s="39"/>
      <c r="R5800" s="41"/>
      <c r="S5800" s="36"/>
      <c r="T5800" s="36"/>
      <c r="U5800" s="36"/>
      <c r="V5800" s="37"/>
    </row>
    <row r="5801" spans="13:22" x14ac:dyDescent="0.2">
      <c r="M5801" s="40"/>
      <c r="N5801" s="15"/>
      <c r="O5801" s="15"/>
      <c r="P5801" s="15"/>
      <c r="Q5801" s="39"/>
      <c r="R5801" s="41"/>
      <c r="S5801" s="36"/>
      <c r="T5801" s="36"/>
      <c r="U5801" s="36"/>
      <c r="V5801" s="37"/>
    </row>
    <row r="5802" spans="13:22" x14ac:dyDescent="0.2">
      <c r="M5802" s="40"/>
      <c r="N5802" s="15"/>
      <c r="O5802" s="15"/>
      <c r="P5802" s="15"/>
      <c r="Q5802" s="39"/>
      <c r="R5802" s="41"/>
      <c r="S5802" s="36"/>
      <c r="T5802" s="36"/>
      <c r="U5802" s="36"/>
      <c r="V5802" s="37"/>
    </row>
    <row r="5803" spans="13:22" x14ac:dyDescent="0.2">
      <c r="M5803" s="40"/>
      <c r="N5803" s="15"/>
      <c r="O5803" s="15"/>
      <c r="P5803" s="15"/>
      <c r="Q5803" s="39"/>
      <c r="R5803" s="41"/>
      <c r="S5803" s="36"/>
      <c r="T5803" s="36"/>
      <c r="U5803" s="36"/>
      <c r="V5803" s="37"/>
    </row>
    <row r="5804" spans="13:22" x14ac:dyDescent="0.2">
      <c r="M5804" s="40"/>
      <c r="N5804" s="15"/>
      <c r="O5804" s="15"/>
      <c r="P5804" s="15"/>
      <c r="Q5804" s="39"/>
      <c r="R5804" s="41"/>
      <c r="S5804" s="36"/>
      <c r="T5804" s="36"/>
      <c r="U5804" s="36"/>
      <c r="V5804" s="37"/>
    </row>
    <row r="5805" spans="13:22" x14ac:dyDescent="0.2">
      <c r="M5805" s="40"/>
      <c r="N5805" s="15"/>
      <c r="O5805" s="15"/>
      <c r="P5805" s="15"/>
      <c r="Q5805" s="39"/>
      <c r="R5805" s="41"/>
      <c r="S5805" s="36"/>
      <c r="T5805" s="36"/>
      <c r="U5805" s="36"/>
      <c r="V5805" s="37"/>
    </row>
    <row r="5806" spans="13:22" ht="13.5" thickBot="1" x14ac:dyDescent="0.25">
      <c r="M5806" s="42"/>
      <c r="N5806" s="43"/>
      <c r="O5806" s="43"/>
      <c r="P5806" s="43"/>
      <c r="Q5806" s="44"/>
      <c r="R5806" s="41"/>
      <c r="S5806" s="46"/>
      <c r="T5806" s="46"/>
      <c r="U5806" s="46"/>
      <c r="V5806" s="47"/>
    </row>
    <row r="5807" spans="13:22" ht="13.5" thickBot="1" x14ac:dyDescent="0.25">
      <c r="M5807" s="48"/>
      <c r="N5807" s="49"/>
      <c r="O5807" s="49"/>
      <c r="P5807" s="49"/>
      <c r="Q5807" s="50"/>
      <c r="R5807" s="45"/>
      <c r="S5807" s="52"/>
      <c r="T5807" s="52"/>
      <c r="U5807" s="52"/>
      <c r="V5807" s="53"/>
    </row>
    <row r="5808" spans="13:22" x14ac:dyDescent="0.2">
      <c r="M5808" s="54"/>
      <c r="N5808" s="29"/>
      <c r="O5808" s="29"/>
      <c r="P5808" s="29"/>
      <c r="Q5808" s="34"/>
      <c r="R5808" s="51"/>
      <c r="S5808" s="36"/>
      <c r="T5808" s="36"/>
      <c r="U5808" s="36"/>
      <c r="V5808" s="37"/>
    </row>
    <row r="5809" spans="13:22" x14ac:dyDescent="0.2">
      <c r="M5809" s="33"/>
      <c r="N5809" s="29"/>
      <c r="O5809" s="29"/>
      <c r="P5809" s="29"/>
      <c r="Q5809" s="34"/>
      <c r="R5809" s="41"/>
      <c r="S5809" s="36"/>
      <c r="T5809" s="36"/>
      <c r="U5809" s="36"/>
      <c r="V5809" s="37"/>
    </row>
    <row r="5810" spans="13:22" x14ac:dyDescent="0.2">
      <c r="M5810" s="33"/>
      <c r="N5810" s="29"/>
      <c r="O5810" s="29"/>
      <c r="P5810" s="29"/>
      <c r="Q5810" s="34"/>
      <c r="R5810" s="35"/>
      <c r="S5810" s="36"/>
      <c r="T5810" s="36"/>
      <c r="U5810" s="36"/>
      <c r="V5810" s="37"/>
    </row>
    <row r="5811" spans="13:22" x14ac:dyDescent="0.2">
      <c r="M5811" s="33"/>
      <c r="N5811" s="29"/>
      <c r="O5811" s="29"/>
      <c r="P5811" s="29"/>
      <c r="Q5811" s="34"/>
      <c r="R5811" s="35"/>
      <c r="S5811" s="36"/>
      <c r="T5811" s="36"/>
      <c r="U5811" s="36"/>
      <c r="V5811" s="37"/>
    </row>
    <row r="5812" spans="13:22" x14ac:dyDescent="0.2">
      <c r="M5812" s="33"/>
      <c r="N5812" s="29"/>
      <c r="O5812" s="29"/>
      <c r="P5812" s="29"/>
      <c r="Q5812" s="34"/>
      <c r="R5812" s="35"/>
      <c r="S5812" s="36"/>
      <c r="T5812" s="36"/>
      <c r="U5812" s="36"/>
      <c r="V5812" s="37"/>
    </row>
    <row r="5813" spans="13:22" x14ac:dyDescent="0.2">
      <c r="M5813" s="33"/>
      <c r="N5813" s="29"/>
      <c r="O5813" s="29"/>
      <c r="P5813" s="29"/>
      <c r="Q5813" s="34"/>
      <c r="R5813" s="35"/>
      <c r="S5813" s="36"/>
      <c r="T5813" s="36"/>
      <c r="U5813" s="36"/>
      <c r="V5813" s="37"/>
    </row>
    <row r="5814" spans="13:22" x14ac:dyDescent="0.2">
      <c r="M5814" s="33"/>
      <c r="N5814" s="29"/>
      <c r="O5814" s="29"/>
      <c r="P5814" s="29"/>
      <c r="Q5814" s="38"/>
      <c r="R5814" s="35"/>
      <c r="S5814" s="36"/>
      <c r="T5814" s="36"/>
      <c r="U5814" s="36"/>
      <c r="V5814" s="37"/>
    </row>
    <row r="5815" spans="13:22" x14ac:dyDescent="0.2">
      <c r="M5815" s="33"/>
      <c r="N5815" s="29"/>
      <c r="O5815" s="29"/>
      <c r="P5815" s="29"/>
      <c r="Q5815" s="34"/>
      <c r="R5815" s="35"/>
      <c r="S5815" s="36"/>
      <c r="T5815" s="36"/>
      <c r="U5815" s="36"/>
      <c r="V5815" s="37"/>
    </row>
    <row r="5816" spans="13:22" x14ac:dyDescent="0.2">
      <c r="M5816" s="33"/>
      <c r="N5816" s="29"/>
      <c r="O5816" s="29"/>
      <c r="P5816" s="29"/>
      <c r="Q5816" s="34"/>
      <c r="R5816" s="35"/>
      <c r="S5816" s="36"/>
      <c r="T5816" s="36"/>
      <c r="U5816" s="36"/>
      <c r="V5816" s="37"/>
    </row>
    <row r="5817" spans="13:22" x14ac:dyDescent="0.2">
      <c r="M5817" s="33"/>
      <c r="N5817" s="29"/>
      <c r="O5817" s="29"/>
      <c r="P5817" s="29"/>
      <c r="Q5817" s="34"/>
      <c r="R5817" s="35"/>
      <c r="S5817" s="36"/>
      <c r="T5817" s="36"/>
      <c r="U5817" s="36"/>
      <c r="V5817" s="37"/>
    </row>
    <row r="5818" spans="13:22" x14ac:dyDescent="0.2">
      <c r="M5818" s="33"/>
      <c r="N5818" s="29"/>
      <c r="O5818" s="29"/>
      <c r="P5818" s="29"/>
      <c r="Q5818" s="34"/>
      <c r="R5818" s="35"/>
      <c r="S5818" s="36"/>
      <c r="T5818" s="36"/>
      <c r="U5818" s="36"/>
      <c r="V5818" s="37"/>
    </row>
    <row r="5819" spans="13:22" x14ac:dyDescent="0.2">
      <c r="M5819" s="26"/>
      <c r="N5819" s="15"/>
      <c r="O5819" s="15"/>
      <c r="P5819" s="15"/>
      <c r="Q5819" s="39"/>
      <c r="R5819" s="35"/>
      <c r="S5819" s="36"/>
      <c r="T5819" s="36"/>
      <c r="U5819" s="36"/>
      <c r="V5819" s="37"/>
    </row>
    <row r="5820" spans="13:22" x14ac:dyDescent="0.2">
      <c r="M5820" s="26"/>
      <c r="N5820" s="15"/>
      <c r="O5820" s="15"/>
      <c r="P5820" s="15"/>
      <c r="Q5820" s="39"/>
      <c r="R5820" s="35"/>
      <c r="S5820" s="36"/>
      <c r="T5820" s="36"/>
      <c r="U5820" s="36"/>
      <c r="V5820" s="37"/>
    </row>
    <row r="5821" spans="13:22" x14ac:dyDescent="0.2">
      <c r="M5821" s="40"/>
      <c r="N5821" s="15"/>
      <c r="O5821" s="15"/>
      <c r="P5821" s="15"/>
      <c r="Q5821" s="39"/>
      <c r="R5821" s="35"/>
      <c r="S5821" s="36"/>
      <c r="T5821" s="36"/>
      <c r="U5821" s="36"/>
      <c r="V5821" s="37"/>
    </row>
    <row r="5822" spans="13:22" x14ac:dyDescent="0.2">
      <c r="M5822" s="40"/>
      <c r="N5822" s="15"/>
      <c r="O5822" s="15"/>
      <c r="P5822" s="15"/>
      <c r="Q5822" s="39"/>
      <c r="R5822" s="41"/>
      <c r="S5822" s="36"/>
      <c r="T5822" s="36"/>
      <c r="U5822" s="36"/>
      <c r="V5822" s="37"/>
    </row>
    <row r="5823" spans="13:22" x14ac:dyDescent="0.2">
      <c r="M5823" s="40"/>
      <c r="N5823" s="15"/>
      <c r="O5823" s="15"/>
      <c r="P5823" s="15"/>
      <c r="Q5823" s="39"/>
      <c r="R5823" s="41"/>
      <c r="S5823" s="36"/>
      <c r="T5823" s="36"/>
      <c r="U5823" s="36"/>
      <c r="V5823" s="37"/>
    </row>
    <row r="5824" spans="13:22" x14ac:dyDescent="0.2">
      <c r="M5824" s="40"/>
      <c r="N5824" s="15"/>
      <c r="O5824" s="15"/>
      <c r="P5824" s="15"/>
      <c r="Q5824" s="39"/>
      <c r="R5824" s="41"/>
      <c r="S5824" s="36"/>
      <c r="T5824" s="36"/>
      <c r="U5824" s="36"/>
      <c r="V5824" s="37"/>
    </row>
    <row r="5825" spans="13:22" x14ac:dyDescent="0.2">
      <c r="M5825" s="40"/>
      <c r="N5825" s="15"/>
      <c r="O5825" s="15"/>
      <c r="P5825" s="15"/>
      <c r="Q5825" s="39"/>
      <c r="R5825" s="41"/>
      <c r="S5825" s="36"/>
      <c r="T5825" s="36"/>
      <c r="U5825" s="36"/>
      <c r="V5825" s="37"/>
    </row>
    <row r="5826" spans="13:22" x14ac:dyDescent="0.2">
      <c r="M5826" s="40"/>
      <c r="N5826" s="15"/>
      <c r="O5826" s="15"/>
      <c r="P5826" s="15"/>
      <c r="Q5826" s="39"/>
      <c r="R5826" s="41"/>
      <c r="S5826" s="36"/>
      <c r="T5826" s="36"/>
      <c r="U5826" s="36"/>
      <c r="V5826" s="37"/>
    </row>
    <row r="5827" spans="13:22" x14ac:dyDescent="0.2">
      <c r="M5827" s="40"/>
      <c r="N5827" s="15"/>
      <c r="O5827" s="15"/>
      <c r="P5827" s="15"/>
      <c r="Q5827" s="39"/>
      <c r="R5827" s="41"/>
      <c r="S5827" s="36"/>
      <c r="T5827" s="36"/>
      <c r="U5827" s="36"/>
      <c r="V5827" s="37"/>
    </row>
    <row r="5828" spans="13:22" x14ac:dyDescent="0.2">
      <c r="M5828" s="40"/>
      <c r="N5828" s="15"/>
      <c r="O5828" s="15"/>
      <c r="P5828" s="15"/>
      <c r="Q5828" s="39"/>
      <c r="R5828" s="41"/>
      <c r="S5828" s="36"/>
      <c r="T5828" s="36"/>
      <c r="U5828" s="36"/>
      <c r="V5828" s="37"/>
    </row>
    <row r="5829" spans="13:22" x14ac:dyDescent="0.2">
      <c r="M5829" s="40"/>
      <c r="N5829" s="15"/>
      <c r="O5829" s="15"/>
      <c r="P5829" s="15"/>
      <c r="Q5829" s="39"/>
      <c r="R5829" s="41"/>
      <c r="S5829" s="36"/>
      <c r="T5829" s="36"/>
      <c r="U5829" s="36"/>
      <c r="V5829" s="37"/>
    </row>
    <row r="5830" spans="13:22" x14ac:dyDescent="0.2">
      <c r="M5830" s="40"/>
      <c r="N5830" s="15"/>
      <c r="O5830" s="15"/>
      <c r="P5830" s="15"/>
      <c r="Q5830" s="39"/>
      <c r="R5830" s="41"/>
      <c r="S5830" s="36"/>
      <c r="T5830" s="36"/>
      <c r="U5830" s="36"/>
      <c r="V5830" s="37"/>
    </row>
    <row r="5831" spans="13:22" ht="13.5" thickBot="1" x14ac:dyDescent="0.25">
      <c r="M5831" s="42"/>
      <c r="N5831" s="43"/>
      <c r="O5831" s="43"/>
      <c r="P5831" s="43"/>
      <c r="Q5831" s="44"/>
      <c r="R5831" s="41"/>
      <c r="S5831" s="46"/>
      <c r="T5831" s="46"/>
      <c r="U5831" s="46"/>
      <c r="V5831" s="47"/>
    </row>
    <row r="5832" spans="13:22" ht="13.5" thickBot="1" x14ac:dyDescent="0.25">
      <c r="M5832" s="48"/>
      <c r="N5832" s="49"/>
      <c r="O5832" s="49"/>
      <c r="P5832" s="49"/>
      <c r="Q5832" s="50"/>
      <c r="R5832" s="45"/>
      <c r="S5832" s="52"/>
      <c r="T5832" s="52"/>
      <c r="U5832" s="52"/>
      <c r="V5832" s="53"/>
    </row>
    <row r="5833" spans="13:22" x14ac:dyDescent="0.2">
      <c r="M5833" s="54"/>
      <c r="N5833" s="29"/>
      <c r="O5833" s="29"/>
      <c r="P5833" s="29"/>
      <c r="Q5833" s="34"/>
      <c r="R5833" s="51"/>
      <c r="S5833" s="36"/>
      <c r="T5833" s="36"/>
      <c r="U5833" s="36"/>
      <c r="V5833" s="37"/>
    </row>
    <row r="5834" spans="13:22" x14ac:dyDescent="0.2">
      <c r="M5834" s="33"/>
      <c r="N5834" s="29"/>
      <c r="O5834" s="29"/>
      <c r="P5834" s="29"/>
      <c r="Q5834" s="34"/>
      <c r="R5834" s="41"/>
      <c r="S5834" s="36"/>
      <c r="T5834" s="36"/>
      <c r="U5834" s="36"/>
      <c r="V5834" s="37"/>
    </row>
    <row r="5835" spans="13:22" x14ac:dyDescent="0.2">
      <c r="M5835" s="33"/>
      <c r="N5835" s="29"/>
      <c r="O5835" s="29"/>
      <c r="P5835" s="29"/>
      <c r="Q5835" s="34"/>
      <c r="R5835" s="35"/>
      <c r="S5835" s="36"/>
      <c r="T5835" s="36"/>
      <c r="U5835" s="36"/>
      <c r="V5835" s="37"/>
    </row>
    <row r="5836" spans="13:22" x14ac:dyDescent="0.2">
      <c r="M5836" s="33"/>
      <c r="N5836" s="29"/>
      <c r="O5836" s="29"/>
      <c r="P5836" s="29"/>
      <c r="Q5836" s="34"/>
      <c r="R5836" s="35"/>
      <c r="S5836" s="36"/>
      <c r="T5836" s="36"/>
      <c r="U5836" s="36"/>
      <c r="V5836" s="37"/>
    </row>
    <row r="5837" spans="13:22" x14ac:dyDescent="0.2">
      <c r="M5837" s="33"/>
      <c r="N5837" s="29"/>
      <c r="O5837" s="29"/>
      <c r="P5837" s="29"/>
      <c r="Q5837" s="34"/>
      <c r="R5837" s="35"/>
      <c r="S5837" s="36"/>
      <c r="T5837" s="36"/>
      <c r="U5837" s="36"/>
      <c r="V5837" s="37"/>
    </row>
    <row r="5838" spans="13:22" x14ac:dyDescent="0.2">
      <c r="M5838" s="33"/>
      <c r="N5838" s="29"/>
      <c r="O5838" s="29"/>
      <c r="P5838" s="29"/>
      <c r="Q5838" s="34"/>
      <c r="R5838" s="35"/>
      <c r="S5838" s="36"/>
      <c r="T5838" s="36"/>
      <c r="U5838" s="36"/>
      <c r="V5838" s="37"/>
    </row>
    <row r="5839" spans="13:22" x14ac:dyDescent="0.2">
      <c r="M5839" s="33"/>
      <c r="N5839" s="29"/>
      <c r="O5839" s="29"/>
      <c r="P5839" s="29"/>
      <c r="Q5839" s="38"/>
      <c r="R5839" s="35"/>
      <c r="S5839" s="36"/>
      <c r="T5839" s="36"/>
      <c r="U5839" s="36"/>
      <c r="V5839" s="37"/>
    </row>
    <row r="5840" spans="13:22" x14ac:dyDescent="0.2">
      <c r="M5840" s="33"/>
      <c r="N5840" s="29"/>
      <c r="O5840" s="29"/>
      <c r="P5840" s="29"/>
      <c r="Q5840" s="34"/>
      <c r="R5840" s="35"/>
      <c r="S5840" s="36"/>
      <c r="T5840" s="36"/>
      <c r="U5840" s="36"/>
      <c r="V5840" s="37"/>
    </row>
    <row r="5841" spans="13:22" x14ac:dyDescent="0.2">
      <c r="M5841" s="33"/>
      <c r="N5841" s="29"/>
      <c r="O5841" s="29"/>
      <c r="P5841" s="29"/>
      <c r="Q5841" s="34"/>
      <c r="R5841" s="35"/>
      <c r="S5841" s="36"/>
      <c r="T5841" s="36"/>
      <c r="U5841" s="36"/>
      <c r="V5841" s="37"/>
    </row>
    <row r="5842" spans="13:22" x14ac:dyDescent="0.2">
      <c r="M5842" s="33"/>
      <c r="N5842" s="29"/>
      <c r="O5842" s="29"/>
      <c r="P5842" s="29"/>
      <c r="Q5842" s="34"/>
      <c r="R5842" s="35"/>
      <c r="S5842" s="36"/>
      <c r="T5842" s="36"/>
      <c r="U5842" s="36"/>
      <c r="V5842" s="37"/>
    </row>
    <row r="5843" spans="13:22" x14ac:dyDescent="0.2">
      <c r="M5843" s="33"/>
      <c r="N5843" s="29"/>
      <c r="O5843" s="29"/>
      <c r="P5843" s="29"/>
      <c r="Q5843" s="34"/>
      <c r="R5843" s="35"/>
      <c r="S5843" s="36"/>
      <c r="T5843" s="36"/>
      <c r="U5843" s="36"/>
      <c r="V5843" s="37"/>
    </row>
    <row r="5844" spans="13:22" x14ac:dyDescent="0.2">
      <c r="M5844" s="26"/>
      <c r="N5844" s="15"/>
      <c r="O5844" s="15"/>
      <c r="P5844" s="15"/>
      <c r="Q5844" s="39"/>
      <c r="R5844" s="35"/>
      <c r="S5844" s="36"/>
      <c r="T5844" s="36"/>
      <c r="U5844" s="36"/>
      <c r="V5844" s="37"/>
    </row>
    <row r="5845" spans="13:22" x14ac:dyDescent="0.2">
      <c r="M5845" s="26"/>
      <c r="N5845" s="15"/>
      <c r="O5845" s="15"/>
      <c r="P5845" s="15"/>
      <c r="Q5845" s="39"/>
      <c r="R5845" s="35"/>
      <c r="S5845" s="36"/>
      <c r="T5845" s="36"/>
      <c r="U5845" s="36"/>
      <c r="V5845" s="37"/>
    </row>
    <row r="5846" spans="13:22" x14ac:dyDescent="0.2">
      <c r="M5846" s="40"/>
      <c r="N5846" s="15"/>
      <c r="O5846" s="15"/>
      <c r="P5846" s="15"/>
      <c r="Q5846" s="39"/>
      <c r="R5846" s="35"/>
      <c r="S5846" s="36"/>
      <c r="T5846" s="36"/>
      <c r="U5846" s="36"/>
      <c r="V5846" s="37"/>
    </row>
    <row r="5847" spans="13:22" x14ac:dyDescent="0.2">
      <c r="M5847" s="40"/>
      <c r="N5847" s="15"/>
      <c r="O5847" s="15"/>
      <c r="P5847" s="15"/>
      <c r="Q5847" s="39"/>
      <c r="R5847" s="41"/>
      <c r="S5847" s="36"/>
      <c r="T5847" s="36"/>
      <c r="U5847" s="36"/>
      <c r="V5847" s="37"/>
    </row>
    <row r="5848" spans="13:22" x14ac:dyDescent="0.2">
      <c r="M5848" s="40"/>
      <c r="N5848" s="15"/>
      <c r="O5848" s="15"/>
      <c r="P5848" s="15"/>
      <c r="Q5848" s="39"/>
      <c r="R5848" s="41"/>
      <c r="S5848" s="36"/>
      <c r="T5848" s="36"/>
      <c r="U5848" s="36"/>
      <c r="V5848" s="37"/>
    </row>
    <row r="5849" spans="13:22" x14ac:dyDescent="0.2">
      <c r="M5849" s="40"/>
      <c r="N5849" s="15"/>
      <c r="O5849" s="15"/>
      <c r="P5849" s="15"/>
      <c r="Q5849" s="39"/>
      <c r="R5849" s="41"/>
      <c r="S5849" s="36"/>
      <c r="T5849" s="36"/>
      <c r="U5849" s="36"/>
      <c r="V5849" s="37"/>
    </row>
    <row r="5850" spans="13:22" x14ac:dyDescent="0.2">
      <c r="M5850" s="40"/>
      <c r="N5850" s="15"/>
      <c r="O5850" s="15"/>
      <c r="P5850" s="15"/>
      <c r="Q5850" s="39"/>
      <c r="R5850" s="41"/>
      <c r="S5850" s="36"/>
      <c r="T5850" s="36"/>
      <c r="U5850" s="36"/>
      <c r="V5850" s="37"/>
    </row>
    <row r="5851" spans="13:22" x14ac:dyDescent="0.2">
      <c r="M5851" s="40"/>
      <c r="N5851" s="15"/>
      <c r="O5851" s="15"/>
      <c r="P5851" s="15"/>
      <c r="Q5851" s="39"/>
      <c r="R5851" s="41"/>
      <c r="S5851" s="36"/>
      <c r="T5851" s="36"/>
      <c r="U5851" s="36"/>
      <c r="V5851" s="37"/>
    </row>
    <row r="5852" spans="13:22" x14ac:dyDescent="0.2">
      <c r="M5852" s="40"/>
      <c r="N5852" s="15"/>
      <c r="O5852" s="15"/>
      <c r="P5852" s="15"/>
      <c r="Q5852" s="39"/>
      <c r="R5852" s="41"/>
      <c r="S5852" s="36"/>
      <c r="T5852" s="36"/>
      <c r="U5852" s="36"/>
      <c r="V5852" s="37"/>
    </row>
    <row r="5853" spans="13:22" x14ac:dyDescent="0.2">
      <c r="M5853" s="40"/>
      <c r="N5853" s="15"/>
      <c r="O5853" s="15"/>
      <c r="P5853" s="15"/>
      <c r="Q5853" s="39"/>
      <c r="R5853" s="41"/>
      <c r="S5853" s="36"/>
      <c r="T5853" s="36"/>
      <c r="U5853" s="36"/>
      <c r="V5853" s="37"/>
    </row>
    <row r="5854" spans="13:22" x14ac:dyDescent="0.2">
      <c r="M5854" s="40"/>
      <c r="N5854" s="15"/>
      <c r="O5854" s="15"/>
      <c r="P5854" s="15"/>
      <c r="Q5854" s="39"/>
      <c r="R5854" s="41"/>
      <c r="S5854" s="36"/>
      <c r="T5854" s="36"/>
      <c r="U5854" s="36"/>
      <c r="V5854" s="37"/>
    </row>
    <row r="5855" spans="13:22" x14ac:dyDescent="0.2">
      <c r="M5855" s="40"/>
      <c r="N5855" s="15"/>
      <c r="O5855" s="15"/>
      <c r="P5855" s="15"/>
      <c r="Q5855" s="39"/>
      <c r="R5855" s="41"/>
      <c r="S5855" s="36"/>
      <c r="T5855" s="36"/>
      <c r="U5855" s="36"/>
      <c r="V5855" s="37"/>
    </row>
    <row r="5856" spans="13:22" ht="13.5" thickBot="1" x14ac:dyDescent="0.25">
      <c r="M5856" s="42"/>
      <c r="N5856" s="43"/>
      <c r="O5856" s="43"/>
      <c r="P5856" s="43"/>
      <c r="Q5856" s="44"/>
      <c r="R5856" s="41"/>
      <c r="S5856" s="46"/>
      <c r="T5856" s="46"/>
      <c r="U5856" s="46"/>
      <c r="V5856" s="47"/>
    </row>
    <row r="5857" spans="13:22" ht="13.5" thickBot="1" x14ac:dyDescent="0.25">
      <c r="M5857" s="48"/>
      <c r="N5857" s="49"/>
      <c r="O5857" s="49"/>
      <c r="P5857" s="49"/>
      <c r="Q5857" s="50"/>
      <c r="R5857" s="45"/>
      <c r="S5857" s="52"/>
      <c r="T5857" s="52"/>
      <c r="U5857" s="52"/>
      <c r="V5857" s="53"/>
    </row>
    <row r="5858" spans="13:22" x14ac:dyDescent="0.2">
      <c r="M5858" s="54"/>
      <c r="N5858" s="29"/>
      <c r="O5858" s="29"/>
      <c r="P5858" s="29"/>
      <c r="Q5858" s="34"/>
      <c r="R5858" s="51"/>
      <c r="S5858" s="36"/>
      <c r="T5858" s="36"/>
      <c r="U5858" s="36"/>
      <c r="V5858" s="37"/>
    </row>
    <row r="5859" spans="13:22" x14ac:dyDescent="0.2">
      <c r="M5859" s="33"/>
      <c r="N5859" s="29"/>
      <c r="O5859" s="29"/>
      <c r="P5859" s="29"/>
      <c r="Q5859" s="34"/>
      <c r="R5859" s="41"/>
      <c r="S5859" s="36"/>
      <c r="T5859" s="36"/>
      <c r="U5859" s="36"/>
      <c r="V5859" s="37"/>
    </row>
    <row r="5860" spans="13:22" x14ac:dyDescent="0.2">
      <c r="M5860" s="33"/>
      <c r="N5860" s="29"/>
      <c r="O5860" s="29"/>
      <c r="P5860" s="29"/>
      <c r="Q5860" s="34"/>
      <c r="R5860" s="35"/>
      <c r="S5860" s="36"/>
      <c r="T5860" s="36"/>
      <c r="U5860" s="36"/>
      <c r="V5860" s="37"/>
    </row>
    <row r="5861" spans="13:22" x14ac:dyDescent="0.2">
      <c r="M5861" s="33"/>
      <c r="N5861" s="29"/>
      <c r="O5861" s="29"/>
      <c r="P5861" s="29"/>
      <c r="Q5861" s="34"/>
      <c r="R5861" s="35"/>
      <c r="S5861" s="36"/>
      <c r="T5861" s="36"/>
      <c r="U5861" s="36"/>
      <c r="V5861" s="37"/>
    </row>
    <row r="5862" spans="13:22" x14ac:dyDescent="0.2">
      <c r="M5862" s="33"/>
      <c r="N5862" s="29"/>
      <c r="O5862" s="29"/>
      <c r="P5862" s="29"/>
      <c r="Q5862" s="34"/>
      <c r="R5862" s="35"/>
      <c r="S5862" s="36"/>
      <c r="T5862" s="36"/>
      <c r="U5862" s="36"/>
      <c r="V5862" s="37"/>
    </row>
    <row r="5863" spans="13:22" x14ac:dyDescent="0.2">
      <c r="M5863" s="33"/>
      <c r="N5863" s="29"/>
      <c r="O5863" s="29"/>
      <c r="P5863" s="29"/>
      <c r="Q5863" s="34"/>
      <c r="R5863" s="35"/>
      <c r="S5863" s="36"/>
      <c r="T5863" s="36"/>
      <c r="U5863" s="36"/>
      <c r="V5863" s="37"/>
    </row>
    <row r="5864" spans="13:22" x14ac:dyDescent="0.2">
      <c r="M5864" s="33"/>
      <c r="N5864" s="29"/>
      <c r="O5864" s="29"/>
      <c r="P5864" s="29"/>
      <c r="Q5864" s="38"/>
      <c r="R5864" s="35"/>
      <c r="S5864" s="36"/>
      <c r="T5864" s="36"/>
      <c r="U5864" s="36"/>
      <c r="V5864" s="37"/>
    </row>
    <row r="5865" spans="13:22" x14ac:dyDescent="0.2">
      <c r="M5865" s="33"/>
      <c r="N5865" s="29"/>
      <c r="O5865" s="29"/>
      <c r="P5865" s="29"/>
      <c r="Q5865" s="34"/>
      <c r="R5865" s="35"/>
      <c r="S5865" s="36"/>
      <c r="T5865" s="36"/>
      <c r="U5865" s="36"/>
      <c r="V5865" s="37"/>
    </row>
    <row r="5866" spans="13:22" x14ac:dyDescent="0.2">
      <c r="M5866" s="33"/>
      <c r="N5866" s="29"/>
      <c r="O5866" s="29"/>
      <c r="P5866" s="29"/>
      <c r="Q5866" s="34"/>
      <c r="R5866" s="35"/>
      <c r="S5866" s="36"/>
      <c r="T5866" s="36"/>
      <c r="U5866" s="36"/>
      <c r="V5866" s="37"/>
    </row>
    <row r="5867" spans="13:22" x14ac:dyDescent="0.2">
      <c r="M5867" s="33"/>
      <c r="N5867" s="29"/>
      <c r="O5867" s="29"/>
      <c r="P5867" s="29"/>
      <c r="Q5867" s="34"/>
      <c r="R5867" s="35"/>
      <c r="S5867" s="36"/>
      <c r="T5867" s="36"/>
      <c r="U5867" s="36"/>
      <c r="V5867" s="37"/>
    </row>
    <row r="5868" spans="13:22" x14ac:dyDescent="0.2">
      <c r="M5868" s="33"/>
      <c r="N5868" s="29"/>
      <c r="O5868" s="29"/>
      <c r="P5868" s="29"/>
      <c r="Q5868" s="34"/>
      <c r="R5868" s="35"/>
      <c r="S5868" s="36"/>
      <c r="T5868" s="36"/>
      <c r="U5868" s="36"/>
      <c r="V5868" s="37"/>
    </row>
    <row r="5869" spans="13:22" x14ac:dyDescent="0.2">
      <c r="M5869" s="26"/>
      <c r="N5869" s="15"/>
      <c r="O5869" s="15"/>
      <c r="P5869" s="15"/>
      <c r="Q5869" s="39"/>
      <c r="R5869" s="35"/>
      <c r="S5869" s="36"/>
      <c r="T5869" s="36"/>
      <c r="U5869" s="36"/>
      <c r="V5869" s="37"/>
    </row>
    <row r="5870" spans="13:22" x14ac:dyDescent="0.2">
      <c r="M5870" s="26"/>
      <c r="N5870" s="15"/>
      <c r="O5870" s="15"/>
      <c r="P5870" s="15"/>
      <c r="Q5870" s="39"/>
      <c r="R5870" s="35"/>
      <c r="S5870" s="36"/>
      <c r="T5870" s="36"/>
      <c r="U5870" s="36"/>
      <c r="V5870" s="37"/>
    </row>
    <row r="5871" spans="13:22" x14ac:dyDescent="0.2">
      <c r="M5871" s="40"/>
      <c r="N5871" s="15"/>
      <c r="O5871" s="15"/>
      <c r="P5871" s="15"/>
      <c r="Q5871" s="39"/>
      <c r="R5871" s="35"/>
      <c r="S5871" s="36"/>
      <c r="T5871" s="36"/>
      <c r="U5871" s="36"/>
      <c r="V5871" s="37"/>
    </row>
    <row r="5872" spans="13:22" x14ac:dyDescent="0.2">
      <c r="M5872" s="40"/>
      <c r="N5872" s="15"/>
      <c r="O5872" s="15"/>
      <c r="P5872" s="15"/>
      <c r="Q5872" s="39"/>
      <c r="R5872" s="41"/>
      <c r="S5872" s="36"/>
      <c r="T5872" s="36"/>
      <c r="U5872" s="36"/>
      <c r="V5872" s="37"/>
    </row>
    <row r="5873" spans="13:22" x14ac:dyDescent="0.2">
      <c r="M5873" s="40"/>
      <c r="N5873" s="15"/>
      <c r="O5873" s="15"/>
      <c r="P5873" s="15"/>
      <c r="Q5873" s="39"/>
      <c r="R5873" s="41"/>
      <c r="S5873" s="36"/>
      <c r="T5873" s="36"/>
      <c r="U5873" s="36"/>
      <c r="V5873" s="37"/>
    </row>
    <row r="5874" spans="13:22" x14ac:dyDescent="0.2">
      <c r="M5874" s="40"/>
      <c r="N5874" s="15"/>
      <c r="O5874" s="15"/>
      <c r="P5874" s="15"/>
      <c r="Q5874" s="39"/>
      <c r="R5874" s="41"/>
      <c r="S5874" s="36"/>
      <c r="T5874" s="36"/>
      <c r="U5874" s="36"/>
      <c r="V5874" s="37"/>
    </row>
    <row r="5875" spans="13:22" x14ac:dyDescent="0.2">
      <c r="M5875" s="40"/>
      <c r="N5875" s="15"/>
      <c r="O5875" s="15"/>
      <c r="P5875" s="15"/>
      <c r="Q5875" s="39"/>
      <c r="R5875" s="41"/>
      <c r="S5875" s="36"/>
      <c r="T5875" s="36"/>
      <c r="U5875" s="36"/>
      <c r="V5875" s="37"/>
    </row>
    <row r="5876" spans="13:22" x14ac:dyDescent="0.2">
      <c r="M5876" s="40"/>
      <c r="N5876" s="15"/>
      <c r="O5876" s="15"/>
      <c r="P5876" s="15"/>
      <c r="Q5876" s="39"/>
      <c r="R5876" s="41"/>
      <c r="S5876" s="36"/>
      <c r="T5876" s="36"/>
      <c r="U5876" s="36"/>
      <c r="V5876" s="37"/>
    </row>
    <row r="5877" spans="13:22" x14ac:dyDescent="0.2">
      <c r="M5877" s="40"/>
      <c r="N5877" s="15"/>
      <c r="O5877" s="15"/>
      <c r="P5877" s="15"/>
      <c r="Q5877" s="39"/>
      <c r="R5877" s="41"/>
      <c r="S5877" s="36"/>
      <c r="T5877" s="36"/>
      <c r="U5877" s="36"/>
      <c r="V5877" s="37"/>
    </row>
    <row r="5878" spans="13:22" x14ac:dyDescent="0.2">
      <c r="M5878" s="40"/>
      <c r="N5878" s="15"/>
      <c r="O5878" s="15"/>
      <c r="P5878" s="15"/>
      <c r="Q5878" s="39"/>
      <c r="R5878" s="41"/>
      <c r="S5878" s="36"/>
      <c r="T5878" s="36"/>
      <c r="U5878" s="36"/>
      <c r="V5878" s="37"/>
    </row>
    <row r="5879" spans="13:22" x14ac:dyDescent="0.2">
      <c r="M5879" s="40"/>
      <c r="N5879" s="15"/>
      <c r="O5879" s="15"/>
      <c r="P5879" s="15"/>
      <c r="Q5879" s="39"/>
      <c r="R5879" s="41"/>
      <c r="S5879" s="36"/>
      <c r="T5879" s="36"/>
      <c r="U5879" s="36"/>
      <c r="V5879" s="37"/>
    </row>
    <row r="5880" spans="13:22" x14ac:dyDescent="0.2">
      <c r="M5880" s="40"/>
      <c r="N5880" s="15"/>
      <c r="O5880" s="15"/>
      <c r="P5880" s="15"/>
      <c r="Q5880" s="39"/>
      <c r="R5880" s="41"/>
      <c r="S5880" s="36"/>
      <c r="T5880" s="36"/>
      <c r="U5880" s="36"/>
      <c r="V5880" s="37"/>
    </row>
    <row r="5881" spans="13:22" ht="13.5" thickBot="1" x14ac:dyDescent="0.25">
      <c r="M5881" s="42"/>
      <c r="N5881" s="43"/>
      <c r="O5881" s="43"/>
      <c r="P5881" s="43"/>
      <c r="Q5881" s="44"/>
      <c r="R5881" s="41"/>
      <c r="S5881" s="46"/>
      <c r="T5881" s="46"/>
      <c r="U5881" s="46"/>
      <c r="V5881" s="47"/>
    </row>
    <row r="5882" spans="13:22" ht="13.5" thickBot="1" x14ac:dyDescent="0.25">
      <c r="M5882" s="48"/>
      <c r="N5882" s="49"/>
      <c r="O5882" s="49"/>
      <c r="P5882" s="49"/>
      <c r="Q5882" s="50"/>
      <c r="R5882" s="45"/>
      <c r="S5882" s="52"/>
      <c r="T5882" s="52"/>
      <c r="U5882" s="52"/>
      <c r="V5882" s="53"/>
    </row>
    <row r="5883" spans="13:22" x14ac:dyDescent="0.2">
      <c r="M5883" s="54"/>
      <c r="N5883" s="29"/>
      <c r="O5883" s="29"/>
      <c r="P5883" s="29"/>
      <c r="Q5883" s="34"/>
      <c r="R5883" s="51"/>
      <c r="S5883" s="36"/>
      <c r="T5883" s="36"/>
      <c r="U5883" s="36"/>
      <c r="V5883" s="37"/>
    </row>
    <row r="5884" spans="13:22" x14ac:dyDescent="0.2">
      <c r="M5884" s="33"/>
      <c r="N5884" s="29"/>
      <c r="O5884" s="29"/>
      <c r="P5884" s="29"/>
      <c r="Q5884" s="34"/>
      <c r="R5884" s="41"/>
      <c r="S5884" s="36"/>
      <c r="T5884" s="36"/>
      <c r="U5884" s="36"/>
      <c r="V5884" s="37"/>
    </row>
    <row r="5885" spans="13:22" x14ac:dyDescent="0.2">
      <c r="M5885" s="33"/>
      <c r="N5885" s="29"/>
      <c r="O5885" s="29"/>
      <c r="P5885" s="29"/>
      <c r="Q5885" s="34"/>
      <c r="R5885" s="35"/>
      <c r="S5885" s="36"/>
      <c r="T5885" s="36"/>
      <c r="U5885" s="36"/>
      <c r="V5885" s="37"/>
    </row>
    <row r="5886" spans="13:22" x14ac:dyDescent="0.2">
      <c r="M5886" s="33"/>
      <c r="N5886" s="29"/>
      <c r="O5886" s="29"/>
      <c r="P5886" s="29"/>
      <c r="Q5886" s="34"/>
      <c r="R5886" s="35"/>
      <c r="S5886" s="36"/>
      <c r="T5886" s="36"/>
      <c r="U5886" s="36"/>
      <c r="V5886" s="37"/>
    </row>
    <row r="5887" spans="13:22" x14ac:dyDescent="0.2">
      <c r="M5887" s="33"/>
      <c r="N5887" s="29"/>
      <c r="O5887" s="29"/>
      <c r="P5887" s="29"/>
      <c r="Q5887" s="34"/>
      <c r="R5887" s="35"/>
      <c r="S5887" s="36"/>
      <c r="T5887" s="36"/>
      <c r="U5887" s="36"/>
      <c r="V5887" s="37"/>
    </row>
    <row r="5888" spans="13:22" x14ac:dyDescent="0.2">
      <c r="M5888" s="33"/>
      <c r="N5888" s="29"/>
      <c r="O5888" s="29"/>
      <c r="P5888" s="29"/>
      <c r="Q5888" s="34"/>
      <c r="R5888" s="35"/>
      <c r="S5888" s="36"/>
      <c r="T5888" s="36"/>
      <c r="U5888" s="36"/>
      <c r="V5888" s="37"/>
    </row>
    <row r="5889" spans="13:22" x14ac:dyDescent="0.2">
      <c r="M5889" s="33"/>
      <c r="N5889" s="29"/>
      <c r="O5889" s="29"/>
      <c r="P5889" s="29"/>
      <c r="Q5889" s="38"/>
      <c r="R5889" s="35"/>
      <c r="S5889" s="36"/>
      <c r="T5889" s="36"/>
      <c r="U5889" s="36"/>
      <c r="V5889" s="37"/>
    </row>
    <row r="5890" spans="13:22" x14ac:dyDescent="0.2">
      <c r="M5890" s="33"/>
      <c r="N5890" s="29"/>
      <c r="O5890" s="29"/>
      <c r="P5890" s="29"/>
      <c r="Q5890" s="34"/>
      <c r="R5890" s="35"/>
      <c r="S5890" s="36"/>
      <c r="T5890" s="36"/>
      <c r="U5890" s="36"/>
      <c r="V5890" s="37"/>
    </row>
    <row r="5891" spans="13:22" x14ac:dyDescent="0.2">
      <c r="M5891" s="33"/>
      <c r="N5891" s="29"/>
      <c r="O5891" s="29"/>
      <c r="P5891" s="29"/>
      <c r="Q5891" s="34"/>
      <c r="R5891" s="35"/>
      <c r="S5891" s="36"/>
      <c r="T5891" s="36"/>
      <c r="U5891" s="36"/>
      <c r="V5891" s="37"/>
    </row>
    <row r="5892" spans="13:22" x14ac:dyDescent="0.2">
      <c r="M5892" s="33"/>
      <c r="N5892" s="29"/>
      <c r="O5892" s="29"/>
      <c r="P5892" s="29"/>
      <c r="Q5892" s="34"/>
      <c r="R5892" s="35"/>
      <c r="S5892" s="36"/>
      <c r="T5892" s="36"/>
      <c r="U5892" s="36"/>
      <c r="V5892" s="37"/>
    </row>
    <row r="5893" spans="13:22" x14ac:dyDescent="0.2">
      <c r="M5893" s="33"/>
      <c r="N5893" s="29"/>
      <c r="O5893" s="29"/>
      <c r="P5893" s="29"/>
      <c r="Q5893" s="34"/>
      <c r="R5893" s="35"/>
      <c r="S5893" s="36"/>
      <c r="T5893" s="36"/>
      <c r="U5893" s="36"/>
      <c r="V5893" s="37"/>
    </row>
    <row r="5894" spans="13:22" x14ac:dyDescent="0.2">
      <c r="M5894" s="26"/>
      <c r="N5894" s="15"/>
      <c r="O5894" s="15"/>
      <c r="P5894" s="15"/>
      <c r="Q5894" s="39"/>
      <c r="R5894" s="35"/>
      <c r="S5894" s="36"/>
      <c r="T5894" s="36"/>
      <c r="U5894" s="36"/>
      <c r="V5894" s="37"/>
    </row>
    <row r="5895" spans="13:22" x14ac:dyDescent="0.2">
      <c r="M5895" s="26"/>
      <c r="N5895" s="15"/>
      <c r="O5895" s="15"/>
      <c r="P5895" s="15"/>
      <c r="Q5895" s="39"/>
      <c r="R5895" s="35"/>
      <c r="S5895" s="36"/>
      <c r="T5895" s="36"/>
      <c r="U5895" s="36"/>
      <c r="V5895" s="37"/>
    </row>
    <row r="5896" spans="13:22" x14ac:dyDescent="0.2">
      <c r="M5896" s="40"/>
      <c r="N5896" s="15"/>
      <c r="O5896" s="15"/>
      <c r="P5896" s="15"/>
      <c r="Q5896" s="39"/>
      <c r="R5896" s="35"/>
      <c r="S5896" s="36"/>
      <c r="T5896" s="36"/>
      <c r="U5896" s="36"/>
      <c r="V5896" s="37"/>
    </row>
    <row r="5897" spans="13:22" x14ac:dyDescent="0.2">
      <c r="M5897" s="40"/>
      <c r="N5897" s="15"/>
      <c r="O5897" s="15"/>
      <c r="P5897" s="15"/>
      <c r="Q5897" s="39"/>
      <c r="R5897" s="41"/>
      <c r="S5897" s="36"/>
      <c r="T5897" s="36"/>
      <c r="U5897" s="36"/>
      <c r="V5897" s="37"/>
    </row>
    <row r="5898" spans="13:22" x14ac:dyDescent="0.2">
      <c r="M5898" s="40"/>
      <c r="N5898" s="15"/>
      <c r="O5898" s="15"/>
      <c r="P5898" s="15"/>
      <c r="Q5898" s="39"/>
      <c r="R5898" s="41"/>
      <c r="S5898" s="36"/>
      <c r="T5898" s="36"/>
      <c r="U5898" s="36"/>
      <c r="V5898" s="37"/>
    </row>
    <row r="5899" spans="13:22" x14ac:dyDescent="0.2">
      <c r="M5899" s="40"/>
      <c r="N5899" s="15"/>
      <c r="O5899" s="15"/>
      <c r="P5899" s="15"/>
      <c r="Q5899" s="39"/>
      <c r="R5899" s="41"/>
      <c r="S5899" s="36"/>
      <c r="T5899" s="36"/>
      <c r="U5899" s="36"/>
      <c r="V5899" s="37"/>
    </row>
    <row r="5900" spans="13:22" x14ac:dyDescent="0.2">
      <c r="M5900" s="40"/>
      <c r="N5900" s="15"/>
      <c r="O5900" s="15"/>
      <c r="P5900" s="15"/>
      <c r="Q5900" s="39"/>
      <c r="R5900" s="41"/>
      <c r="S5900" s="36"/>
      <c r="T5900" s="36"/>
      <c r="U5900" s="36"/>
      <c r="V5900" s="37"/>
    </row>
    <row r="5901" spans="13:22" x14ac:dyDescent="0.2">
      <c r="M5901" s="40"/>
      <c r="N5901" s="15"/>
      <c r="O5901" s="15"/>
      <c r="P5901" s="15"/>
      <c r="Q5901" s="39"/>
      <c r="R5901" s="41"/>
      <c r="S5901" s="36"/>
      <c r="T5901" s="36"/>
      <c r="U5901" s="36"/>
      <c r="V5901" s="37"/>
    </row>
    <row r="5902" spans="13:22" x14ac:dyDescent="0.2">
      <c r="M5902" s="40"/>
      <c r="N5902" s="15"/>
      <c r="O5902" s="15"/>
      <c r="P5902" s="15"/>
      <c r="Q5902" s="39"/>
      <c r="R5902" s="41"/>
      <c r="S5902" s="36"/>
      <c r="T5902" s="36"/>
      <c r="U5902" s="36"/>
      <c r="V5902" s="37"/>
    </row>
    <row r="5903" spans="13:22" x14ac:dyDescent="0.2">
      <c r="M5903" s="40"/>
      <c r="N5903" s="15"/>
      <c r="O5903" s="15"/>
      <c r="P5903" s="15"/>
      <c r="Q5903" s="39"/>
      <c r="R5903" s="41"/>
      <c r="S5903" s="36"/>
      <c r="T5903" s="36"/>
      <c r="U5903" s="36"/>
      <c r="V5903" s="37"/>
    </row>
    <row r="5904" spans="13:22" x14ac:dyDescent="0.2">
      <c r="M5904" s="40"/>
      <c r="N5904" s="15"/>
      <c r="O5904" s="15"/>
      <c r="P5904" s="15"/>
      <c r="Q5904" s="39"/>
      <c r="R5904" s="41"/>
      <c r="S5904" s="36"/>
      <c r="T5904" s="36"/>
      <c r="U5904" s="36"/>
      <c r="V5904" s="37"/>
    </row>
    <row r="5905" spans="13:22" x14ac:dyDescent="0.2">
      <c r="M5905" s="40"/>
      <c r="N5905" s="15"/>
      <c r="O5905" s="15"/>
      <c r="P5905" s="15"/>
      <c r="Q5905" s="39"/>
      <c r="R5905" s="41"/>
      <c r="S5905" s="36"/>
      <c r="T5905" s="36"/>
      <c r="U5905" s="36"/>
      <c r="V5905" s="37"/>
    </row>
    <row r="5906" spans="13:22" ht="13.5" thickBot="1" x14ac:dyDescent="0.25">
      <c r="M5906" s="42"/>
      <c r="N5906" s="43"/>
      <c r="O5906" s="43"/>
      <c r="P5906" s="43"/>
      <c r="Q5906" s="44"/>
      <c r="R5906" s="41"/>
      <c r="S5906" s="46"/>
      <c r="T5906" s="46"/>
      <c r="U5906" s="46"/>
      <c r="V5906" s="47"/>
    </row>
    <row r="5907" spans="13:22" ht="13.5" thickBot="1" x14ac:dyDescent="0.25">
      <c r="M5907" s="48"/>
      <c r="N5907" s="49"/>
      <c r="O5907" s="49"/>
      <c r="P5907" s="49"/>
      <c r="Q5907" s="50"/>
      <c r="R5907" s="45"/>
      <c r="S5907" s="52"/>
      <c r="T5907" s="52"/>
      <c r="U5907" s="52"/>
      <c r="V5907" s="53"/>
    </row>
    <row r="5908" spans="13:22" x14ac:dyDescent="0.2">
      <c r="M5908" s="54"/>
      <c r="N5908" s="29"/>
      <c r="O5908" s="29"/>
      <c r="P5908" s="29"/>
      <c r="Q5908" s="34"/>
      <c r="R5908" s="51"/>
      <c r="S5908" s="36"/>
      <c r="T5908" s="36"/>
      <c r="U5908" s="36"/>
      <c r="V5908" s="37"/>
    </row>
    <row r="5909" spans="13:22" x14ac:dyDescent="0.2">
      <c r="M5909" s="33"/>
      <c r="N5909" s="29"/>
      <c r="O5909" s="29"/>
      <c r="P5909" s="29"/>
      <c r="Q5909" s="34"/>
      <c r="R5909" s="41"/>
      <c r="S5909" s="36"/>
      <c r="T5909" s="36"/>
      <c r="U5909" s="36"/>
      <c r="V5909" s="37"/>
    </row>
    <row r="5910" spans="13:22" x14ac:dyDescent="0.2">
      <c r="M5910" s="33"/>
      <c r="N5910" s="29"/>
      <c r="O5910" s="29"/>
      <c r="P5910" s="29"/>
      <c r="Q5910" s="34"/>
      <c r="R5910" s="35"/>
      <c r="S5910" s="36"/>
      <c r="T5910" s="36"/>
      <c r="U5910" s="36"/>
      <c r="V5910" s="37"/>
    </row>
    <row r="5911" spans="13:22" x14ac:dyDescent="0.2">
      <c r="M5911" s="33"/>
      <c r="N5911" s="29"/>
      <c r="O5911" s="29"/>
      <c r="P5911" s="29"/>
      <c r="Q5911" s="34"/>
      <c r="R5911" s="35"/>
      <c r="S5911" s="36"/>
      <c r="T5911" s="36"/>
      <c r="U5911" s="36"/>
      <c r="V5911" s="37"/>
    </row>
    <row r="5912" spans="13:22" x14ac:dyDescent="0.2">
      <c r="M5912" s="33"/>
      <c r="N5912" s="29"/>
      <c r="O5912" s="29"/>
      <c r="P5912" s="29"/>
      <c r="Q5912" s="34"/>
      <c r="R5912" s="35"/>
      <c r="S5912" s="36"/>
      <c r="T5912" s="36"/>
      <c r="U5912" s="36"/>
      <c r="V5912" s="37"/>
    </row>
    <row r="5913" spans="13:22" x14ac:dyDescent="0.2">
      <c r="M5913" s="33"/>
      <c r="N5913" s="29"/>
      <c r="O5913" s="29"/>
      <c r="P5913" s="29"/>
      <c r="Q5913" s="34"/>
      <c r="R5913" s="35"/>
      <c r="S5913" s="36"/>
      <c r="T5913" s="36"/>
      <c r="U5913" s="36"/>
      <c r="V5913" s="37"/>
    </row>
    <row r="5914" spans="13:22" x14ac:dyDescent="0.2">
      <c r="M5914" s="33"/>
      <c r="N5914" s="29"/>
      <c r="O5914" s="29"/>
      <c r="P5914" s="29"/>
      <c r="Q5914" s="38"/>
      <c r="R5914" s="35"/>
      <c r="S5914" s="36"/>
      <c r="T5914" s="36"/>
      <c r="U5914" s="36"/>
      <c r="V5914" s="37"/>
    </row>
    <row r="5915" spans="13:22" x14ac:dyDescent="0.2">
      <c r="M5915" s="33"/>
      <c r="N5915" s="29"/>
      <c r="O5915" s="29"/>
      <c r="P5915" s="29"/>
      <c r="Q5915" s="34"/>
      <c r="R5915" s="35"/>
      <c r="S5915" s="36"/>
      <c r="T5915" s="36"/>
      <c r="U5915" s="36"/>
      <c r="V5915" s="37"/>
    </row>
    <row r="5916" spans="13:22" x14ac:dyDescent="0.2">
      <c r="M5916" s="33"/>
      <c r="N5916" s="29"/>
      <c r="O5916" s="29"/>
      <c r="P5916" s="29"/>
      <c r="Q5916" s="34"/>
      <c r="R5916" s="35"/>
      <c r="S5916" s="36"/>
      <c r="T5916" s="36"/>
      <c r="U5916" s="36"/>
      <c r="V5916" s="37"/>
    </row>
    <row r="5917" spans="13:22" x14ac:dyDescent="0.2">
      <c r="M5917" s="33"/>
      <c r="N5917" s="29"/>
      <c r="O5917" s="29"/>
      <c r="P5917" s="29"/>
      <c r="Q5917" s="34"/>
      <c r="R5917" s="35"/>
      <c r="S5917" s="36"/>
      <c r="T5917" s="36"/>
      <c r="U5917" s="36"/>
      <c r="V5917" s="37"/>
    </row>
    <row r="5918" spans="13:22" x14ac:dyDescent="0.2">
      <c r="M5918" s="33"/>
      <c r="N5918" s="29"/>
      <c r="O5918" s="29"/>
      <c r="P5918" s="29"/>
      <c r="Q5918" s="34"/>
      <c r="R5918" s="35"/>
      <c r="S5918" s="36"/>
      <c r="T5918" s="36"/>
      <c r="U5918" s="36"/>
      <c r="V5918" s="37"/>
    </row>
    <row r="5919" spans="13:22" x14ac:dyDescent="0.2">
      <c r="M5919" s="26"/>
      <c r="N5919" s="15"/>
      <c r="O5919" s="15"/>
      <c r="P5919" s="15"/>
      <c r="Q5919" s="39"/>
      <c r="R5919" s="35"/>
      <c r="S5919" s="36"/>
      <c r="T5919" s="36"/>
      <c r="U5919" s="36"/>
      <c r="V5919" s="37"/>
    </row>
    <row r="5920" spans="13:22" x14ac:dyDescent="0.2">
      <c r="M5920" s="26"/>
      <c r="N5920" s="15"/>
      <c r="O5920" s="15"/>
      <c r="P5920" s="15"/>
      <c r="Q5920" s="39"/>
      <c r="R5920" s="35"/>
      <c r="S5920" s="36"/>
      <c r="T5920" s="36"/>
      <c r="U5920" s="36"/>
      <c r="V5920" s="37"/>
    </row>
    <row r="5921" spans="13:22" x14ac:dyDescent="0.2">
      <c r="M5921" s="40"/>
      <c r="N5921" s="15"/>
      <c r="O5921" s="15"/>
      <c r="P5921" s="15"/>
      <c r="Q5921" s="39"/>
      <c r="R5921" s="35"/>
      <c r="S5921" s="36"/>
      <c r="T5921" s="36"/>
      <c r="U5921" s="36"/>
      <c r="V5921" s="37"/>
    </row>
    <row r="5922" spans="13:22" x14ac:dyDescent="0.2">
      <c r="M5922" s="40"/>
      <c r="N5922" s="15"/>
      <c r="O5922" s="15"/>
      <c r="P5922" s="15"/>
      <c r="Q5922" s="39"/>
      <c r="R5922" s="41"/>
      <c r="S5922" s="36"/>
      <c r="T5922" s="36"/>
      <c r="U5922" s="36"/>
      <c r="V5922" s="37"/>
    </row>
    <row r="5923" spans="13:22" x14ac:dyDescent="0.2">
      <c r="M5923" s="40"/>
      <c r="N5923" s="15"/>
      <c r="O5923" s="15"/>
      <c r="P5923" s="15"/>
      <c r="Q5923" s="39"/>
      <c r="R5923" s="41"/>
      <c r="S5923" s="36"/>
      <c r="T5923" s="36"/>
      <c r="U5923" s="36"/>
      <c r="V5923" s="37"/>
    </row>
    <row r="5924" spans="13:22" x14ac:dyDescent="0.2">
      <c r="M5924" s="40"/>
      <c r="N5924" s="15"/>
      <c r="O5924" s="15"/>
      <c r="P5924" s="15"/>
      <c r="Q5924" s="39"/>
      <c r="R5924" s="41"/>
      <c r="S5924" s="36"/>
      <c r="T5924" s="36"/>
      <c r="U5924" s="36"/>
      <c r="V5924" s="37"/>
    </row>
    <row r="5925" spans="13:22" x14ac:dyDescent="0.2">
      <c r="M5925" s="40"/>
      <c r="N5925" s="15"/>
      <c r="O5925" s="15"/>
      <c r="P5925" s="15"/>
      <c r="Q5925" s="39"/>
      <c r="R5925" s="41"/>
      <c r="S5925" s="36"/>
      <c r="T5925" s="36"/>
      <c r="U5925" s="36"/>
      <c r="V5925" s="37"/>
    </row>
    <row r="5926" spans="13:22" x14ac:dyDescent="0.2">
      <c r="M5926" s="40"/>
      <c r="N5926" s="15"/>
      <c r="O5926" s="15"/>
      <c r="P5926" s="15"/>
      <c r="Q5926" s="39"/>
      <c r="R5926" s="41"/>
      <c r="S5926" s="36"/>
      <c r="T5926" s="36"/>
      <c r="U5926" s="36"/>
      <c r="V5926" s="37"/>
    </row>
    <row r="5927" spans="13:22" x14ac:dyDescent="0.2">
      <c r="M5927" s="40"/>
      <c r="N5927" s="15"/>
      <c r="O5927" s="15"/>
      <c r="P5927" s="15"/>
      <c r="Q5927" s="39"/>
      <c r="R5927" s="41"/>
      <c r="S5927" s="36"/>
      <c r="T5927" s="36"/>
      <c r="U5927" s="36"/>
      <c r="V5927" s="37"/>
    </row>
    <row r="5928" spans="13:22" x14ac:dyDescent="0.2">
      <c r="M5928" s="40"/>
      <c r="N5928" s="15"/>
      <c r="O5928" s="15"/>
      <c r="P5928" s="15"/>
      <c r="Q5928" s="39"/>
      <c r="R5928" s="41"/>
      <c r="S5928" s="36"/>
      <c r="T5928" s="36"/>
      <c r="U5928" s="36"/>
      <c r="V5928" s="37"/>
    </row>
    <row r="5929" spans="13:22" x14ac:dyDescent="0.2">
      <c r="M5929" s="40"/>
      <c r="N5929" s="15"/>
      <c r="O5929" s="15"/>
      <c r="P5929" s="15"/>
      <c r="Q5929" s="39"/>
      <c r="R5929" s="41"/>
      <c r="S5929" s="36"/>
      <c r="T5929" s="36"/>
      <c r="U5929" s="36"/>
      <c r="V5929" s="37"/>
    </row>
    <row r="5930" spans="13:22" x14ac:dyDescent="0.2">
      <c r="M5930" s="40"/>
      <c r="N5930" s="15"/>
      <c r="O5930" s="15"/>
      <c r="P5930" s="15"/>
      <c r="Q5930" s="39"/>
      <c r="R5930" s="41"/>
      <c r="S5930" s="36"/>
      <c r="T5930" s="36"/>
      <c r="U5930" s="36"/>
      <c r="V5930" s="37"/>
    </row>
    <row r="5931" spans="13:22" ht="13.5" thickBot="1" x14ac:dyDescent="0.25">
      <c r="M5931" s="42"/>
      <c r="N5931" s="43"/>
      <c r="O5931" s="43"/>
      <c r="P5931" s="43"/>
      <c r="Q5931" s="44"/>
      <c r="R5931" s="41"/>
      <c r="S5931" s="46"/>
      <c r="T5931" s="46"/>
      <c r="U5931" s="46"/>
      <c r="V5931" s="47"/>
    </row>
    <row r="5932" spans="13:22" ht="13.5" thickBot="1" x14ac:dyDescent="0.25">
      <c r="M5932" s="48"/>
      <c r="N5932" s="49"/>
      <c r="O5932" s="49"/>
      <c r="P5932" s="49"/>
      <c r="Q5932" s="50"/>
      <c r="R5932" s="45"/>
      <c r="S5932" s="52"/>
      <c r="T5932" s="52"/>
      <c r="U5932" s="52"/>
      <c r="V5932" s="53"/>
    </row>
    <row r="5933" spans="13:22" x14ac:dyDescent="0.2">
      <c r="M5933" s="54"/>
      <c r="N5933" s="29"/>
      <c r="O5933" s="29"/>
      <c r="P5933" s="29"/>
      <c r="Q5933" s="34"/>
      <c r="R5933" s="51"/>
      <c r="S5933" s="36"/>
      <c r="T5933" s="36"/>
      <c r="U5933" s="36"/>
      <c r="V5933" s="37"/>
    </row>
    <row r="5934" spans="13:22" x14ac:dyDescent="0.2">
      <c r="M5934" s="33"/>
      <c r="N5934" s="29"/>
      <c r="O5934" s="29"/>
      <c r="P5934" s="29"/>
      <c r="Q5934" s="34"/>
      <c r="R5934" s="41"/>
      <c r="S5934" s="36"/>
      <c r="T5934" s="36"/>
      <c r="U5934" s="36"/>
      <c r="V5934" s="37"/>
    </row>
    <row r="5935" spans="13:22" x14ac:dyDescent="0.2">
      <c r="M5935" s="33"/>
      <c r="N5935" s="29"/>
      <c r="O5935" s="29"/>
      <c r="P5935" s="29"/>
      <c r="Q5935" s="34"/>
      <c r="R5935" s="35"/>
      <c r="S5935" s="36"/>
      <c r="T5935" s="36"/>
      <c r="U5935" s="36"/>
      <c r="V5935" s="37"/>
    </row>
    <row r="5936" spans="13:22" x14ac:dyDescent="0.2">
      <c r="M5936" s="33"/>
      <c r="N5936" s="29"/>
      <c r="O5936" s="29"/>
      <c r="P5936" s="29"/>
      <c r="Q5936" s="34"/>
      <c r="R5936" s="35"/>
      <c r="S5936" s="36"/>
      <c r="T5936" s="36"/>
      <c r="U5936" s="36"/>
      <c r="V5936" s="37"/>
    </row>
    <row r="5937" spans="13:22" x14ac:dyDescent="0.2">
      <c r="M5937" s="33"/>
      <c r="N5937" s="29"/>
      <c r="O5937" s="29"/>
      <c r="P5937" s="29"/>
      <c r="Q5937" s="34"/>
      <c r="R5937" s="35"/>
      <c r="S5937" s="36"/>
      <c r="T5937" s="36"/>
      <c r="U5937" s="36"/>
      <c r="V5937" s="37"/>
    </row>
    <row r="5938" spans="13:22" x14ac:dyDescent="0.2">
      <c r="M5938" s="33"/>
      <c r="N5938" s="29"/>
      <c r="O5938" s="29"/>
      <c r="P5938" s="29"/>
      <c r="Q5938" s="34"/>
      <c r="R5938" s="35"/>
      <c r="S5938" s="36"/>
      <c r="T5938" s="36"/>
      <c r="U5938" s="36"/>
      <c r="V5938" s="37"/>
    </row>
    <row r="5939" spans="13:22" x14ac:dyDescent="0.2">
      <c r="M5939" s="33"/>
      <c r="N5939" s="29"/>
      <c r="O5939" s="29"/>
      <c r="P5939" s="29"/>
      <c r="Q5939" s="38"/>
      <c r="R5939" s="35"/>
      <c r="S5939" s="36"/>
      <c r="T5939" s="36"/>
      <c r="U5939" s="36"/>
      <c r="V5939" s="37"/>
    </row>
    <row r="5940" spans="13:22" x14ac:dyDescent="0.2">
      <c r="M5940" s="33"/>
      <c r="N5940" s="29"/>
      <c r="O5940" s="29"/>
      <c r="P5940" s="29"/>
      <c r="Q5940" s="34"/>
      <c r="R5940" s="35"/>
      <c r="S5940" s="36"/>
      <c r="T5940" s="36"/>
      <c r="U5940" s="36"/>
      <c r="V5940" s="37"/>
    </row>
    <row r="5941" spans="13:22" x14ac:dyDescent="0.2">
      <c r="M5941" s="33"/>
      <c r="N5941" s="29"/>
      <c r="O5941" s="29"/>
      <c r="P5941" s="29"/>
      <c r="Q5941" s="34"/>
      <c r="R5941" s="35"/>
      <c r="S5941" s="36"/>
      <c r="T5941" s="36"/>
      <c r="U5941" s="36"/>
      <c r="V5941" s="37"/>
    </row>
    <row r="5942" spans="13:22" x14ac:dyDescent="0.2">
      <c r="M5942" s="33"/>
      <c r="N5942" s="29"/>
      <c r="O5942" s="29"/>
      <c r="P5942" s="29"/>
      <c r="Q5942" s="34"/>
      <c r="R5942" s="35"/>
      <c r="S5942" s="36"/>
      <c r="T5942" s="36"/>
      <c r="U5942" s="36"/>
      <c r="V5942" s="37"/>
    </row>
    <row r="5943" spans="13:22" x14ac:dyDescent="0.2">
      <c r="M5943" s="33"/>
      <c r="N5943" s="29"/>
      <c r="O5943" s="29"/>
      <c r="P5943" s="29"/>
      <c r="Q5943" s="34"/>
      <c r="R5943" s="35"/>
      <c r="S5943" s="36"/>
      <c r="T5943" s="36"/>
      <c r="U5943" s="36"/>
      <c r="V5943" s="37"/>
    </row>
    <row r="5944" spans="13:22" x14ac:dyDescent="0.2">
      <c r="M5944" s="26"/>
      <c r="N5944" s="15"/>
      <c r="O5944" s="15"/>
      <c r="P5944" s="15"/>
      <c r="Q5944" s="39"/>
      <c r="R5944" s="35"/>
      <c r="S5944" s="36"/>
      <c r="T5944" s="36"/>
      <c r="U5944" s="36"/>
      <c r="V5944" s="37"/>
    </row>
    <row r="5945" spans="13:22" x14ac:dyDescent="0.2">
      <c r="M5945" s="26"/>
      <c r="N5945" s="15"/>
      <c r="O5945" s="15"/>
      <c r="P5945" s="15"/>
      <c r="Q5945" s="39"/>
      <c r="R5945" s="35"/>
      <c r="S5945" s="36"/>
      <c r="T5945" s="36"/>
      <c r="U5945" s="36"/>
      <c r="V5945" s="37"/>
    </row>
    <row r="5946" spans="13:22" x14ac:dyDescent="0.2">
      <c r="M5946" s="40"/>
      <c r="N5946" s="15"/>
      <c r="O5946" s="15"/>
      <c r="P5946" s="15"/>
      <c r="Q5946" s="39"/>
      <c r="R5946" s="35"/>
      <c r="S5946" s="36"/>
      <c r="T5946" s="36"/>
      <c r="U5946" s="36"/>
      <c r="V5946" s="37"/>
    </row>
    <row r="5947" spans="13:22" x14ac:dyDescent="0.2">
      <c r="M5947" s="40"/>
      <c r="N5947" s="15"/>
      <c r="O5947" s="15"/>
      <c r="P5947" s="15"/>
      <c r="Q5947" s="39"/>
      <c r="R5947" s="41"/>
      <c r="S5947" s="36"/>
      <c r="T5947" s="36"/>
      <c r="U5947" s="36"/>
      <c r="V5947" s="37"/>
    </row>
    <row r="5948" spans="13:22" x14ac:dyDescent="0.2">
      <c r="M5948" s="40"/>
      <c r="N5948" s="15"/>
      <c r="O5948" s="15"/>
      <c r="P5948" s="15"/>
      <c r="Q5948" s="39"/>
      <c r="R5948" s="41"/>
      <c r="S5948" s="36"/>
      <c r="T5948" s="36"/>
      <c r="U5948" s="36"/>
      <c r="V5948" s="37"/>
    </row>
    <row r="5949" spans="13:22" x14ac:dyDescent="0.2">
      <c r="M5949" s="40"/>
      <c r="N5949" s="15"/>
      <c r="O5949" s="15"/>
      <c r="P5949" s="15"/>
      <c r="Q5949" s="39"/>
      <c r="R5949" s="41"/>
      <c r="S5949" s="36"/>
      <c r="T5949" s="36"/>
      <c r="U5949" s="36"/>
      <c r="V5949" s="37"/>
    </row>
    <row r="5950" spans="13:22" x14ac:dyDescent="0.2">
      <c r="M5950" s="40"/>
      <c r="N5950" s="15"/>
      <c r="O5950" s="15"/>
      <c r="P5950" s="15"/>
      <c r="Q5950" s="39"/>
      <c r="R5950" s="41"/>
      <c r="S5950" s="36"/>
      <c r="T5950" s="36"/>
      <c r="U5950" s="36"/>
      <c r="V5950" s="37"/>
    </row>
    <row r="5951" spans="13:22" x14ac:dyDescent="0.2">
      <c r="M5951" s="40"/>
      <c r="N5951" s="15"/>
      <c r="O5951" s="15"/>
      <c r="P5951" s="15"/>
      <c r="Q5951" s="39"/>
      <c r="R5951" s="41"/>
      <c r="S5951" s="36"/>
      <c r="T5951" s="36"/>
      <c r="U5951" s="36"/>
      <c r="V5951" s="37"/>
    </row>
    <row r="5952" spans="13:22" x14ac:dyDescent="0.2">
      <c r="M5952" s="40"/>
      <c r="N5952" s="15"/>
      <c r="O5952" s="15"/>
      <c r="P5952" s="15"/>
      <c r="Q5952" s="39"/>
      <c r="R5952" s="41"/>
      <c r="S5952" s="36"/>
      <c r="T5952" s="36"/>
      <c r="U5952" s="36"/>
      <c r="V5952" s="37"/>
    </row>
    <row r="5953" spans="13:22" x14ac:dyDescent="0.2">
      <c r="M5953" s="40"/>
      <c r="N5953" s="15"/>
      <c r="O5953" s="15"/>
      <c r="P5953" s="15"/>
      <c r="Q5953" s="39"/>
      <c r="R5953" s="41"/>
      <c r="S5953" s="36"/>
      <c r="T5953" s="36"/>
      <c r="U5953" s="36"/>
      <c r="V5953" s="37"/>
    </row>
    <row r="5954" spans="13:22" x14ac:dyDescent="0.2">
      <c r="M5954" s="40"/>
      <c r="N5954" s="15"/>
      <c r="O5954" s="15"/>
      <c r="P5954" s="15"/>
      <c r="Q5954" s="39"/>
      <c r="R5954" s="41"/>
      <c r="S5954" s="36"/>
      <c r="T5954" s="36"/>
      <c r="U5954" s="36"/>
      <c r="V5954" s="37"/>
    </row>
    <row r="5955" spans="13:22" x14ac:dyDescent="0.2">
      <c r="M5955" s="40"/>
      <c r="N5955" s="15"/>
      <c r="O5955" s="15"/>
      <c r="P5955" s="15"/>
      <c r="Q5955" s="39"/>
      <c r="R5955" s="41"/>
      <c r="S5955" s="36"/>
      <c r="T5955" s="36"/>
      <c r="U5955" s="36"/>
      <c r="V5955" s="37"/>
    </row>
    <row r="5956" spans="13:22" ht="13.5" thickBot="1" x14ac:dyDescent="0.25">
      <c r="M5956" s="42"/>
      <c r="N5956" s="43"/>
      <c r="O5956" s="43"/>
      <c r="P5956" s="43"/>
      <c r="Q5956" s="44"/>
      <c r="R5956" s="41"/>
      <c r="S5956" s="46"/>
      <c r="T5956" s="46"/>
      <c r="U5956" s="46"/>
      <c r="V5956" s="47"/>
    </row>
    <row r="5957" spans="13:22" ht="13.5" thickBot="1" x14ac:dyDescent="0.25">
      <c r="M5957" s="48"/>
      <c r="N5957" s="49"/>
      <c r="O5957" s="49"/>
      <c r="P5957" s="49"/>
      <c r="Q5957" s="50"/>
      <c r="R5957" s="45"/>
      <c r="S5957" s="52"/>
      <c r="T5957" s="52"/>
      <c r="U5957" s="52"/>
      <c r="V5957" s="53"/>
    </row>
    <row r="5958" spans="13:22" x14ac:dyDescent="0.2">
      <c r="M5958" s="54"/>
      <c r="N5958" s="29"/>
      <c r="O5958" s="29"/>
      <c r="P5958" s="29"/>
      <c r="Q5958" s="34"/>
      <c r="R5958" s="51"/>
      <c r="S5958" s="36"/>
      <c r="T5958" s="36"/>
      <c r="U5958" s="36"/>
      <c r="V5958" s="37"/>
    </row>
    <row r="5959" spans="13:22" x14ac:dyDescent="0.2">
      <c r="M5959" s="33"/>
      <c r="N5959" s="29"/>
      <c r="O5959" s="29"/>
      <c r="P5959" s="29"/>
      <c r="Q5959" s="34"/>
      <c r="R5959" s="41"/>
      <c r="S5959" s="36"/>
      <c r="T5959" s="36"/>
      <c r="U5959" s="36"/>
      <c r="V5959" s="37"/>
    </row>
    <row r="5960" spans="13:22" x14ac:dyDescent="0.2">
      <c r="M5960" s="33"/>
      <c r="N5960" s="29"/>
      <c r="O5960" s="29"/>
      <c r="P5960" s="29"/>
      <c r="Q5960" s="34"/>
      <c r="R5960" s="35"/>
      <c r="S5960" s="36"/>
      <c r="T5960" s="36"/>
      <c r="U5960" s="36"/>
      <c r="V5960" s="37"/>
    </row>
    <row r="5961" spans="13:22" x14ac:dyDescent="0.2">
      <c r="M5961" s="33"/>
      <c r="N5961" s="29"/>
      <c r="O5961" s="29"/>
      <c r="P5961" s="29"/>
      <c r="Q5961" s="34"/>
      <c r="R5961" s="35"/>
      <c r="S5961" s="36"/>
      <c r="T5961" s="36"/>
      <c r="U5961" s="36"/>
      <c r="V5961" s="37"/>
    </row>
    <row r="5962" spans="13:22" x14ac:dyDescent="0.2">
      <c r="M5962" s="33"/>
      <c r="N5962" s="29"/>
      <c r="O5962" s="29"/>
      <c r="P5962" s="29"/>
      <c r="Q5962" s="34"/>
      <c r="R5962" s="35"/>
      <c r="S5962" s="36"/>
      <c r="T5962" s="36"/>
      <c r="U5962" s="36"/>
      <c r="V5962" s="37"/>
    </row>
    <row r="5963" spans="13:22" x14ac:dyDescent="0.2">
      <c r="M5963" s="33"/>
      <c r="N5963" s="29"/>
      <c r="O5963" s="29"/>
      <c r="P5963" s="29"/>
      <c r="Q5963" s="34"/>
      <c r="R5963" s="35"/>
      <c r="S5963" s="36"/>
      <c r="T5963" s="36"/>
      <c r="U5963" s="36"/>
      <c r="V5963" s="37"/>
    </row>
    <row r="5964" spans="13:22" x14ac:dyDescent="0.2">
      <c r="M5964" s="33"/>
      <c r="N5964" s="29"/>
      <c r="O5964" s="29"/>
      <c r="P5964" s="29"/>
      <c r="Q5964" s="38"/>
      <c r="R5964" s="35"/>
      <c r="S5964" s="36"/>
      <c r="T5964" s="36"/>
      <c r="U5964" s="36"/>
      <c r="V5964" s="37"/>
    </row>
    <row r="5965" spans="13:22" x14ac:dyDescent="0.2">
      <c r="M5965" s="33"/>
      <c r="N5965" s="29"/>
      <c r="O5965" s="29"/>
      <c r="P5965" s="29"/>
      <c r="Q5965" s="34"/>
      <c r="R5965" s="35"/>
      <c r="S5965" s="36"/>
      <c r="T5965" s="36"/>
      <c r="U5965" s="36"/>
      <c r="V5965" s="37"/>
    </row>
    <row r="5966" spans="13:22" x14ac:dyDescent="0.2">
      <c r="M5966" s="33"/>
      <c r="N5966" s="29"/>
      <c r="O5966" s="29"/>
      <c r="P5966" s="29"/>
      <c r="Q5966" s="34"/>
      <c r="R5966" s="35"/>
      <c r="S5966" s="36"/>
      <c r="T5966" s="36"/>
      <c r="U5966" s="36"/>
      <c r="V5966" s="37"/>
    </row>
    <row r="5967" spans="13:22" x14ac:dyDescent="0.2">
      <c r="M5967" s="33"/>
      <c r="N5967" s="29"/>
      <c r="O5967" s="29"/>
      <c r="P5967" s="29"/>
      <c r="Q5967" s="34"/>
      <c r="R5967" s="35"/>
      <c r="S5967" s="36"/>
      <c r="T5967" s="36"/>
      <c r="U5967" s="36"/>
      <c r="V5967" s="37"/>
    </row>
    <row r="5968" spans="13:22" x14ac:dyDescent="0.2">
      <c r="M5968" s="33"/>
      <c r="N5968" s="29"/>
      <c r="O5968" s="29"/>
      <c r="P5968" s="29"/>
      <c r="Q5968" s="34"/>
      <c r="R5968" s="35"/>
      <c r="S5968" s="36"/>
      <c r="T5968" s="36"/>
      <c r="U5968" s="36"/>
      <c r="V5968" s="37"/>
    </row>
    <row r="5969" spans="13:22" x14ac:dyDescent="0.2">
      <c r="M5969" s="26"/>
      <c r="N5969" s="15"/>
      <c r="O5969" s="15"/>
      <c r="P5969" s="15"/>
      <c r="Q5969" s="39"/>
      <c r="R5969" s="35"/>
      <c r="S5969" s="36"/>
      <c r="T5969" s="36"/>
      <c r="U5969" s="36"/>
      <c r="V5969" s="37"/>
    </row>
    <row r="5970" spans="13:22" x14ac:dyDescent="0.2">
      <c r="M5970" s="26"/>
      <c r="N5970" s="15"/>
      <c r="O5970" s="15"/>
      <c r="P5970" s="15"/>
      <c r="Q5970" s="39"/>
      <c r="R5970" s="35"/>
      <c r="S5970" s="36"/>
      <c r="T5970" s="36"/>
      <c r="U5970" s="36"/>
      <c r="V5970" s="37"/>
    </row>
    <row r="5971" spans="13:22" x14ac:dyDescent="0.2">
      <c r="M5971" s="40"/>
      <c r="N5971" s="15"/>
      <c r="O5971" s="15"/>
      <c r="P5971" s="15"/>
      <c r="Q5971" s="39"/>
      <c r="R5971" s="35"/>
      <c r="S5971" s="36"/>
      <c r="T5971" s="36"/>
      <c r="U5971" s="36"/>
      <c r="V5971" s="37"/>
    </row>
    <row r="5972" spans="13:22" x14ac:dyDescent="0.2">
      <c r="M5972" s="40"/>
      <c r="N5972" s="15"/>
      <c r="O5972" s="15"/>
      <c r="P5972" s="15"/>
      <c r="Q5972" s="39"/>
      <c r="R5972" s="41"/>
      <c r="S5972" s="36"/>
      <c r="T5972" s="36"/>
      <c r="U5972" s="36"/>
      <c r="V5972" s="37"/>
    </row>
    <row r="5973" spans="13:22" x14ac:dyDescent="0.2">
      <c r="M5973" s="40"/>
      <c r="N5973" s="15"/>
      <c r="O5973" s="15"/>
      <c r="P5973" s="15"/>
      <c r="Q5973" s="39"/>
      <c r="R5973" s="41"/>
      <c r="S5973" s="36"/>
      <c r="T5973" s="36"/>
      <c r="U5973" s="36"/>
      <c r="V5973" s="37"/>
    </row>
    <row r="5974" spans="13:22" x14ac:dyDescent="0.2">
      <c r="M5974" s="40"/>
      <c r="N5974" s="15"/>
      <c r="O5974" s="15"/>
      <c r="P5974" s="15"/>
      <c r="Q5974" s="39"/>
      <c r="R5974" s="41"/>
      <c r="S5974" s="36"/>
      <c r="T5974" s="36"/>
      <c r="U5974" s="36"/>
      <c r="V5974" s="37"/>
    </row>
    <row r="5975" spans="13:22" x14ac:dyDescent="0.2">
      <c r="M5975" s="40"/>
      <c r="N5975" s="15"/>
      <c r="O5975" s="15"/>
      <c r="P5975" s="15"/>
      <c r="Q5975" s="39"/>
      <c r="R5975" s="41"/>
      <c r="S5975" s="36"/>
      <c r="T5975" s="36"/>
      <c r="U5975" s="36"/>
      <c r="V5975" s="37"/>
    </row>
    <row r="5976" spans="13:22" x14ac:dyDescent="0.2">
      <c r="M5976" s="40"/>
      <c r="N5976" s="15"/>
      <c r="O5976" s="15"/>
      <c r="P5976" s="15"/>
      <c r="Q5976" s="39"/>
      <c r="R5976" s="41"/>
      <c r="S5976" s="36"/>
      <c r="T5976" s="36"/>
      <c r="U5976" s="36"/>
      <c r="V5976" s="37"/>
    </row>
    <row r="5977" spans="13:22" x14ac:dyDescent="0.2">
      <c r="M5977" s="40"/>
      <c r="N5977" s="15"/>
      <c r="O5977" s="15"/>
      <c r="P5977" s="15"/>
      <c r="Q5977" s="39"/>
      <c r="R5977" s="41"/>
      <c r="S5977" s="36"/>
      <c r="T5977" s="36"/>
      <c r="U5977" s="36"/>
      <c r="V5977" s="37"/>
    </row>
    <row r="5978" spans="13:22" x14ac:dyDescent="0.2">
      <c r="M5978" s="40"/>
      <c r="N5978" s="15"/>
      <c r="O5978" s="15"/>
      <c r="P5978" s="15"/>
      <c r="Q5978" s="39"/>
      <c r="R5978" s="41"/>
      <c r="S5978" s="36"/>
      <c r="T5978" s="36"/>
      <c r="U5978" s="36"/>
      <c r="V5978" s="37"/>
    </row>
    <row r="5979" spans="13:22" x14ac:dyDescent="0.2">
      <c r="M5979" s="40"/>
      <c r="N5979" s="15"/>
      <c r="O5979" s="15"/>
      <c r="P5979" s="15"/>
      <c r="Q5979" s="39"/>
      <c r="R5979" s="41"/>
      <c r="S5979" s="36"/>
      <c r="T5979" s="36"/>
      <c r="U5979" s="36"/>
      <c r="V5979" s="37"/>
    </row>
    <row r="5980" spans="13:22" x14ac:dyDescent="0.2">
      <c r="M5980" s="40"/>
      <c r="N5980" s="15"/>
      <c r="O5980" s="15"/>
      <c r="P5980" s="15"/>
      <c r="Q5980" s="39"/>
      <c r="R5980" s="41"/>
      <c r="S5980" s="36"/>
      <c r="T5980" s="36"/>
      <c r="U5980" s="36"/>
      <c r="V5980" s="37"/>
    </row>
    <row r="5981" spans="13:22" ht="13.5" thickBot="1" x14ac:dyDescent="0.25">
      <c r="M5981" s="42"/>
      <c r="N5981" s="43"/>
      <c r="O5981" s="43"/>
      <c r="P5981" s="43"/>
      <c r="Q5981" s="44"/>
      <c r="R5981" s="41"/>
      <c r="S5981" s="46"/>
      <c r="T5981" s="46"/>
      <c r="U5981" s="46"/>
      <c r="V5981" s="47"/>
    </row>
    <row r="5982" spans="13:22" ht="13.5" thickBot="1" x14ac:dyDescent="0.25">
      <c r="M5982" s="48"/>
      <c r="N5982" s="49"/>
      <c r="O5982" s="49"/>
      <c r="P5982" s="49"/>
      <c r="Q5982" s="50"/>
      <c r="R5982" s="45"/>
      <c r="S5982" s="52"/>
      <c r="T5982" s="52"/>
      <c r="U5982" s="52"/>
      <c r="V5982" s="53"/>
    </row>
    <row r="5983" spans="13:22" x14ac:dyDescent="0.2">
      <c r="M5983" s="54"/>
      <c r="N5983" s="29"/>
      <c r="O5983" s="29"/>
      <c r="P5983" s="29"/>
      <c r="Q5983" s="34"/>
      <c r="R5983" s="51"/>
      <c r="S5983" s="36"/>
      <c r="T5983" s="36"/>
      <c r="U5983" s="36"/>
      <c r="V5983" s="37"/>
    </row>
    <row r="5984" spans="13:22" x14ac:dyDescent="0.2">
      <c r="M5984" s="33"/>
      <c r="N5984" s="29"/>
      <c r="O5984" s="29"/>
      <c r="P5984" s="29"/>
      <c r="Q5984" s="34"/>
      <c r="R5984" s="41"/>
      <c r="S5984" s="36"/>
      <c r="T5984" s="36"/>
      <c r="U5984" s="36"/>
      <c r="V5984" s="37"/>
    </row>
    <row r="5985" spans="13:22" x14ac:dyDescent="0.2">
      <c r="M5985" s="33"/>
      <c r="N5985" s="29"/>
      <c r="O5985" s="29"/>
      <c r="P5985" s="29"/>
      <c r="Q5985" s="34"/>
      <c r="R5985" s="35"/>
      <c r="S5985" s="36"/>
      <c r="T5985" s="36"/>
      <c r="U5985" s="36"/>
      <c r="V5985" s="37"/>
    </row>
    <row r="5986" spans="13:22" x14ac:dyDescent="0.2">
      <c r="M5986" s="33"/>
      <c r="N5986" s="29"/>
      <c r="O5986" s="29"/>
      <c r="P5986" s="29"/>
      <c r="Q5986" s="34"/>
      <c r="R5986" s="35"/>
      <c r="S5986" s="36"/>
      <c r="T5986" s="36"/>
      <c r="U5986" s="36"/>
      <c r="V5986" s="37"/>
    </row>
    <row r="5987" spans="13:22" x14ac:dyDescent="0.2">
      <c r="M5987" s="33"/>
      <c r="N5987" s="29"/>
      <c r="O5987" s="29"/>
      <c r="P5987" s="29"/>
      <c r="Q5987" s="34"/>
      <c r="R5987" s="35"/>
      <c r="S5987" s="36"/>
      <c r="T5987" s="36"/>
      <c r="U5987" s="36"/>
      <c r="V5987" s="37"/>
    </row>
    <row r="5988" spans="13:22" x14ac:dyDescent="0.2">
      <c r="M5988" s="33"/>
      <c r="N5988" s="29"/>
      <c r="O5988" s="29"/>
      <c r="P5988" s="29"/>
      <c r="Q5988" s="34"/>
      <c r="R5988" s="35"/>
      <c r="S5988" s="36"/>
      <c r="T5988" s="36"/>
      <c r="U5988" s="36"/>
      <c r="V5988" s="37"/>
    </row>
    <row r="5989" spans="13:22" x14ac:dyDescent="0.2">
      <c r="M5989" s="33"/>
      <c r="N5989" s="29"/>
      <c r="O5989" s="29"/>
      <c r="P5989" s="29"/>
      <c r="Q5989" s="38"/>
      <c r="R5989" s="35"/>
      <c r="S5989" s="36"/>
      <c r="T5989" s="36"/>
      <c r="U5989" s="36"/>
      <c r="V5989" s="37"/>
    </row>
    <row r="5990" spans="13:22" x14ac:dyDescent="0.2">
      <c r="M5990" s="33"/>
      <c r="N5990" s="29"/>
      <c r="O5990" s="29"/>
      <c r="P5990" s="29"/>
      <c r="Q5990" s="34"/>
      <c r="R5990" s="35"/>
      <c r="S5990" s="36"/>
      <c r="T5990" s="36"/>
      <c r="U5990" s="36"/>
      <c r="V5990" s="37"/>
    </row>
    <row r="5991" spans="13:22" x14ac:dyDescent="0.2">
      <c r="M5991" s="33"/>
      <c r="N5991" s="29"/>
      <c r="O5991" s="29"/>
      <c r="P5991" s="29"/>
      <c r="Q5991" s="34"/>
      <c r="R5991" s="35"/>
      <c r="S5991" s="36"/>
      <c r="T5991" s="36"/>
      <c r="U5991" s="36"/>
      <c r="V5991" s="37"/>
    </row>
    <row r="5992" spans="13:22" x14ac:dyDescent="0.2">
      <c r="M5992" s="33"/>
      <c r="N5992" s="29"/>
      <c r="O5992" s="29"/>
      <c r="P5992" s="29"/>
      <c r="Q5992" s="34"/>
      <c r="R5992" s="35"/>
      <c r="S5992" s="36"/>
      <c r="T5992" s="36"/>
      <c r="U5992" s="36"/>
      <c r="V5992" s="37"/>
    </row>
    <row r="5993" spans="13:22" x14ac:dyDescent="0.2">
      <c r="M5993" s="33"/>
      <c r="N5993" s="29"/>
      <c r="O5993" s="29"/>
      <c r="P5993" s="29"/>
      <c r="Q5993" s="34"/>
      <c r="R5993" s="35"/>
      <c r="S5993" s="36"/>
      <c r="T5993" s="36"/>
      <c r="U5993" s="36"/>
      <c r="V5993" s="37"/>
    </row>
    <row r="5994" spans="13:22" x14ac:dyDescent="0.2">
      <c r="M5994" s="26"/>
      <c r="N5994" s="15"/>
      <c r="O5994" s="15"/>
      <c r="P5994" s="15"/>
      <c r="Q5994" s="39"/>
      <c r="R5994" s="35"/>
      <c r="S5994" s="36"/>
      <c r="T5994" s="36"/>
      <c r="U5994" s="36"/>
      <c r="V5994" s="37"/>
    </row>
    <row r="5995" spans="13:22" x14ac:dyDescent="0.2">
      <c r="M5995" s="26"/>
      <c r="N5995" s="15"/>
      <c r="O5995" s="15"/>
      <c r="P5995" s="15"/>
      <c r="Q5995" s="39"/>
      <c r="R5995" s="35"/>
      <c r="S5995" s="36"/>
      <c r="T5995" s="36"/>
      <c r="U5995" s="36"/>
      <c r="V5995" s="37"/>
    </row>
    <row r="5996" spans="13:22" x14ac:dyDescent="0.2">
      <c r="M5996" s="40"/>
      <c r="N5996" s="15"/>
      <c r="O5996" s="15"/>
      <c r="P5996" s="15"/>
      <c r="Q5996" s="39"/>
      <c r="R5996" s="35"/>
      <c r="S5996" s="36"/>
      <c r="T5996" s="36"/>
      <c r="U5996" s="36"/>
      <c r="V5996" s="37"/>
    </row>
    <row r="5997" spans="13:22" x14ac:dyDescent="0.2">
      <c r="M5997" s="40"/>
      <c r="N5997" s="15"/>
      <c r="O5997" s="15"/>
      <c r="P5997" s="15"/>
      <c r="Q5997" s="39"/>
      <c r="R5997" s="41"/>
      <c r="S5997" s="36"/>
      <c r="T5997" s="36"/>
      <c r="U5997" s="36"/>
      <c r="V5997" s="37"/>
    </row>
    <row r="5998" spans="13:22" x14ac:dyDescent="0.2">
      <c r="M5998" s="40"/>
      <c r="N5998" s="15"/>
      <c r="O5998" s="15"/>
      <c r="P5998" s="15"/>
      <c r="Q5998" s="39"/>
      <c r="R5998" s="41"/>
      <c r="S5998" s="36"/>
      <c r="T5998" s="36"/>
      <c r="U5998" s="36"/>
      <c r="V5998" s="37"/>
    </row>
    <row r="5999" spans="13:22" x14ac:dyDescent="0.2">
      <c r="M5999" s="40"/>
      <c r="N5999" s="15"/>
      <c r="O5999" s="15"/>
      <c r="P5999" s="15"/>
      <c r="Q5999" s="39"/>
      <c r="R5999" s="41"/>
      <c r="S5999" s="36"/>
      <c r="T5999" s="36"/>
      <c r="U5999" s="36"/>
      <c r="V5999" s="37"/>
    </row>
    <row r="6000" spans="13:22" x14ac:dyDescent="0.2">
      <c r="M6000" s="40"/>
      <c r="N6000" s="15"/>
      <c r="O6000" s="15"/>
      <c r="P6000" s="15"/>
      <c r="Q6000" s="39"/>
      <c r="R6000" s="41"/>
      <c r="S6000" s="36"/>
      <c r="T6000" s="36"/>
      <c r="U6000" s="36"/>
      <c r="V6000" s="37"/>
    </row>
    <row r="6001" spans="13:22" x14ac:dyDescent="0.2">
      <c r="M6001" s="40"/>
      <c r="N6001" s="15"/>
      <c r="O6001" s="15"/>
      <c r="P6001" s="15"/>
      <c r="Q6001" s="39"/>
      <c r="R6001" s="41"/>
      <c r="S6001" s="36"/>
      <c r="T6001" s="36"/>
      <c r="U6001" s="36"/>
      <c r="V6001" s="37"/>
    </row>
    <row r="6002" spans="13:22" x14ac:dyDescent="0.2">
      <c r="M6002" s="40"/>
      <c r="N6002" s="15"/>
      <c r="O6002" s="15"/>
      <c r="P6002" s="15"/>
      <c r="Q6002" s="39"/>
      <c r="R6002" s="41"/>
      <c r="S6002" s="36"/>
      <c r="T6002" s="36"/>
      <c r="U6002" s="36"/>
      <c r="V6002" s="37"/>
    </row>
    <row r="6003" spans="13:22" x14ac:dyDescent="0.2">
      <c r="M6003" s="40"/>
      <c r="N6003" s="15"/>
      <c r="O6003" s="15"/>
      <c r="P6003" s="15"/>
      <c r="Q6003" s="39"/>
      <c r="R6003" s="41"/>
      <c r="S6003" s="36"/>
      <c r="T6003" s="36"/>
      <c r="U6003" s="36"/>
      <c r="V6003" s="37"/>
    </row>
    <row r="6004" spans="13:22" x14ac:dyDescent="0.2">
      <c r="M6004" s="40"/>
      <c r="N6004" s="15"/>
      <c r="O6004" s="15"/>
      <c r="P6004" s="15"/>
      <c r="Q6004" s="39"/>
      <c r="R6004" s="41"/>
      <c r="S6004" s="36"/>
      <c r="T6004" s="36"/>
      <c r="U6004" s="36"/>
      <c r="V6004" s="37"/>
    </row>
    <row r="6005" spans="13:22" x14ac:dyDescent="0.2">
      <c r="M6005" s="40"/>
      <c r="N6005" s="15"/>
      <c r="O6005" s="15"/>
      <c r="P6005" s="15"/>
      <c r="Q6005" s="39"/>
      <c r="R6005" s="41"/>
      <c r="S6005" s="36"/>
      <c r="T6005" s="36"/>
      <c r="U6005" s="36"/>
      <c r="V6005" s="37"/>
    </row>
    <row r="6006" spans="13:22" ht="13.5" thickBot="1" x14ac:dyDescent="0.25">
      <c r="M6006" s="42"/>
      <c r="N6006" s="43"/>
      <c r="O6006" s="43"/>
      <c r="P6006" s="43"/>
      <c r="Q6006" s="44"/>
      <c r="R6006" s="41"/>
      <c r="S6006" s="46"/>
      <c r="T6006" s="46"/>
      <c r="U6006" s="46"/>
      <c r="V6006" s="47"/>
    </row>
    <row r="6007" spans="13:22" ht="13.5" thickBot="1" x14ac:dyDescent="0.25">
      <c r="M6007" s="48"/>
      <c r="N6007" s="49"/>
      <c r="O6007" s="49"/>
      <c r="P6007" s="49"/>
      <c r="Q6007" s="50"/>
      <c r="R6007" s="45"/>
      <c r="S6007" s="52"/>
      <c r="T6007" s="52"/>
      <c r="U6007" s="52"/>
      <c r="V6007" s="53"/>
    </row>
    <row r="6008" spans="13:22" x14ac:dyDescent="0.2">
      <c r="M6008" s="54"/>
      <c r="N6008" s="29"/>
      <c r="O6008" s="29"/>
      <c r="P6008" s="29"/>
      <c r="Q6008" s="34"/>
      <c r="R6008" s="51"/>
      <c r="S6008" s="36"/>
      <c r="T6008" s="36"/>
      <c r="U6008" s="36"/>
      <c r="V6008" s="37"/>
    </row>
    <row r="6009" spans="13:22" x14ac:dyDescent="0.2">
      <c r="M6009" s="33"/>
      <c r="N6009" s="29"/>
      <c r="O6009" s="29"/>
      <c r="P6009" s="29"/>
      <c r="Q6009" s="34"/>
      <c r="R6009" s="41"/>
      <c r="S6009" s="36"/>
      <c r="T6009" s="36"/>
      <c r="U6009" s="36"/>
      <c r="V6009" s="37"/>
    </row>
    <row r="6010" spans="13:22" x14ac:dyDescent="0.2">
      <c r="M6010" s="33"/>
      <c r="N6010" s="29"/>
      <c r="O6010" s="29"/>
      <c r="P6010" s="29"/>
      <c r="Q6010" s="34"/>
      <c r="R6010" s="35"/>
      <c r="S6010" s="36"/>
      <c r="T6010" s="36"/>
      <c r="U6010" s="36"/>
      <c r="V6010" s="37"/>
    </row>
    <row r="6011" spans="13:22" x14ac:dyDescent="0.2">
      <c r="M6011" s="33"/>
      <c r="N6011" s="29"/>
      <c r="O6011" s="29"/>
      <c r="P6011" s="29"/>
      <c r="Q6011" s="34"/>
      <c r="R6011" s="35"/>
      <c r="S6011" s="36"/>
      <c r="T6011" s="36"/>
      <c r="U6011" s="36"/>
      <c r="V6011" s="37"/>
    </row>
    <row r="6012" spans="13:22" x14ac:dyDescent="0.2">
      <c r="M6012" s="33"/>
      <c r="N6012" s="29"/>
      <c r="O6012" s="29"/>
      <c r="P6012" s="29"/>
      <c r="Q6012" s="34"/>
      <c r="R6012" s="35"/>
      <c r="S6012" s="36"/>
      <c r="T6012" s="36"/>
      <c r="U6012" s="36"/>
      <c r="V6012" s="37"/>
    </row>
    <row r="6013" spans="13:22" x14ac:dyDescent="0.2">
      <c r="M6013" s="33"/>
      <c r="N6013" s="29"/>
      <c r="O6013" s="29"/>
      <c r="P6013" s="29"/>
      <c r="Q6013" s="34"/>
      <c r="R6013" s="35"/>
      <c r="S6013" s="36"/>
      <c r="T6013" s="36"/>
      <c r="U6013" s="36"/>
      <c r="V6013" s="37"/>
    </row>
    <row r="6014" spans="13:22" x14ac:dyDescent="0.2">
      <c r="M6014" s="33"/>
      <c r="N6014" s="29"/>
      <c r="O6014" s="29"/>
      <c r="P6014" s="29"/>
      <c r="Q6014" s="38"/>
      <c r="R6014" s="35"/>
      <c r="S6014" s="36"/>
      <c r="T6014" s="36"/>
      <c r="U6014" s="36"/>
      <c r="V6014" s="37"/>
    </row>
    <row r="6015" spans="13:22" x14ac:dyDescent="0.2">
      <c r="M6015" s="33"/>
      <c r="N6015" s="29"/>
      <c r="O6015" s="29"/>
      <c r="P6015" s="29"/>
      <c r="Q6015" s="34"/>
      <c r="R6015" s="35"/>
      <c r="S6015" s="36"/>
      <c r="T6015" s="36"/>
      <c r="U6015" s="36"/>
      <c r="V6015" s="37"/>
    </row>
    <row r="6016" spans="13:22" x14ac:dyDescent="0.2">
      <c r="M6016" s="33"/>
      <c r="N6016" s="29"/>
      <c r="O6016" s="29"/>
      <c r="P6016" s="29"/>
      <c r="Q6016" s="34"/>
      <c r="R6016" s="35"/>
      <c r="S6016" s="36"/>
      <c r="T6016" s="36"/>
      <c r="U6016" s="36"/>
      <c r="V6016" s="37"/>
    </row>
    <row r="6017" spans="13:22" x14ac:dyDescent="0.2">
      <c r="M6017" s="33"/>
      <c r="N6017" s="29"/>
      <c r="O6017" s="29"/>
      <c r="P6017" s="29"/>
      <c r="Q6017" s="34"/>
      <c r="R6017" s="35"/>
      <c r="S6017" s="36"/>
      <c r="T6017" s="36"/>
      <c r="U6017" s="36"/>
      <c r="V6017" s="37"/>
    </row>
    <row r="6018" spans="13:22" x14ac:dyDescent="0.2">
      <c r="M6018" s="33"/>
      <c r="N6018" s="29"/>
      <c r="O6018" s="29"/>
      <c r="P6018" s="29"/>
      <c r="Q6018" s="34"/>
      <c r="R6018" s="35"/>
      <c r="S6018" s="36"/>
      <c r="T6018" s="36"/>
      <c r="U6018" s="36"/>
      <c r="V6018" s="37"/>
    </row>
    <row r="6019" spans="13:22" x14ac:dyDescent="0.2">
      <c r="M6019" s="26"/>
      <c r="N6019" s="15"/>
      <c r="O6019" s="15"/>
      <c r="P6019" s="15"/>
      <c r="Q6019" s="39"/>
      <c r="R6019" s="35"/>
      <c r="S6019" s="36"/>
      <c r="T6019" s="36"/>
      <c r="U6019" s="36"/>
      <c r="V6019" s="37"/>
    </row>
    <row r="6020" spans="13:22" x14ac:dyDescent="0.2">
      <c r="M6020" s="26"/>
      <c r="N6020" s="15"/>
      <c r="O6020" s="15"/>
      <c r="P6020" s="15"/>
      <c r="Q6020" s="39"/>
      <c r="R6020" s="35"/>
      <c r="S6020" s="36"/>
      <c r="T6020" s="36"/>
      <c r="U6020" s="36"/>
      <c r="V6020" s="37"/>
    </row>
    <row r="6021" spans="13:22" x14ac:dyDescent="0.2">
      <c r="M6021" s="40"/>
      <c r="N6021" s="15"/>
      <c r="O6021" s="15"/>
      <c r="P6021" s="15"/>
      <c r="Q6021" s="39"/>
      <c r="R6021" s="35"/>
      <c r="S6021" s="36"/>
      <c r="T6021" s="36"/>
      <c r="U6021" s="36"/>
      <c r="V6021" s="37"/>
    </row>
    <row r="6022" spans="13:22" x14ac:dyDescent="0.2">
      <c r="M6022" s="40"/>
      <c r="N6022" s="15"/>
      <c r="O6022" s="15"/>
      <c r="P6022" s="15"/>
      <c r="Q6022" s="39"/>
      <c r="R6022" s="41"/>
      <c r="S6022" s="36"/>
      <c r="T6022" s="36"/>
      <c r="U6022" s="36"/>
      <c r="V6022" s="37"/>
    </row>
    <row r="6023" spans="13:22" x14ac:dyDescent="0.2">
      <c r="M6023" s="40"/>
      <c r="N6023" s="15"/>
      <c r="O6023" s="15"/>
      <c r="P6023" s="15"/>
      <c r="Q6023" s="39"/>
      <c r="R6023" s="41"/>
      <c r="S6023" s="36"/>
      <c r="T6023" s="36"/>
      <c r="U6023" s="36"/>
      <c r="V6023" s="37"/>
    </row>
    <row r="6024" spans="13:22" x14ac:dyDescent="0.2">
      <c r="M6024" s="40"/>
      <c r="N6024" s="15"/>
      <c r="O6024" s="15"/>
      <c r="P6024" s="15"/>
      <c r="Q6024" s="39"/>
      <c r="R6024" s="41"/>
      <c r="S6024" s="36"/>
      <c r="T6024" s="36"/>
      <c r="U6024" s="36"/>
      <c r="V6024" s="37"/>
    </row>
    <row r="6025" spans="13:22" x14ac:dyDescent="0.2">
      <c r="M6025" s="40"/>
      <c r="N6025" s="15"/>
      <c r="O6025" s="15"/>
      <c r="P6025" s="15"/>
      <c r="Q6025" s="39"/>
      <c r="R6025" s="41"/>
      <c r="S6025" s="36"/>
      <c r="T6025" s="36"/>
      <c r="U6025" s="36"/>
      <c r="V6025" s="37"/>
    </row>
    <row r="6026" spans="13:22" x14ac:dyDescent="0.2">
      <c r="M6026" s="40"/>
      <c r="N6026" s="15"/>
      <c r="O6026" s="15"/>
      <c r="P6026" s="15"/>
      <c r="Q6026" s="39"/>
      <c r="R6026" s="41"/>
      <c r="S6026" s="36"/>
      <c r="T6026" s="36"/>
      <c r="U6026" s="36"/>
      <c r="V6026" s="37"/>
    </row>
    <row r="6027" spans="13:22" x14ac:dyDescent="0.2">
      <c r="M6027" s="40"/>
      <c r="N6027" s="15"/>
      <c r="O6027" s="15"/>
      <c r="P6027" s="15"/>
      <c r="Q6027" s="39"/>
      <c r="R6027" s="41"/>
      <c r="S6027" s="36"/>
      <c r="T6027" s="36"/>
      <c r="U6027" s="36"/>
      <c r="V6027" s="37"/>
    </row>
    <row r="6028" spans="13:22" x14ac:dyDescent="0.2">
      <c r="M6028" s="40"/>
      <c r="N6028" s="15"/>
      <c r="O6028" s="15"/>
      <c r="P6028" s="15"/>
      <c r="Q6028" s="39"/>
      <c r="R6028" s="41"/>
      <c r="S6028" s="36"/>
      <c r="T6028" s="36"/>
      <c r="U6028" s="36"/>
      <c r="V6028" s="37"/>
    </row>
    <row r="6029" spans="13:22" x14ac:dyDescent="0.2">
      <c r="M6029" s="40"/>
      <c r="N6029" s="15"/>
      <c r="O6029" s="15"/>
      <c r="P6029" s="15"/>
      <c r="Q6029" s="39"/>
      <c r="R6029" s="41"/>
      <c r="S6029" s="36"/>
      <c r="T6029" s="36"/>
      <c r="U6029" s="36"/>
      <c r="V6029" s="37"/>
    </row>
    <row r="6030" spans="13:22" x14ac:dyDescent="0.2">
      <c r="M6030" s="40"/>
      <c r="N6030" s="15"/>
      <c r="O6030" s="15"/>
      <c r="P6030" s="15"/>
      <c r="Q6030" s="39"/>
      <c r="R6030" s="41"/>
      <c r="S6030" s="36"/>
      <c r="T6030" s="36"/>
      <c r="U6030" s="36"/>
      <c r="V6030" s="37"/>
    </row>
    <row r="6031" spans="13:22" ht="13.5" thickBot="1" x14ac:dyDescent="0.25">
      <c r="M6031" s="42"/>
      <c r="N6031" s="43"/>
      <c r="O6031" s="43"/>
      <c r="P6031" s="43"/>
      <c r="Q6031" s="44"/>
      <c r="R6031" s="41"/>
      <c r="S6031" s="46"/>
      <c r="T6031" s="46"/>
      <c r="U6031" s="46"/>
      <c r="V6031" s="47"/>
    </row>
    <row r="6032" spans="13:22" ht="13.5" thickBot="1" x14ac:dyDescent="0.25">
      <c r="M6032" s="48"/>
      <c r="N6032" s="49"/>
      <c r="O6032" s="49"/>
      <c r="P6032" s="49"/>
      <c r="Q6032" s="50"/>
      <c r="R6032" s="45"/>
      <c r="S6032" s="52"/>
      <c r="T6032" s="52"/>
      <c r="U6032" s="52"/>
      <c r="V6032" s="53"/>
    </row>
    <row r="6033" spans="13:22" x14ac:dyDescent="0.2">
      <c r="M6033" s="54"/>
      <c r="N6033" s="29"/>
      <c r="O6033" s="29"/>
      <c r="P6033" s="29"/>
      <c r="Q6033" s="34"/>
      <c r="R6033" s="51"/>
      <c r="S6033" s="36"/>
      <c r="T6033" s="36"/>
      <c r="U6033" s="36"/>
      <c r="V6033" s="37"/>
    </row>
    <row r="6034" spans="13:22" x14ac:dyDescent="0.2">
      <c r="M6034" s="33"/>
      <c r="N6034" s="29"/>
      <c r="O6034" s="29"/>
      <c r="P6034" s="29"/>
      <c r="Q6034" s="34"/>
      <c r="R6034" s="41"/>
      <c r="S6034" s="36"/>
      <c r="T6034" s="36"/>
      <c r="U6034" s="36"/>
      <c r="V6034" s="37"/>
    </row>
    <row r="6035" spans="13:22" x14ac:dyDescent="0.2">
      <c r="M6035" s="33"/>
      <c r="N6035" s="29"/>
      <c r="O6035" s="29"/>
      <c r="P6035" s="29"/>
      <c r="Q6035" s="34"/>
      <c r="R6035" s="35"/>
      <c r="S6035" s="36"/>
      <c r="T6035" s="36"/>
      <c r="U6035" s="36"/>
      <c r="V6035" s="37"/>
    </row>
    <row r="6036" spans="13:22" x14ac:dyDescent="0.2">
      <c r="M6036" s="33"/>
      <c r="N6036" s="29"/>
      <c r="O6036" s="29"/>
      <c r="P6036" s="29"/>
      <c r="Q6036" s="34"/>
      <c r="R6036" s="35"/>
      <c r="S6036" s="36"/>
      <c r="T6036" s="36"/>
      <c r="U6036" s="36"/>
      <c r="V6036" s="37"/>
    </row>
    <row r="6037" spans="13:22" x14ac:dyDescent="0.2">
      <c r="M6037" s="33"/>
      <c r="N6037" s="29"/>
      <c r="O6037" s="29"/>
      <c r="P6037" s="29"/>
      <c r="Q6037" s="34"/>
      <c r="R6037" s="35"/>
      <c r="S6037" s="36"/>
      <c r="T6037" s="36"/>
      <c r="U6037" s="36"/>
      <c r="V6037" s="37"/>
    </row>
    <row r="6038" spans="13:22" x14ac:dyDescent="0.2">
      <c r="M6038" s="33"/>
      <c r="N6038" s="29"/>
      <c r="O6038" s="29"/>
      <c r="P6038" s="29"/>
      <c r="Q6038" s="34"/>
      <c r="R6038" s="35"/>
      <c r="S6038" s="36"/>
      <c r="T6038" s="36"/>
      <c r="U6038" s="36"/>
      <c r="V6038" s="37"/>
    </row>
    <row r="6039" spans="13:22" x14ac:dyDescent="0.2">
      <c r="M6039" s="33"/>
      <c r="N6039" s="29"/>
      <c r="O6039" s="29"/>
      <c r="P6039" s="29"/>
      <c r="Q6039" s="38"/>
      <c r="R6039" s="35"/>
      <c r="S6039" s="36"/>
      <c r="T6039" s="36"/>
      <c r="U6039" s="36"/>
      <c r="V6039" s="37"/>
    </row>
    <row r="6040" spans="13:22" x14ac:dyDescent="0.2">
      <c r="M6040" s="33"/>
      <c r="N6040" s="29"/>
      <c r="O6040" s="29"/>
      <c r="P6040" s="29"/>
      <c r="Q6040" s="34"/>
      <c r="R6040" s="35"/>
      <c r="S6040" s="36"/>
      <c r="T6040" s="36"/>
      <c r="U6040" s="36"/>
      <c r="V6040" s="37"/>
    </row>
    <row r="6041" spans="13:22" x14ac:dyDescent="0.2">
      <c r="M6041" s="33"/>
      <c r="N6041" s="29"/>
      <c r="O6041" s="29"/>
      <c r="P6041" s="29"/>
      <c r="Q6041" s="34"/>
      <c r="R6041" s="35"/>
      <c r="S6041" s="36"/>
      <c r="T6041" s="36"/>
      <c r="U6041" s="36"/>
      <c r="V6041" s="37"/>
    </row>
    <row r="6042" spans="13:22" x14ac:dyDescent="0.2">
      <c r="M6042" s="33"/>
      <c r="N6042" s="29"/>
      <c r="O6042" s="29"/>
      <c r="P6042" s="29"/>
      <c r="Q6042" s="34"/>
      <c r="R6042" s="35"/>
      <c r="S6042" s="36"/>
      <c r="T6042" s="36"/>
      <c r="U6042" s="36"/>
      <c r="V6042" s="37"/>
    </row>
    <row r="6043" spans="13:22" x14ac:dyDescent="0.2">
      <c r="M6043" s="33"/>
      <c r="N6043" s="29"/>
      <c r="O6043" s="29"/>
      <c r="P6043" s="29"/>
      <c r="Q6043" s="34"/>
      <c r="R6043" s="35"/>
      <c r="S6043" s="36"/>
      <c r="T6043" s="36"/>
      <c r="U6043" s="36"/>
      <c r="V6043" s="37"/>
    </row>
    <row r="6044" spans="13:22" x14ac:dyDescent="0.2">
      <c r="M6044" s="26"/>
      <c r="N6044" s="15"/>
      <c r="O6044" s="15"/>
      <c r="P6044" s="15"/>
      <c r="Q6044" s="39"/>
      <c r="R6044" s="35"/>
      <c r="S6044" s="36"/>
      <c r="T6044" s="36"/>
      <c r="U6044" s="36"/>
      <c r="V6044" s="37"/>
    </row>
    <row r="6045" spans="13:22" x14ac:dyDescent="0.2">
      <c r="M6045" s="26"/>
      <c r="N6045" s="15"/>
      <c r="O6045" s="15"/>
      <c r="P6045" s="15"/>
      <c r="Q6045" s="39"/>
      <c r="R6045" s="35"/>
      <c r="S6045" s="36"/>
      <c r="T6045" s="36"/>
      <c r="U6045" s="36"/>
      <c r="V6045" s="37"/>
    </row>
    <row r="6046" spans="13:22" x14ac:dyDescent="0.2">
      <c r="M6046" s="40"/>
      <c r="N6046" s="15"/>
      <c r="O6046" s="15"/>
      <c r="P6046" s="15"/>
      <c r="Q6046" s="39"/>
      <c r="R6046" s="35"/>
      <c r="S6046" s="36"/>
      <c r="T6046" s="36"/>
      <c r="U6046" s="36"/>
      <c r="V6046" s="37"/>
    </row>
    <row r="6047" spans="13:22" x14ac:dyDescent="0.2">
      <c r="M6047" s="40"/>
      <c r="N6047" s="15"/>
      <c r="O6047" s="15"/>
      <c r="P6047" s="15"/>
      <c r="Q6047" s="39"/>
      <c r="R6047" s="41"/>
      <c r="S6047" s="36"/>
      <c r="T6047" s="36"/>
      <c r="U6047" s="36"/>
      <c r="V6047" s="37"/>
    </row>
    <row r="6048" spans="13:22" x14ac:dyDescent="0.2">
      <c r="M6048" s="40"/>
      <c r="N6048" s="15"/>
      <c r="O6048" s="15"/>
      <c r="P6048" s="15"/>
      <c r="Q6048" s="39"/>
      <c r="R6048" s="41"/>
      <c r="S6048" s="36"/>
      <c r="T6048" s="36"/>
      <c r="U6048" s="36"/>
      <c r="V6048" s="37"/>
    </row>
    <row r="6049" spans="13:22" x14ac:dyDescent="0.2">
      <c r="M6049" s="40"/>
      <c r="N6049" s="15"/>
      <c r="O6049" s="15"/>
      <c r="P6049" s="15"/>
      <c r="Q6049" s="39"/>
      <c r="R6049" s="41"/>
      <c r="S6049" s="36"/>
      <c r="T6049" s="36"/>
      <c r="U6049" s="36"/>
      <c r="V6049" s="37"/>
    </row>
    <row r="6050" spans="13:22" x14ac:dyDescent="0.2">
      <c r="M6050" s="40"/>
      <c r="N6050" s="15"/>
      <c r="O6050" s="15"/>
      <c r="P6050" s="15"/>
      <c r="Q6050" s="39"/>
      <c r="R6050" s="41"/>
      <c r="S6050" s="36"/>
      <c r="T6050" s="36"/>
      <c r="U6050" s="36"/>
      <c r="V6050" s="37"/>
    </row>
    <row r="6051" spans="13:22" x14ac:dyDescent="0.2">
      <c r="M6051" s="40"/>
      <c r="N6051" s="15"/>
      <c r="O6051" s="15"/>
      <c r="P6051" s="15"/>
      <c r="Q6051" s="39"/>
      <c r="R6051" s="41"/>
      <c r="S6051" s="36"/>
      <c r="T6051" s="36"/>
      <c r="U6051" s="36"/>
      <c r="V6051" s="37"/>
    </row>
    <row r="6052" spans="13:22" x14ac:dyDescent="0.2">
      <c r="M6052" s="40"/>
      <c r="N6052" s="15"/>
      <c r="O6052" s="15"/>
      <c r="P6052" s="15"/>
      <c r="Q6052" s="39"/>
      <c r="R6052" s="41"/>
      <c r="S6052" s="36"/>
      <c r="T6052" s="36"/>
      <c r="U6052" s="36"/>
      <c r="V6052" s="37"/>
    </row>
    <row r="6053" spans="13:22" x14ac:dyDescent="0.2">
      <c r="M6053" s="40"/>
      <c r="N6053" s="15"/>
      <c r="O6053" s="15"/>
      <c r="P6053" s="15"/>
      <c r="Q6053" s="39"/>
      <c r="R6053" s="41"/>
      <c r="S6053" s="36"/>
      <c r="T6053" s="36"/>
      <c r="U6053" s="36"/>
      <c r="V6053" s="37"/>
    </row>
    <row r="6054" spans="13:22" x14ac:dyDescent="0.2">
      <c r="M6054" s="40"/>
      <c r="N6054" s="15"/>
      <c r="O6054" s="15"/>
      <c r="P6054" s="15"/>
      <c r="Q6054" s="39"/>
      <c r="R6054" s="41"/>
      <c r="S6054" s="36"/>
      <c r="T6054" s="36"/>
      <c r="U6054" s="36"/>
      <c r="V6054" s="37"/>
    </row>
    <row r="6055" spans="13:22" x14ac:dyDescent="0.2">
      <c r="M6055" s="40"/>
      <c r="N6055" s="15"/>
      <c r="O6055" s="15"/>
      <c r="P6055" s="15"/>
      <c r="Q6055" s="39"/>
      <c r="R6055" s="41"/>
      <c r="S6055" s="36"/>
      <c r="T6055" s="36"/>
      <c r="U6055" s="36"/>
      <c r="V6055" s="37"/>
    </row>
    <row r="6056" spans="13:22" ht="13.5" thickBot="1" x14ac:dyDescent="0.25">
      <c r="M6056" s="42"/>
      <c r="N6056" s="43"/>
      <c r="O6056" s="43"/>
      <c r="P6056" s="43"/>
      <c r="Q6056" s="44"/>
      <c r="R6056" s="41"/>
      <c r="S6056" s="46"/>
      <c r="T6056" s="46"/>
      <c r="U6056" s="46"/>
      <c r="V6056" s="47"/>
    </row>
    <row r="6057" spans="13:22" ht="13.5" thickBot="1" x14ac:dyDescent="0.25">
      <c r="M6057" s="48"/>
      <c r="N6057" s="49"/>
      <c r="O6057" s="49"/>
      <c r="P6057" s="49"/>
      <c r="Q6057" s="50"/>
      <c r="R6057" s="45"/>
      <c r="S6057" s="52"/>
      <c r="T6057" s="52"/>
      <c r="U6057" s="52"/>
      <c r="V6057" s="53"/>
    </row>
    <row r="6058" spans="13:22" x14ac:dyDescent="0.2">
      <c r="M6058" s="54"/>
      <c r="N6058" s="29"/>
      <c r="O6058" s="29"/>
      <c r="P6058" s="29"/>
      <c r="Q6058" s="34"/>
      <c r="R6058" s="51"/>
      <c r="S6058" s="36"/>
      <c r="T6058" s="36"/>
      <c r="U6058" s="36"/>
      <c r="V6058" s="37"/>
    </row>
    <row r="6059" spans="13:22" x14ac:dyDescent="0.2">
      <c r="M6059" s="33"/>
      <c r="N6059" s="29"/>
      <c r="O6059" s="29"/>
      <c r="P6059" s="29"/>
      <c r="Q6059" s="34"/>
      <c r="R6059" s="41"/>
      <c r="S6059" s="36"/>
      <c r="T6059" s="36"/>
      <c r="U6059" s="36"/>
      <c r="V6059" s="37"/>
    </row>
    <row r="6060" spans="13:22" x14ac:dyDescent="0.2">
      <c r="M6060" s="33"/>
      <c r="N6060" s="29"/>
      <c r="O6060" s="29"/>
      <c r="P6060" s="29"/>
      <c r="Q6060" s="34"/>
      <c r="R6060" s="35"/>
      <c r="S6060" s="36"/>
      <c r="T6060" s="36"/>
      <c r="U6060" s="36"/>
      <c r="V6060" s="37"/>
    </row>
    <row r="6061" spans="13:22" x14ac:dyDescent="0.2">
      <c r="M6061" s="33"/>
      <c r="N6061" s="29"/>
      <c r="O6061" s="29"/>
      <c r="P6061" s="29"/>
      <c r="Q6061" s="34"/>
      <c r="R6061" s="35"/>
      <c r="S6061" s="36"/>
      <c r="T6061" s="36"/>
      <c r="U6061" s="36"/>
      <c r="V6061" s="37"/>
    </row>
    <row r="6062" spans="13:22" x14ac:dyDescent="0.2">
      <c r="M6062" s="33"/>
      <c r="N6062" s="29"/>
      <c r="O6062" s="29"/>
      <c r="P6062" s="29"/>
      <c r="Q6062" s="34"/>
      <c r="R6062" s="35"/>
      <c r="S6062" s="36"/>
      <c r="T6062" s="36"/>
      <c r="U6062" s="36"/>
      <c r="V6062" s="37"/>
    </row>
    <row r="6063" spans="13:22" x14ac:dyDescent="0.2">
      <c r="M6063" s="33"/>
      <c r="N6063" s="29"/>
      <c r="O6063" s="29"/>
      <c r="P6063" s="29"/>
      <c r="Q6063" s="34"/>
      <c r="R6063" s="35"/>
      <c r="S6063" s="36"/>
      <c r="T6063" s="36"/>
      <c r="U6063" s="36"/>
      <c r="V6063" s="37"/>
    </row>
    <row r="6064" spans="13:22" x14ac:dyDescent="0.2">
      <c r="M6064" s="33"/>
      <c r="N6064" s="29"/>
      <c r="O6064" s="29"/>
      <c r="P6064" s="29"/>
      <c r="Q6064" s="38"/>
      <c r="R6064" s="35"/>
      <c r="S6064" s="36"/>
      <c r="T6064" s="36"/>
      <c r="U6064" s="36"/>
      <c r="V6064" s="37"/>
    </row>
    <row r="6065" spans="13:22" x14ac:dyDescent="0.2">
      <c r="M6065" s="33"/>
      <c r="N6065" s="29"/>
      <c r="O6065" s="29"/>
      <c r="P6065" s="29"/>
      <c r="Q6065" s="34"/>
      <c r="R6065" s="35"/>
      <c r="S6065" s="36"/>
      <c r="T6065" s="36"/>
      <c r="U6065" s="36"/>
      <c r="V6065" s="37"/>
    </row>
    <row r="6066" spans="13:22" x14ac:dyDescent="0.2">
      <c r="M6066" s="33"/>
      <c r="N6066" s="29"/>
      <c r="O6066" s="29"/>
      <c r="P6066" s="29"/>
      <c r="Q6066" s="34"/>
      <c r="R6066" s="35"/>
      <c r="S6066" s="36"/>
      <c r="T6066" s="36"/>
      <c r="U6066" s="36"/>
      <c r="V6066" s="37"/>
    </row>
    <row r="6067" spans="13:22" x14ac:dyDescent="0.2">
      <c r="M6067" s="33"/>
      <c r="N6067" s="29"/>
      <c r="O6067" s="29"/>
      <c r="P6067" s="29"/>
      <c r="Q6067" s="34"/>
      <c r="R6067" s="35"/>
      <c r="S6067" s="36"/>
      <c r="T6067" s="36"/>
      <c r="U6067" s="36"/>
      <c r="V6067" s="37"/>
    </row>
    <row r="6068" spans="13:22" x14ac:dyDescent="0.2">
      <c r="M6068" s="33"/>
      <c r="N6068" s="29"/>
      <c r="O6068" s="29"/>
      <c r="P6068" s="29"/>
      <c r="Q6068" s="34"/>
      <c r="R6068" s="35"/>
      <c r="S6068" s="36"/>
      <c r="T6068" s="36"/>
      <c r="U6068" s="36"/>
      <c r="V6068" s="37"/>
    </row>
    <row r="6069" spans="13:22" x14ac:dyDescent="0.2">
      <c r="M6069" s="26"/>
      <c r="N6069" s="15"/>
      <c r="O6069" s="15"/>
      <c r="P6069" s="15"/>
      <c r="Q6069" s="39"/>
      <c r="R6069" s="35"/>
      <c r="S6069" s="36"/>
      <c r="T6069" s="36"/>
      <c r="U6069" s="36"/>
      <c r="V6069" s="37"/>
    </row>
    <row r="6070" spans="13:22" x14ac:dyDescent="0.2">
      <c r="M6070" s="26"/>
      <c r="N6070" s="15"/>
      <c r="O6070" s="15"/>
      <c r="P6070" s="15"/>
      <c r="Q6070" s="39"/>
      <c r="R6070" s="35"/>
      <c r="S6070" s="36"/>
      <c r="T6070" s="36"/>
      <c r="U6070" s="36"/>
      <c r="V6070" s="37"/>
    </row>
    <row r="6071" spans="13:22" x14ac:dyDescent="0.2">
      <c r="M6071" s="40"/>
      <c r="N6071" s="15"/>
      <c r="O6071" s="15"/>
      <c r="P6071" s="15"/>
      <c r="Q6071" s="39"/>
      <c r="R6071" s="35"/>
      <c r="S6071" s="36"/>
      <c r="T6071" s="36"/>
      <c r="U6071" s="36"/>
      <c r="V6071" s="37"/>
    </row>
    <row r="6072" spans="13:22" x14ac:dyDescent="0.2">
      <c r="M6072" s="40"/>
      <c r="N6072" s="15"/>
      <c r="O6072" s="15"/>
      <c r="P6072" s="15"/>
      <c r="Q6072" s="39"/>
      <c r="R6072" s="41"/>
      <c r="S6072" s="36"/>
      <c r="T6072" s="36"/>
      <c r="U6072" s="36"/>
      <c r="V6072" s="37"/>
    </row>
    <row r="6073" spans="13:22" x14ac:dyDescent="0.2">
      <c r="M6073" s="40"/>
      <c r="N6073" s="15"/>
      <c r="O6073" s="15"/>
      <c r="P6073" s="15"/>
      <c r="Q6073" s="39"/>
      <c r="R6073" s="41"/>
      <c r="S6073" s="36"/>
      <c r="T6073" s="36"/>
      <c r="U6073" s="36"/>
      <c r="V6073" s="37"/>
    </row>
    <row r="6074" spans="13:22" x14ac:dyDescent="0.2">
      <c r="M6074" s="40"/>
      <c r="N6074" s="15"/>
      <c r="O6074" s="15"/>
      <c r="P6074" s="15"/>
      <c r="Q6074" s="39"/>
      <c r="R6074" s="41"/>
      <c r="S6074" s="36"/>
      <c r="T6074" s="36"/>
      <c r="U6074" s="36"/>
      <c r="V6074" s="37"/>
    </row>
    <row r="6075" spans="13:22" x14ac:dyDescent="0.2">
      <c r="M6075" s="40"/>
      <c r="N6075" s="15"/>
      <c r="O6075" s="15"/>
      <c r="P6075" s="15"/>
      <c r="Q6075" s="39"/>
      <c r="R6075" s="41"/>
      <c r="S6075" s="36"/>
      <c r="T6075" s="36"/>
      <c r="U6075" s="36"/>
      <c r="V6075" s="37"/>
    </row>
    <row r="6076" spans="13:22" x14ac:dyDescent="0.2">
      <c r="M6076" s="40"/>
      <c r="N6076" s="15"/>
      <c r="O6076" s="15"/>
      <c r="P6076" s="15"/>
      <c r="Q6076" s="39"/>
      <c r="R6076" s="41"/>
      <c r="S6076" s="36"/>
      <c r="T6076" s="36"/>
      <c r="U6076" s="36"/>
      <c r="V6076" s="37"/>
    </row>
    <row r="6077" spans="13:22" x14ac:dyDescent="0.2">
      <c r="M6077" s="40"/>
      <c r="N6077" s="15"/>
      <c r="O6077" s="15"/>
      <c r="P6077" s="15"/>
      <c r="Q6077" s="39"/>
      <c r="R6077" s="41"/>
      <c r="S6077" s="36"/>
      <c r="T6077" s="36"/>
      <c r="U6077" s="36"/>
      <c r="V6077" s="37"/>
    </row>
    <row r="6078" spans="13:22" x14ac:dyDescent="0.2">
      <c r="M6078" s="40"/>
      <c r="N6078" s="15"/>
      <c r="O6078" s="15"/>
      <c r="P6078" s="15"/>
      <c r="Q6078" s="39"/>
      <c r="R6078" s="41"/>
      <c r="S6078" s="36"/>
      <c r="T6078" s="36"/>
      <c r="U6078" s="36"/>
      <c r="V6078" s="37"/>
    </row>
    <row r="6079" spans="13:22" x14ac:dyDescent="0.2">
      <c r="M6079" s="40"/>
      <c r="N6079" s="15"/>
      <c r="O6079" s="15"/>
      <c r="P6079" s="15"/>
      <c r="Q6079" s="39"/>
      <c r="R6079" s="41"/>
      <c r="S6079" s="36"/>
      <c r="T6079" s="36"/>
      <c r="U6079" s="36"/>
      <c r="V6079" s="37"/>
    </row>
    <row r="6080" spans="13:22" x14ac:dyDescent="0.2">
      <c r="M6080" s="40"/>
      <c r="N6080" s="15"/>
      <c r="O6080" s="15"/>
      <c r="P6080" s="15"/>
      <c r="Q6080" s="39"/>
      <c r="R6080" s="41"/>
      <c r="S6080" s="36"/>
      <c r="T6080" s="36"/>
      <c r="U6080" s="36"/>
      <c r="V6080" s="37"/>
    </row>
    <row r="6081" spans="13:22" ht="13.5" thickBot="1" x14ac:dyDescent="0.25">
      <c r="M6081" s="42"/>
      <c r="N6081" s="43"/>
      <c r="O6081" s="43"/>
      <c r="P6081" s="43"/>
      <c r="Q6081" s="44"/>
      <c r="R6081" s="41"/>
      <c r="S6081" s="46"/>
      <c r="T6081" s="46"/>
      <c r="U6081" s="46"/>
      <c r="V6081" s="47"/>
    </row>
    <row r="6082" spans="13:22" ht="13.5" thickBot="1" x14ac:dyDescent="0.25">
      <c r="M6082" s="48"/>
      <c r="N6082" s="49"/>
      <c r="O6082" s="49"/>
      <c r="P6082" s="49"/>
      <c r="Q6082" s="50"/>
      <c r="R6082" s="45"/>
      <c r="S6082" s="52"/>
      <c r="T6082" s="52"/>
      <c r="U6082" s="52"/>
      <c r="V6082" s="53"/>
    </row>
    <row r="6083" spans="13:22" x14ac:dyDescent="0.2">
      <c r="M6083" s="54"/>
      <c r="N6083" s="29"/>
      <c r="O6083" s="29"/>
      <c r="P6083" s="29"/>
      <c r="Q6083" s="34"/>
      <c r="R6083" s="51"/>
      <c r="S6083" s="36"/>
      <c r="T6083" s="36"/>
      <c r="U6083" s="36"/>
      <c r="V6083" s="37"/>
    </row>
    <row r="6084" spans="13:22" x14ac:dyDescent="0.2">
      <c r="M6084" s="33"/>
      <c r="N6084" s="29"/>
      <c r="O6084" s="29"/>
      <c r="P6084" s="29"/>
      <c r="Q6084" s="34"/>
      <c r="R6084" s="41"/>
      <c r="S6084" s="36"/>
      <c r="T6084" s="36"/>
      <c r="U6084" s="36"/>
      <c r="V6084" s="37"/>
    </row>
    <row r="6085" spans="13:22" x14ac:dyDescent="0.2">
      <c r="M6085" s="33"/>
      <c r="N6085" s="29"/>
      <c r="O6085" s="29"/>
      <c r="P6085" s="29"/>
      <c r="Q6085" s="34"/>
      <c r="R6085" s="35"/>
      <c r="S6085" s="36"/>
      <c r="T6085" s="36"/>
      <c r="U6085" s="36"/>
      <c r="V6085" s="37"/>
    </row>
    <row r="6086" spans="13:22" x14ac:dyDescent="0.2">
      <c r="M6086" s="33"/>
      <c r="N6086" s="29"/>
      <c r="O6086" s="29"/>
      <c r="P6086" s="29"/>
      <c r="Q6086" s="34"/>
      <c r="R6086" s="35"/>
      <c r="S6086" s="36"/>
      <c r="T6086" s="36"/>
      <c r="U6086" s="36"/>
      <c r="V6086" s="37"/>
    </row>
    <row r="6087" spans="13:22" x14ac:dyDescent="0.2">
      <c r="M6087" s="33"/>
      <c r="N6087" s="29"/>
      <c r="O6087" s="29"/>
      <c r="P6087" s="29"/>
      <c r="Q6087" s="34"/>
      <c r="R6087" s="35"/>
      <c r="S6087" s="36"/>
      <c r="T6087" s="36"/>
      <c r="U6087" s="36"/>
      <c r="V6087" s="37"/>
    </row>
    <row r="6088" spans="13:22" x14ac:dyDescent="0.2">
      <c r="M6088" s="33"/>
      <c r="N6088" s="29"/>
      <c r="O6088" s="29"/>
      <c r="P6088" s="29"/>
      <c r="Q6088" s="34"/>
      <c r="R6088" s="35"/>
      <c r="S6088" s="36"/>
      <c r="T6088" s="36"/>
      <c r="U6088" s="36"/>
      <c r="V6088" s="37"/>
    </row>
    <row r="6089" spans="13:22" x14ac:dyDescent="0.2">
      <c r="M6089" s="33"/>
      <c r="N6089" s="29"/>
      <c r="O6089" s="29"/>
      <c r="P6089" s="29"/>
      <c r="Q6089" s="38"/>
      <c r="R6089" s="35"/>
      <c r="S6089" s="36"/>
      <c r="T6089" s="36"/>
      <c r="U6089" s="36"/>
      <c r="V6089" s="37"/>
    </row>
    <row r="6090" spans="13:22" x14ac:dyDescent="0.2">
      <c r="M6090" s="33"/>
      <c r="N6090" s="29"/>
      <c r="O6090" s="29"/>
      <c r="P6090" s="29"/>
      <c r="Q6090" s="34"/>
      <c r="R6090" s="35"/>
      <c r="S6090" s="36"/>
      <c r="T6090" s="36"/>
      <c r="U6090" s="36"/>
      <c r="V6090" s="37"/>
    </row>
    <row r="6091" spans="13:22" x14ac:dyDescent="0.2">
      <c r="M6091" s="33"/>
      <c r="N6091" s="29"/>
      <c r="O6091" s="29"/>
      <c r="P6091" s="29"/>
      <c r="Q6091" s="34"/>
      <c r="R6091" s="35"/>
      <c r="S6091" s="36"/>
      <c r="T6091" s="36"/>
      <c r="U6091" s="36"/>
      <c r="V6091" s="37"/>
    </row>
    <row r="6092" spans="13:22" x14ac:dyDescent="0.2">
      <c r="M6092" s="33"/>
      <c r="N6092" s="29"/>
      <c r="O6092" s="29"/>
      <c r="P6092" s="29"/>
      <c r="Q6092" s="34"/>
      <c r="R6092" s="35"/>
      <c r="S6092" s="36"/>
      <c r="T6092" s="36"/>
      <c r="U6092" s="36"/>
      <c r="V6092" s="37"/>
    </row>
    <row r="6093" spans="13:22" x14ac:dyDescent="0.2">
      <c r="M6093" s="33"/>
      <c r="N6093" s="29"/>
      <c r="O6093" s="29"/>
      <c r="P6093" s="29"/>
      <c r="Q6093" s="34"/>
      <c r="R6093" s="35"/>
      <c r="S6093" s="36"/>
      <c r="T6093" s="36"/>
      <c r="U6093" s="36"/>
      <c r="V6093" s="37"/>
    </row>
    <row r="6094" spans="13:22" x14ac:dyDescent="0.2">
      <c r="M6094" s="26"/>
      <c r="N6094" s="15"/>
      <c r="O6094" s="15"/>
      <c r="P6094" s="15"/>
      <c r="Q6094" s="39"/>
      <c r="R6094" s="35"/>
      <c r="S6094" s="36"/>
      <c r="T6094" s="36"/>
      <c r="U6094" s="36"/>
      <c r="V6094" s="37"/>
    </row>
    <row r="6095" spans="13:22" x14ac:dyDescent="0.2">
      <c r="M6095" s="26"/>
      <c r="N6095" s="15"/>
      <c r="O6095" s="15"/>
      <c r="P6095" s="15"/>
      <c r="Q6095" s="39"/>
      <c r="R6095" s="35"/>
      <c r="S6095" s="36"/>
      <c r="T6095" s="36"/>
      <c r="U6095" s="36"/>
      <c r="V6095" s="37"/>
    </row>
    <row r="6096" spans="13:22" x14ac:dyDescent="0.2">
      <c r="M6096" s="40"/>
      <c r="N6096" s="15"/>
      <c r="O6096" s="15"/>
      <c r="P6096" s="15"/>
      <c r="Q6096" s="39"/>
      <c r="R6096" s="35"/>
      <c r="S6096" s="36"/>
      <c r="T6096" s="36"/>
      <c r="U6096" s="36"/>
      <c r="V6096" s="37"/>
    </row>
    <row r="6097" spans="13:22" x14ac:dyDescent="0.2">
      <c r="M6097" s="40"/>
      <c r="N6097" s="15"/>
      <c r="O6097" s="15"/>
      <c r="P6097" s="15"/>
      <c r="Q6097" s="39"/>
      <c r="R6097" s="41"/>
      <c r="S6097" s="36"/>
      <c r="T6097" s="36"/>
      <c r="U6097" s="36"/>
      <c r="V6097" s="37"/>
    </row>
    <row r="6098" spans="13:22" x14ac:dyDescent="0.2">
      <c r="M6098" s="40"/>
      <c r="N6098" s="15"/>
      <c r="O6098" s="15"/>
      <c r="P6098" s="15"/>
      <c r="Q6098" s="39"/>
      <c r="R6098" s="41"/>
      <c r="S6098" s="36"/>
      <c r="T6098" s="36"/>
      <c r="U6098" s="36"/>
      <c r="V6098" s="37"/>
    </row>
    <row r="6099" spans="13:22" x14ac:dyDescent="0.2">
      <c r="M6099" s="40"/>
      <c r="N6099" s="15"/>
      <c r="O6099" s="15"/>
      <c r="P6099" s="15"/>
      <c r="Q6099" s="39"/>
      <c r="R6099" s="41"/>
      <c r="S6099" s="36"/>
      <c r="T6099" s="36"/>
      <c r="U6099" s="36"/>
      <c r="V6099" s="37"/>
    </row>
    <row r="6100" spans="13:22" x14ac:dyDescent="0.2">
      <c r="M6100" s="40"/>
      <c r="N6100" s="15"/>
      <c r="O6100" s="15"/>
      <c r="P6100" s="15"/>
      <c r="Q6100" s="39"/>
      <c r="R6100" s="41"/>
      <c r="S6100" s="36"/>
      <c r="T6100" s="36"/>
      <c r="U6100" s="36"/>
      <c r="V6100" s="37"/>
    </row>
    <row r="6101" spans="13:22" x14ac:dyDescent="0.2">
      <c r="M6101" s="40"/>
      <c r="N6101" s="15"/>
      <c r="O6101" s="15"/>
      <c r="P6101" s="15"/>
      <c r="Q6101" s="39"/>
      <c r="R6101" s="41"/>
      <c r="S6101" s="36"/>
      <c r="T6101" s="36"/>
      <c r="U6101" s="36"/>
      <c r="V6101" s="37"/>
    </row>
    <row r="6102" spans="13:22" x14ac:dyDescent="0.2">
      <c r="M6102" s="40"/>
      <c r="N6102" s="15"/>
      <c r="O6102" s="15"/>
      <c r="P6102" s="15"/>
      <c r="Q6102" s="39"/>
      <c r="R6102" s="41"/>
      <c r="S6102" s="36"/>
      <c r="T6102" s="36"/>
      <c r="U6102" s="36"/>
      <c r="V6102" s="37"/>
    </row>
    <row r="6103" spans="13:22" x14ac:dyDescent="0.2">
      <c r="M6103" s="40"/>
      <c r="N6103" s="15"/>
      <c r="O6103" s="15"/>
      <c r="P6103" s="15"/>
      <c r="Q6103" s="39"/>
      <c r="R6103" s="41"/>
      <c r="S6103" s="36"/>
      <c r="T6103" s="36"/>
      <c r="U6103" s="36"/>
      <c r="V6103" s="37"/>
    </row>
    <row r="6104" spans="13:22" x14ac:dyDescent="0.2">
      <c r="M6104" s="40"/>
      <c r="N6104" s="15"/>
      <c r="O6104" s="15"/>
      <c r="P6104" s="15"/>
      <c r="Q6104" s="39"/>
      <c r="R6104" s="41"/>
      <c r="S6104" s="36"/>
      <c r="T6104" s="36"/>
      <c r="U6104" s="36"/>
      <c r="V6104" s="37"/>
    </row>
    <row r="6105" spans="13:22" x14ac:dyDescent="0.2">
      <c r="M6105" s="40"/>
      <c r="N6105" s="15"/>
      <c r="O6105" s="15"/>
      <c r="P6105" s="15"/>
      <c r="Q6105" s="39"/>
      <c r="R6105" s="41"/>
      <c r="S6105" s="36"/>
      <c r="T6105" s="36"/>
      <c r="U6105" s="36"/>
      <c r="V6105" s="37"/>
    </row>
    <row r="6106" spans="13:22" ht="13.5" thickBot="1" x14ac:dyDescent="0.25">
      <c r="M6106" s="42"/>
      <c r="N6106" s="43"/>
      <c r="O6106" s="43"/>
      <c r="P6106" s="43"/>
      <c r="Q6106" s="44"/>
      <c r="R6106" s="41"/>
      <c r="S6106" s="46"/>
      <c r="T6106" s="46"/>
      <c r="U6106" s="46"/>
      <c r="V6106" s="47"/>
    </row>
    <row r="6107" spans="13:22" ht="13.5" thickBot="1" x14ac:dyDescent="0.25">
      <c r="M6107" s="48"/>
      <c r="N6107" s="49"/>
      <c r="O6107" s="49"/>
      <c r="P6107" s="49"/>
      <c r="Q6107" s="50"/>
      <c r="R6107" s="45"/>
      <c r="S6107" s="52"/>
      <c r="T6107" s="52"/>
      <c r="U6107" s="52"/>
      <c r="V6107" s="53"/>
    </row>
    <row r="6108" spans="13:22" x14ac:dyDescent="0.2">
      <c r="M6108" s="54"/>
      <c r="N6108" s="29"/>
      <c r="O6108" s="29"/>
      <c r="P6108" s="29"/>
      <c r="Q6108" s="34"/>
      <c r="R6108" s="51"/>
      <c r="S6108" s="36"/>
      <c r="T6108" s="36"/>
      <c r="U6108" s="36"/>
      <c r="V6108" s="37"/>
    </row>
    <row r="6109" spans="13:22" x14ac:dyDescent="0.2">
      <c r="M6109" s="33"/>
      <c r="N6109" s="29"/>
      <c r="O6109" s="29"/>
      <c r="P6109" s="29"/>
      <c r="Q6109" s="34"/>
      <c r="R6109" s="41"/>
      <c r="S6109" s="36"/>
      <c r="T6109" s="36"/>
      <c r="U6109" s="36"/>
      <c r="V6109" s="37"/>
    </row>
    <row r="6110" spans="13:22" x14ac:dyDescent="0.2">
      <c r="M6110" s="33"/>
      <c r="N6110" s="29"/>
      <c r="O6110" s="29"/>
      <c r="P6110" s="29"/>
      <c r="Q6110" s="34"/>
      <c r="R6110" s="35"/>
      <c r="S6110" s="36"/>
      <c r="T6110" s="36"/>
      <c r="U6110" s="36"/>
      <c r="V6110" s="37"/>
    </row>
    <row r="6111" spans="13:22" x14ac:dyDescent="0.2">
      <c r="M6111" s="33"/>
      <c r="N6111" s="29"/>
      <c r="O6111" s="29"/>
      <c r="P6111" s="29"/>
      <c r="Q6111" s="34"/>
      <c r="R6111" s="35"/>
      <c r="S6111" s="36"/>
      <c r="T6111" s="36"/>
      <c r="U6111" s="36"/>
      <c r="V6111" s="37"/>
    </row>
    <row r="6112" spans="13:22" x14ac:dyDescent="0.2">
      <c r="M6112" s="33"/>
      <c r="N6112" s="29"/>
      <c r="O6112" s="29"/>
      <c r="P6112" s="29"/>
      <c r="Q6112" s="34"/>
      <c r="R6112" s="35"/>
      <c r="S6112" s="36"/>
      <c r="T6112" s="36"/>
      <c r="U6112" s="36"/>
      <c r="V6112" s="37"/>
    </row>
    <row r="6113" spans="13:22" x14ac:dyDescent="0.2">
      <c r="M6113" s="33"/>
      <c r="N6113" s="29"/>
      <c r="O6113" s="29"/>
      <c r="P6113" s="29"/>
      <c r="Q6113" s="34"/>
      <c r="R6113" s="35"/>
      <c r="S6113" s="36"/>
      <c r="T6113" s="36"/>
      <c r="U6113" s="36"/>
      <c r="V6113" s="37"/>
    </row>
    <row r="6114" spans="13:22" x14ac:dyDescent="0.2">
      <c r="M6114" s="33"/>
      <c r="N6114" s="29"/>
      <c r="O6114" s="29"/>
      <c r="P6114" s="29"/>
      <c r="Q6114" s="38"/>
      <c r="R6114" s="35"/>
      <c r="S6114" s="36"/>
      <c r="T6114" s="36"/>
      <c r="U6114" s="36"/>
      <c r="V6114" s="37"/>
    </row>
    <row r="6115" spans="13:22" x14ac:dyDescent="0.2">
      <c r="M6115" s="33"/>
      <c r="N6115" s="29"/>
      <c r="O6115" s="29"/>
      <c r="P6115" s="29"/>
      <c r="Q6115" s="34"/>
      <c r="R6115" s="35"/>
      <c r="S6115" s="36"/>
      <c r="T6115" s="36"/>
      <c r="U6115" s="36"/>
      <c r="V6115" s="37"/>
    </row>
    <row r="6116" spans="13:22" x14ac:dyDescent="0.2">
      <c r="M6116" s="33"/>
      <c r="N6116" s="29"/>
      <c r="O6116" s="29"/>
      <c r="P6116" s="29"/>
      <c r="Q6116" s="34"/>
      <c r="R6116" s="35"/>
      <c r="S6116" s="36"/>
      <c r="T6116" s="36"/>
      <c r="U6116" s="36"/>
      <c r="V6116" s="37"/>
    </row>
    <row r="6117" spans="13:22" x14ac:dyDescent="0.2">
      <c r="M6117" s="33"/>
      <c r="N6117" s="29"/>
      <c r="O6117" s="29"/>
      <c r="P6117" s="29"/>
      <c r="Q6117" s="34"/>
      <c r="R6117" s="35"/>
      <c r="S6117" s="36"/>
      <c r="T6117" s="36"/>
      <c r="U6117" s="36"/>
      <c r="V6117" s="37"/>
    </row>
    <row r="6118" spans="13:22" x14ac:dyDescent="0.2">
      <c r="M6118" s="33"/>
      <c r="N6118" s="29"/>
      <c r="O6118" s="29"/>
      <c r="P6118" s="29"/>
      <c r="Q6118" s="34"/>
      <c r="R6118" s="35"/>
      <c r="S6118" s="36"/>
      <c r="T6118" s="36"/>
      <c r="U6118" s="36"/>
      <c r="V6118" s="37"/>
    </row>
    <row r="6119" spans="13:22" x14ac:dyDescent="0.2">
      <c r="M6119" s="26"/>
      <c r="N6119" s="15"/>
      <c r="O6119" s="15"/>
      <c r="P6119" s="15"/>
      <c r="Q6119" s="39"/>
      <c r="R6119" s="35"/>
      <c r="S6119" s="36"/>
      <c r="T6119" s="36"/>
      <c r="U6119" s="36"/>
      <c r="V6119" s="37"/>
    </row>
    <row r="6120" spans="13:22" x14ac:dyDescent="0.2">
      <c r="M6120" s="26"/>
      <c r="N6120" s="15"/>
      <c r="O6120" s="15"/>
      <c r="P6120" s="15"/>
      <c r="Q6120" s="39"/>
      <c r="R6120" s="35"/>
      <c r="S6120" s="36"/>
      <c r="T6120" s="36"/>
      <c r="U6120" s="36"/>
      <c r="V6120" s="37"/>
    </row>
    <row r="6121" spans="13:22" x14ac:dyDescent="0.2">
      <c r="M6121" s="40"/>
      <c r="N6121" s="15"/>
      <c r="O6121" s="15"/>
      <c r="P6121" s="15"/>
      <c r="Q6121" s="39"/>
      <c r="R6121" s="35"/>
      <c r="S6121" s="36"/>
      <c r="T6121" s="36"/>
      <c r="U6121" s="36"/>
      <c r="V6121" s="37"/>
    </row>
    <row r="6122" spans="13:22" x14ac:dyDescent="0.2">
      <c r="M6122" s="40"/>
      <c r="N6122" s="15"/>
      <c r="O6122" s="15"/>
      <c r="P6122" s="15"/>
      <c r="Q6122" s="39"/>
      <c r="R6122" s="41"/>
      <c r="S6122" s="36"/>
      <c r="T6122" s="36"/>
      <c r="U6122" s="36"/>
      <c r="V6122" s="37"/>
    </row>
    <row r="6123" spans="13:22" x14ac:dyDescent="0.2">
      <c r="M6123" s="40"/>
      <c r="N6123" s="15"/>
      <c r="O6123" s="15"/>
      <c r="P6123" s="15"/>
      <c r="Q6123" s="39"/>
      <c r="R6123" s="41"/>
      <c r="S6123" s="36"/>
      <c r="T6123" s="36"/>
      <c r="U6123" s="36"/>
      <c r="V6123" s="37"/>
    </row>
    <row r="6124" spans="13:22" x14ac:dyDescent="0.2">
      <c r="M6124" s="40"/>
      <c r="N6124" s="15"/>
      <c r="O6124" s="15"/>
      <c r="P6124" s="15"/>
      <c r="Q6124" s="39"/>
      <c r="R6124" s="41"/>
      <c r="S6124" s="36"/>
      <c r="T6124" s="36"/>
      <c r="U6124" s="36"/>
      <c r="V6124" s="37"/>
    </row>
    <row r="6125" spans="13:22" x14ac:dyDescent="0.2">
      <c r="M6125" s="40"/>
      <c r="N6125" s="15"/>
      <c r="O6125" s="15"/>
      <c r="P6125" s="15"/>
      <c r="Q6125" s="39"/>
      <c r="R6125" s="41"/>
      <c r="S6125" s="36"/>
      <c r="T6125" s="36"/>
      <c r="U6125" s="36"/>
      <c r="V6125" s="37"/>
    </row>
    <row r="6126" spans="13:22" x14ac:dyDescent="0.2">
      <c r="M6126" s="40"/>
      <c r="N6126" s="15"/>
      <c r="O6126" s="15"/>
      <c r="P6126" s="15"/>
      <c r="Q6126" s="39"/>
      <c r="R6126" s="41"/>
      <c r="S6126" s="36"/>
      <c r="T6126" s="36"/>
      <c r="U6126" s="36"/>
      <c r="V6126" s="37"/>
    </row>
    <row r="6127" spans="13:22" x14ac:dyDescent="0.2">
      <c r="M6127" s="40"/>
      <c r="N6127" s="15"/>
      <c r="O6127" s="15"/>
      <c r="P6127" s="15"/>
      <c r="Q6127" s="39"/>
      <c r="R6127" s="41"/>
      <c r="S6127" s="36"/>
      <c r="T6127" s="36"/>
      <c r="U6127" s="36"/>
      <c r="V6127" s="37"/>
    </row>
    <row r="6128" spans="13:22" x14ac:dyDescent="0.2">
      <c r="M6128" s="40"/>
      <c r="N6128" s="15"/>
      <c r="O6128" s="15"/>
      <c r="P6128" s="15"/>
      <c r="Q6128" s="39"/>
      <c r="R6128" s="41"/>
      <c r="S6128" s="36"/>
      <c r="T6128" s="36"/>
      <c r="U6128" s="36"/>
      <c r="V6128" s="37"/>
    </row>
    <row r="6129" spans="13:22" x14ac:dyDescent="0.2">
      <c r="M6129" s="40"/>
      <c r="N6129" s="15"/>
      <c r="O6129" s="15"/>
      <c r="P6129" s="15"/>
      <c r="Q6129" s="39"/>
      <c r="R6129" s="41"/>
      <c r="S6129" s="36"/>
      <c r="T6129" s="36"/>
      <c r="U6129" s="36"/>
      <c r="V6129" s="37"/>
    </row>
    <row r="6130" spans="13:22" x14ac:dyDescent="0.2">
      <c r="M6130" s="40"/>
      <c r="N6130" s="15"/>
      <c r="O6130" s="15"/>
      <c r="P6130" s="15"/>
      <c r="Q6130" s="39"/>
      <c r="R6130" s="41"/>
      <c r="S6130" s="36"/>
      <c r="T6130" s="36"/>
      <c r="U6130" s="36"/>
      <c r="V6130" s="37"/>
    </row>
    <row r="6131" spans="13:22" ht="13.5" thickBot="1" x14ac:dyDescent="0.25">
      <c r="M6131" s="42"/>
      <c r="N6131" s="43"/>
      <c r="O6131" s="43"/>
      <c r="P6131" s="43"/>
      <c r="Q6131" s="44"/>
      <c r="R6131" s="41"/>
      <c r="S6131" s="46"/>
      <c r="T6131" s="46"/>
      <c r="U6131" s="46"/>
      <c r="V6131" s="47"/>
    </row>
    <row r="6132" spans="13:22" ht="13.5" thickBot="1" x14ac:dyDescent="0.25">
      <c r="M6132" s="48"/>
      <c r="N6132" s="49"/>
      <c r="O6132" s="49"/>
      <c r="P6132" s="49"/>
      <c r="Q6132" s="50"/>
      <c r="R6132" s="45"/>
      <c r="S6132" s="52"/>
      <c r="T6132" s="52"/>
      <c r="U6132" s="52"/>
      <c r="V6132" s="53"/>
    </row>
    <row r="6133" spans="13:22" x14ac:dyDescent="0.2">
      <c r="M6133" s="54"/>
      <c r="N6133" s="29"/>
      <c r="O6133" s="29"/>
      <c r="P6133" s="29"/>
      <c r="Q6133" s="34"/>
      <c r="R6133" s="51"/>
      <c r="S6133" s="36"/>
      <c r="T6133" s="36"/>
      <c r="U6133" s="36"/>
      <c r="V6133" s="37"/>
    </row>
    <row r="6134" spans="13:22" x14ac:dyDescent="0.2">
      <c r="M6134" s="33"/>
      <c r="N6134" s="29"/>
      <c r="O6134" s="29"/>
      <c r="P6134" s="29"/>
      <c r="Q6134" s="34"/>
      <c r="R6134" s="41"/>
      <c r="S6134" s="36"/>
      <c r="T6134" s="36"/>
      <c r="U6134" s="36"/>
      <c r="V6134" s="37"/>
    </row>
    <row r="6135" spans="13:22" x14ac:dyDescent="0.2">
      <c r="M6135" s="33"/>
      <c r="N6135" s="29"/>
      <c r="O6135" s="29"/>
      <c r="P6135" s="29"/>
      <c r="Q6135" s="34"/>
      <c r="R6135" s="35"/>
      <c r="S6135" s="36"/>
      <c r="T6135" s="36"/>
      <c r="U6135" s="36"/>
      <c r="V6135" s="37"/>
    </row>
    <row r="6136" spans="13:22" x14ac:dyDescent="0.2">
      <c r="M6136" s="33"/>
      <c r="N6136" s="29"/>
      <c r="O6136" s="29"/>
      <c r="P6136" s="29"/>
      <c r="Q6136" s="34"/>
      <c r="R6136" s="35"/>
      <c r="S6136" s="36"/>
      <c r="T6136" s="36"/>
      <c r="U6136" s="36"/>
      <c r="V6136" s="37"/>
    </row>
    <row r="6137" spans="13:22" x14ac:dyDescent="0.2">
      <c r="M6137" s="33"/>
      <c r="N6137" s="29"/>
      <c r="O6137" s="29"/>
      <c r="P6137" s="29"/>
      <c r="Q6137" s="34"/>
      <c r="R6137" s="35"/>
      <c r="S6137" s="36"/>
      <c r="T6137" s="36"/>
      <c r="U6137" s="36"/>
      <c r="V6137" s="37"/>
    </row>
    <row r="6138" spans="13:22" x14ac:dyDescent="0.2">
      <c r="M6138" s="33"/>
      <c r="N6138" s="29"/>
      <c r="O6138" s="29"/>
      <c r="P6138" s="29"/>
      <c r="Q6138" s="34"/>
      <c r="R6138" s="35"/>
      <c r="S6138" s="36"/>
      <c r="T6138" s="36"/>
      <c r="U6138" s="36"/>
      <c r="V6138" s="37"/>
    </row>
    <row r="6139" spans="13:22" x14ac:dyDescent="0.2">
      <c r="M6139" s="33"/>
      <c r="N6139" s="29"/>
      <c r="O6139" s="29"/>
      <c r="P6139" s="29"/>
      <c r="Q6139" s="38"/>
      <c r="R6139" s="35"/>
      <c r="S6139" s="36"/>
      <c r="T6139" s="36"/>
      <c r="U6139" s="36"/>
      <c r="V6139" s="37"/>
    </row>
    <row r="6140" spans="13:22" x14ac:dyDescent="0.2">
      <c r="M6140" s="33"/>
      <c r="N6140" s="29"/>
      <c r="O6140" s="29"/>
      <c r="P6140" s="29"/>
      <c r="Q6140" s="34"/>
      <c r="R6140" s="35"/>
      <c r="S6140" s="36"/>
      <c r="T6140" s="36"/>
      <c r="U6140" s="36"/>
      <c r="V6140" s="37"/>
    </row>
    <row r="6141" spans="13:22" x14ac:dyDescent="0.2">
      <c r="M6141" s="33"/>
      <c r="N6141" s="29"/>
      <c r="O6141" s="29"/>
      <c r="P6141" s="29"/>
      <c r="Q6141" s="34"/>
      <c r="R6141" s="35"/>
      <c r="S6141" s="36"/>
      <c r="T6141" s="36"/>
      <c r="U6141" s="36"/>
      <c r="V6141" s="37"/>
    </row>
    <row r="6142" spans="13:22" x14ac:dyDescent="0.2">
      <c r="M6142" s="33"/>
      <c r="N6142" s="29"/>
      <c r="O6142" s="29"/>
      <c r="P6142" s="29"/>
      <c r="Q6142" s="34"/>
      <c r="R6142" s="35"/>
      <c r="S6142" s="36"/>
      <c r="T6142" s="36"/>
      <c r="U6142" s="36"/>
      <c r="V6142" s="37"/>
    </row>
    <row r="6143" spans="13:22" x14ac:dyDescent="0.2">
      <c r="M6143" s="33"/>
      <c r="N6143" s="29"/>
      <c r="O6143" s="29"/>
      <c r="P6143" s="29"/>
      <c r="Q6143" s="34"/>
      <c r="R6143" s="35"/>
      <c r="S6143" s="36"/>
      <c r="T6143" s="36"/>
      <c r="U6143" s="36"/>
      <c r="V6143" s="37"/>
    </row>
    <row r="6144" spans="13:22" x14ac:dyDescent="0.2">
      <c r="M6144" s="26"/>
      <c r="N6144" s="15"/>
      <c r="O6144" s="15"/>
      <c r="P6144" s="15"/>
      <c r="Q6144" s="39"/>
      <c r="R6144" s="35"/>
      <c r="S6144" s="36"/>
      <c r="T6144" s="36"/>
      <c r="U6144" s="36"/>
      <c r="V6144" s="37"/>
    </row>
    <row r="6145" spans="13:22" x14ac:dyDescent="0.2">
      <c r="M6145" s="26"/>
      <c r="N6145" s="15"/>
      <c r="O6145" s="15"/>
      <c r="P6145" s="15"/>
      <c r="Q6145" s="39"/>
      <c r="R6145" s="35"/>
      <c r="S6145" s="36"/>
      <c r="T6145" s="36"/>
      <c r="U6145" s="36"/>
      <c r="V6145" s="37"/>
    </row>
    <row r="6146" spans="13:22" x14ac:dyDescent="0.2">
      <c r="M6146" s="40"/>
      <c r="N6146" s="15"/>
      <c r="O6146" s="15"/>
      <c r="P6146" s="15"/>
      <c r="Q6146" s="39"/>
      <c r="R6146" s="35"/>
      <c r="S6146" s="36"/>
      <c r="T6146" s="36"/>
      <c r="U6146" s="36"/>
      <c r="V6146" s="37"/>
    </row>
    <row r="6147" spans="13:22" x14ac:dyDescent="0.2">
      <c r="M6147" s="40"/>
      <c r="N6147" s="15"/>
      <c r="O6147" s="15"/>
      <c r="P6147" s="15"/>
      <c r="Q6147" s="39"/>
      <c r="R6147" s="41"/>
      <c r="S6147" s="36"/>
      <c r="T6147" s="36"/>
      <c r="U6147" s="36"/>
      <c r="V6147" s="37"/>
    </row>
    <row r="6148" spans="13:22" x14ac:dyDescent="0.2">
      <c r="M6148" s="40"/>
      <c r="N6148" s="15"/>
      <c r="O6148" s="15"/>
      <c r="P6148" s="15"/>
      <c r="Q6148" s="39"/>
      <c r="R6148" s="41"/>
      <c r="S6148" s="36"/>
      <c r="T6148" s="36"/>
      <c r="U6148" s="36"/>
      <c r="V6148" s="37"/>
    </row>
    <row r="6149" spans="13:22" x14ac:dyDescent="0.2">
      <c r="M6149" s="40"/>
      <c r="N6149" s="15"/>
      <c r="O6149" s="15"/>
      <c r="P6149" s="15"/>
      <c r="Q6149" s="39"/>
      <c r="R6149" s="41"/>
      <c r="S6149" s="36"/>
      <c r="T6149" s="36"/>
      <c r="U6149" s="36"/>
      <c r="V6149" s="37"/>
    </row>
    <row r="6150" spans="13:22" x14ac:dyDescent="0.2">
      <c r="M6150" s="40"/>
      <c r="N6150" s="15"/>
      <c r="O6150" s="15"/>
      <c r="P6150" s="15"/>
      <c r="Q6150" s="39"/>
      <c r="R6150" s="41"/>
      <c r="S6150" s="36"/>
      <c r="T6150" s="36"/>
      <c r="U6150" s="36"/>
      <c r="V6150" s="37"/>
    </row>
    <row r="6151" spans="13:22" x14ac:dyDescent="0.2">
      <c r="M6151" s="40"/>
      <c r="N6151" s="15"/>
      <c r="O6151" s="15"/>
      <c r="P6151" s="15"/>
      <c r="Q6151" s="39"/>
      <c r="R6151" s="41"/>
      <c r="S6151" s="36"/>
      <c r="T6151" s="36"/>
      <c r="U6151" s="36"/>
      <c r="V6151" s="37"/>
    </row>
    <row r="6152" spans="13:22" x14ac:dyDescent="0.2">
      <c r="M6152" s="40"/>
      <c r="N6152" s="15"/>
      <c r="O6152" s="15"/>
      <c r="P6152" s="15"/>
      <c r="Q6152" s="39"/>
      <c r="R6152" s="41"/>
      <c r="S6152" s="36"/>
      <c r="T6152" s="36"/>
      <c r="U6152" s="36"/>
      <c r="V6152" s="37"/>
    </row>
    <row r="6153" spans="13:22" x14ac:dyDescent="0.2">
      <c r="M6153" s="40"/>
      <c r="N6153" s="15"/>
      <c r="O6153" s="15"/>
      <c r="P6153" s="15"/>
      <c r="Q6153" s="39"/>
      <c r="R6153" s="41"/>
      <c r="S6153" s="36"/>
      <c r="T6153" s="36"/>
      <c r="U6153" s="36"/>
      <c r="V6153" s="37"/>
    </row>
    <row r="6154" spans="13:22" x14ac:dyDescent="0.2">
      <c r="M6154" s="40"/>
      <c r="N6154" s="15"/>
      <c r="O6154" s="15"/>
      <c r="P6154" s="15"/>
      <c r="Q6154" s="39"/>
      <c r="R6154" s="41"/>
      <c r="S6154" s="36"/>
      <c r="T6154" s="36"/>
      <c r="U6154" s="36"/>
      <c r="V6154" s="37"/>
    </row>
    <row r="6155" spans="13:22" x14ac:dyDescent="0.2">
      <c r="M6155" s="40"/>
      <c r="N6155" s="15"/>
      <c r="O6155" s="15"/>
      <c r="P6155" s="15"/>
      <c r="Q6155" s="39"/>
      <c r="R6155" s="41"/>
      <c r="S6155" s="36"/>
      <c r="T6155" s="36"/>
      <c r="U6155" s="36"/>
      <c r="V6155" s="37"/>
    </row>
    <row r="6156" spans="13:22" ht="13.5" thickBot="1" x14ac:dyDescent="0.25">
      <c r="M6156" s="42"/>
      <c r="N6156" s="43"/>
      <c r="O6156" s="43"/>
      <c r="P6156" s="43"/>
      <c r="Q6156" s="44"/>
      <c r="R6156" s="41"/>
      <c r="S6156" s="46"/>
      <c r="T6156" s="46"/>
      <c r="U6156" s="46"/>
      <c r="V6156" s="47"/>
    </row>
    <row r="6157" spans="13:22" ht="13.5" thickBot="1" x14ac:dyDescent="0.25">
      <c r="M6157" s="48"/>
      <c r="N6157" s="49"/>
      <c r="O6157" s="49"/>
      <c r="P6157" s="49"/>
      <c r="Q6157" s="50"/>
      <c r="R6157" s="45"/>
      <c r="S6157" s="52"/>
      <c r="T6157" s="52"/>
      <c r="U6157" s="52"/>
      <c r="V6157" s="53"/>
    </row>
    <row r="6158" spans="13:22" x14ac:dyDescent="0.2">
      <c r="M6158" s="54"/>
      <c r="N6158" s="29"/>
      <c r="O6158" s="29"/>
      <c r="P6158" s="29"/>
      <c r="Q6158" s="34"/>
      <c r="R6158" s="51"/>
      <c r="S6158" s="36"/>
      <c r="T6158" s="36"/>
      <c r="U6158" s="36"/>
      <c r="V6158" s="37"/>
    </row>
    <row r="6159" spans="13:22" x14ac:dyDescent="0.2">
      <c r="M6159" s="33"/>
      <c r="N6159" s="29"/>
      <c r="O6159" s="29"/>
      <c r="P6159" s="29"/>
      <c r="Q6159" s="34"/>
      <c r="R6159" s="41"/>
      <c r="S6159" s="36"/>
      <c r="T6159" s="36"/>
      <c r="U6159" s="36"/>
      <c r="V6159" s="37"/>
    </row>
    <row r="6160" spans="13:22" x14ac:dyDescent="0.2">
      <c r="M6160" s="33"/>
      <c r="N6160" s="29"/>
      <c r="O6160" s="29"/>
      <c r="P6160" s="29"/>
      <c r="Q6160" s="34"/>
      <c r="R6160" s="35"/>
      <c r="S6160" s="36"/>
      <c r="T6160" s="36"/>
      <c r="U6160" s="36"/>
      <c r="V6160" s="37"/>
    </row>
    <row r="6161" spans="13:22" x14ac:dyDescent="0.2">
      <c r="M6161" s="33"/>
      <c r="N6161" s="29"/>
      <c r="O6161" s="29"/>
      <c r="P6161" s="29"/>
      <c r="Q6161" s="34"/>
      <c r="R6161" s="35"/>
      <c r="S6161" s="36"/>
      <c r="T6161" s="36"/>
      <c r="U6161" s="36"/>
      <c r="V6161" s="37"/>
    </row>
    <row r="6162" spans="13:22" x14ac:dyDescent="0.2">
      <c r="M6162" s="33"/>
      <c r="N6162" s="29"/>
      <c r="O6162" s="29"/>
      <c r="P6162" s="29"/>
      <c r="Q6162" s="34"/>
      <c r="R6162" s="35"/>
      <c r="S6162" s="36"/>
      <c r="T6162" s="36"/>
      <c r="U6162" s="36"/>
      <c r="V6162" s="37"/>
    </row>
    <row r="6163" spans="13:22" x14ac:dyDescent="0.2">
      <c r="M6163" s="33"/>
      <c r="N6163" s="29"/>
      <c r="O6163" s="29"/>
      <c r="P6163" s="29"/>
      <c r="Q6163" s="34"/>
      <c r="R6163" s="35"/>
      <c r="S6163" s="36"/>
      <c r="T6163" s="36"/>
      <c r="U6163" s="36"/>
      <c r="V6163" s="37"/>
    </row>
    <row r="6164" spans="13:22" x14ac:dyDescent="0.2">
      <c r="M6164" s="33"/>
      <c r="N6164" s="29"/>
      <c r="O6164" s="29"/>
      <c r="P6164" s="29"/>
      <c r="Q6164" s="38"/>
      <c r="R6164" s="35"/>
      <c r="S6164" s="36"/>
      <c r="T6164" s="36"/>
      <c r="U6164" s="36"/>
      <c r="V6164" s="37"/>
    </row>
    <row r="6165" spans="13:22" x14ac:dyDescent="0.2">
      <c r="M6165" s="33"/>
      <c r="N6165" s="29"/>
      <c r="O6165" s="29"/>
      <c r="P6165" s="29"/>
      <c r="Q6165" s="34"/>
      <c r="R6165" s="35"/>
      <c r="S6165" s="36"/>
      <c r="T6165" s="36"/>
      <c r="U6165" s="36"/>
      <c r="V6165" s="37"/>
    </row>
    <row r="6166" spans="13:22" x14ac:dyDescent="0.2">
      <c r="M6166" s="33"/>
      <c r="N6166" s="29"/>
      <c r="O6166" s="29"/>
      <c r="P6166" s="29"/>
      <c r="Q6166" s="34"/>
      <c r="R6166" s="35"/>
      <c r="S6166" s="36"/>
      <c r="T6166" s="36"/>
      <c r="U6166" s="36"/>
      <c r="V6166" s="37"/>
    </row>
    <row r="6167" spans="13:22" x14ac:dyDescent="0.2">
      <c r="M6167" s="33"/>
      <c r="N6167" s="29"/>
      <c r="O6167" s="29"/>
      <c r="P6167" s="29"/>
      <c r="Q6167" s="34"/>
      <c r="R6167" s="35"/>
      <c r="S6167" s="36"/>
      <c r="T6167" s="36"/>
      <c r="U6167" s="36"/>
      <c r="V6167" s="37"/>
    </row>
    <row r="6168" spans="13:22" x14ac:dyDescent="0.2">
      <c r="M6168" s="33"/>
      <c r="N6168" s="29"/>
      <c r="O6168" s="29"/>
      <c r="P6168" s="29"/>
      <c r="Q6168" s="34"/>
      <c r="R6168" s="35"/>
      <c r="S6168" s="36"/>
      <c r="T6168" s="36"/>
      <c r="U6168" s="36"/>
      <c r="V6168" s="37"/>
    </row>
    <row r="6169" spans="13:22" x14ac:dyDescent="0.2">
      <c r="M6169" s="26"/>
      <c r="N6169" s="15"/>
      <c r="O6169" s="15"/>
      <c r="P6169" s="15"/>
      <c r="Q6169" s="39"/>
      <c r="R6169" s="35"/>
      <c r="S6169" s="36"/>
      <c r="T6169" s="36"/>
      <c r="U6169" s="36"/>
      <c r="V6169" s="37"/>
    </row>
    <row r="6170" spans="13:22" x14ac:dyDescent="0.2">
      <c r="M6170" s="26"/>
      <c r="N6170" s="15"/>
      <c r="O6170" s="15"/>
      <c r="P6170" s="15"/>
      <c r="Q6170" s="39"/>
      <c r="R6170" s="35"/>
      <c r="S6170" s="36"/>
      <c r="T6170" s="36"/>
      <c r="U6170" s="36"/>
      <c r="V6170" s="37"/>
    </row>
    <row r="6171" spans="13:22" x14ac:dyDescent="0.2">
      <c r="M6171" s="40"/>
      <c r="N6171" s="15"/>
      <c r="O6171" s="15"/>
      <c r="P6171" s="15"/>
      <c r="Q6171" s="39"/>
      <c r="R6171" s="35"/>
      <c r="S6171" s="36"/>
      <c r="T6171" s="36"/>
      <c r="U6171" s="36"/>
      <c r="V6171" s="37"/>
    </row>
    <row r="6172" spans="13:22" x14ac:dyDescent="0.2">
      <c r="M6172" s="40"/>
      <c r="N6172" s="15"/>
      <c r="O6172" s="15"/>
      <c r="P6172" s="15"/>
      <c r="Q6172" s="39"/>
      <c r="R6172" s="41"/>
      <c r="S6172" s="36"/>
      <c r="T6172" s="36"/>
      <c r="U6172" s="36"/>
      <c r="V6172" s="37"/>
    </row>
    <row r="6173" spans="13:22" x14ac:dyDescent="0.2">
      <c r="M6173" s="40"/>
      <c r="N6173" s="15"/>
      <c r="O6173" s="15"/>
      <c r="P6173" s="15"/>
      <c r="Q6173" s="39"/>
      <c r="R6173" s="41"/>
      <c r="S6173" s="36"/>
      <c r="T6173" s="36"/>
      <c r="U6173" s="36"/>
      <c r="V6173" s="37"/>
    </row>
    <row r="6174" spans="13:22" x14ac:dyDescent="0.2">
      <c r="M6174" s="40"/>
      <c r="N6174" s="15"/>
      <c r="O6174" s="15"/>
      <c r="P6174" s="15"/>
      <c r="Q6174" s="39"/>
      <c r="R6174" s="41"/>
      <c r="S6174" s="36"/>
      <c r="T6174" s="36"/>
      <c r="U6174" s="36"/>
      <c r="V6174" s="37"/>
    </row>
    <row r="6175" spans="13:22" x14ac:dyDescent="0.2">
      <c r="M6175" s="40"/>
      <c r="N6175" s="15"/>
      <c r="O6175" s="15"/>
      <c r="P6175" s="15"/>
      <c r="Q6175" s="39"/>
      <c r="R6175" s="41"/>
      <c r="S6175" s="36"/>
      <c r="T6175" s="36"/>
      <c r="U6175" s="36"/>
      <c r="V6175" s="37"/>
    </row>
    <row r="6176" spans="13:22" x14ac:dyDescent="0.2">
      <c r="M6176" s="40"/>
      <c r="N6176" s="15"/>
      <c r="O6176" s="15"/>
      <c r="P6176" s="15"/>
      <c r="Q6176" s="39"/>
      <c r="R6176" s="41"/>
      <c r="S6176" s="36"/>
      <c r="T6176" s="36"/>
      <c r="U6176" s="36"/>
      <c r="V6176" s="37"/>
    </row>
    <row r="6177" spans="13:22" x14ac:dyDescent="0.2">
      <c r="M6177" s="40"/>
      <c r="N6177" s="15"/>
      <c r="O6177" s="15"/>
      <c r="P6177" s="15"/>
      <c r="Q6177" s="39"/>
      <c r="R6177" s="41"/>
      <c r="S6177" s="36"/>
      <c r="T6177" s="36"/>
      <c r="U6177" s="36"/>
      <c r="V6177" s="37"/>
    </row>
    <row r="6178" spans="13:22" x14ac:dyDescent="0.2">
      <c r="M6178" s="40"/>
      <c r="N6178" s="15"/>
      <c r="O6178" s="15"/>
      <c r="P6178" s="15"/>
      <c r="Q6178" s="39"/>
      <c r="R6178" s="41"/>
      <c r="S6178" s="36"/>
      <c r="T6178" s="36"/>
      <c r="U6178" s="36"/>
      <c r="V6178" s="37"/>
    </row>
    <row r="6179" spans="13:22" x14ac:dyDescent="0.2">
      <c r="M6179" s="40"/>
      <c r="N6179" s="15"/>
      <c r="O6179" s="15"/>
      <c r="P6179" s="15"/>
      <c r="Q6179" s="39"/>
      <c r="R6179" s="41"/>
      <c r="S6179" s="36"/>
      <c r="T6179" s="36"/>
      <c r="U6179" s="36"/>
      <c r="V6179" s="37"/>
    </row>
    <row r="6180" spans="13:22" x14ac:dyDescent="0.2">
      <c r="M6180" s="40"/>
      <c r="N6180" s="15"/>
      <c r="O6180" s="15"/>
      <c r="P6180" s="15"/>
      <c r="Q6180" s="39"/>
      <c r="R6180" s="41"/>
      <c r="S6180" s="36"/>
      <c r="T6180" s="36"/>
      <c r="U6180" s="36"/>
      <c r="V6180" s="37"/>
    </row>
    <row r="6181" spans="13:22" ht="13.5" thickBot="1" x14ac:dyDescent="0.25">
      <c r="M6181" s="42"/>
      <c r="N6181" s="43"/>
      <c r="O6181" s="43"/>
      <c r="P6181" s="43"/>
      <c r="Q6181" s="44"/>
      <c r="R6181" s="41"/>
      <c r="S6181" s="46"/>
      <c r="T6181" s="46"/>
      <c r="U6181" s="46"/>
      <c r="V6181" s="47"/>
    </row>
    <row r="6182" spans="13:22" ht="13.5" thickBot="1" x14ac:dyDescent="0.25">
      <c r="M6182" s="48"/>
      <c r="N6182" s="49"/>
      <c r="O6182" s="49"/>
      <c r="P6182" s="49"/>
      <c r="Q6182" s="50"/>
      <c r="R6182" s="45"/>
      <c r="S6182" s="52"/>
      <c r="T6182" s="52"/>
      <c r="U6182" s="52"/>
      <c r="V6182" s="53"/>
    </row>
    <row r="6183" spans="13:22" x14ac:dyDescent="0.2">
      <c r="M6183" s="54"/>
      <c r="N6183" s="29"/>
      <c r="O6183" s="29"/>
      <c r="P6183" s="29"/>
      <c r="Q6183" s="34"/>
      <c r="R6183" s="51"/>
      <c r="S6183" s="36"/>
      <c r="T6183" s="36"/>
      <c r="U6183" s="36"/>
      <c r="V6183" s="37"/>
    </row>
    <row r="6184" spans="13:22" x14ac:dyDescent="0.2">
      <c r="M6184" s="33"/>
      <c r="N6184" s="29"/>
      <c r="O6184" s="29"/>
      <c r="P6184" s="29"/>
      <c r="Q6184" s="34"/>
      <c r="R6184" s="41"/>
      <c r="S6184" s="36"/>
      <c r="T6184" s="36"/>
      <c r="U6184" s="36"/>
      <c r="V6184" s="37"/>
    </row>
    <row r="6185" spans="13:22" x14ac:dyDescent="0.2">
      <c r="M6185" s="33"/>
      <c r="N6185" s="29"/>
      <c r="O6185" s="29"/>
      <c r="P6185" s="29"/>
      <c r="Q6185" s="34"/>
      <c r="R6185" s="35"/>
      <c r="S6185" s="36"/>
      <c r="T6185" s="36"/>
      <c r="U6185" s="36"/>
      <c r="V6185" s="37"/>
    </row>
    <row r="6186" spans="13:22" x14ac:dyDescent="0.2">
      <c r="M6186" s="33"/>
      <c r="N6186" s="29"/>
      <c r="O6186" s="29"/>
      <c r="P6186" s="29"/>
      <c r="Q6186" s="34"/>
      <c r="R6186" s="35"/>
      <c r="S6186" s="36"/>
      <c r="T6186" s="36"/>
      <c r="U6186" s="36"/>
      <c r="V6186" s="37"/>
    </row>
    <row r="6187" spans="13:22" x14ac:dyDescent="0.2">
      <c r="M6187" s="33"/>
      <c r="N6187" s="29"/>
      <c r="O6187" s="29"/>
      <c r="P6187" s="29"/>
      <c r="Q6187" s="34"/>
      <c r="R6187" s="35"/>
      <c r="S6187" s="36"/>
      <c r="T6187" s="36"/>
      <c r="U6187" s="36"/>
      <c r="V6187" s="37"/>
    </row>
    <row r="6188" spans="13:22" x14ac:dyDescent="0.2">
      <c r="M6188" s="33"/>
      <c r="N6188" s="29"/>
      <c r="O6188" s="29"/>
      <c r="P6188" s="29"/>
      <c r="Q6188" s="34"/>
      <c r="R6188" s="35"/>
      <c r="S6188" s="36"/>
      <c r="T6188" s="36"/>
      <c r="U6188" s="36"/>
      <c r="V6188" s="37"/>
    </row>
    <row r="6189" spans="13:22" x14ac:dyDescent="0.2">
      <c r="M6189" s="33"/>
      <c r="N6189" s="29"/>
      <c r="O6189" s="29"/>
      <c r="P6189" s="29"/>
      <c r="Q6189" s="38"/>
      <c r="R6189" s="35"/>
      <c r="S6189" s="36"/>
      <c r="T6189" s="36"/>
      <c r="U6189" s="36"/>
      <c r="V6189" s="37"/>
    </row>
    <row r="6190" spans="13:22" x14ac:dyDescent="0.2">
      <c r="M6190" s="33"/>
      <c r="N6190" s="29"/>
      <c r="O6190" s="29"/>
      <c r="P6190" s="29"/>
      <c r="Q6190" s="34"/>
      <c r="R6190" s="35"/>
      <c r="S6190" s="36"/>
      <c r="T6190" s="36"/>
      <c r="U6190" s="36"/>
      <c r="V6190" s="37"/>
    </row>
    <row r="6191" spans="13:22" x14ac:dyDescent="0.2">
      <c r="M6191" s="33"/>
      <c r="N6191" s="29"/>
      <c r="O6191" s="29"/>
      <c r="P6191" s="29"/>
      <c r="Q6191" s="34"/>
      <c r="R6191" s="35"/>
      <c r="S6191" s="36"/>
      <c r="T6191" s="36"/>
      <c r="U6191" s="36"/>
      <c r="V6191" s="37"/>
    </row>
    <row r="6192" spans="13:22" x14ac:dyDescent="0.2">
      <c r="M6192" s="33"/>
      <c r="N6192" s="29"/>
      <c r="O6192" s="29"/>
      <c r="P6192" s="29"/>
      <c r="Q6192" s="34"/>
      <c r="R6192" s="35"/>
      <c r="S6192" s="36"/>
      <c r="T6192" s="36"/>
      <c r="U6192" s="36"/>
      <c r="V6192" s="37"/>
    </row>
    <row r="6193" spans="13:22" x14ac:dyDescent="0.2">
      <c r="M6193" s="33"/>
      <c r="N6193" s="29"/>
      <c r="O6193" s="29"/>
      <c r="P6193" s="29"/>
      <c r="Q6193" s="34"/>
      <c r="R6193" s="35"/>
      <c r="S6193" s="36"/>
      <c r="T6193" s="36"/>
      <c r="U6193" s="36"/>
      <c r="V6193" s="37"/>
    </row>
    <row r="6194" spans="13:22" x14ac:dyDescent="0.2">
      <c r="M6194" s="26"/>
      <c r="N6194" s="15"/>
      <c r="O6194" s="15"/>
      <c r="P6194" s="15"/>
      <c r="Q6194" s="39"/>
      <c r="R6194" s="35"/>
      <c r="S6194" s="36"/>
      <c r="T6194" s="36"/>
      <c r="U6194" s="36"/>
      <c r="V6194" s="37"/>
    </row>
    <row r="6195" spans="13:22" x14ac:dyDescent="0.2">
      <c r="M6195" s="26"/>
      <c r="N6195" s="15"/>
      <c r="O6195" s="15"/>
      <c r="P6195" s="15"/>
      <c r="Q6195" s="39"/>
      <c r="R6195" s="35"/>
      <c r="S6195" s="36"/>
      <c r="T6195" s="36"/>
      <c r="U6195" s="36"/>
      <c r="V6195" s="37"/>
    </row>
    <row r="6196" spans="13:22" x14ac:dyDescent="0.2">
      <c r="M6196" s="40"/>
      <c r="N6196" s="15"/>
      <c r="O6196" s="15"/>
      <c r="P6196" s="15"/>
      <c r="Q6196" s="39"/>
      <c r="R6196" s="35"/>
      <c r="S6196" s="36"/>
      <c r="T6196" s="36"/>
      <c r="U6196" s="36"/>
      <c r="V6196" s="37"/>
    </row>
    <row r="6197" spans="13:22" x14ac:dyDescent="0.2">
      <c r="M6197" s="40"/>
      <c r="N6197" s="15"/>
      <c r="O6197" s="15"/>
      <c r="P6197" s="15"/>
      <c r="Q6197" s="39"/>
      <c r="R6197" s="41"/>
      <c r="S6197" s="36"/>
      <c r="T6197" s="36"/>
      <c r="U6197" s="36"/>
      <c r="V6197" s="37"/>
    </row>
    <row r="6198" spans="13:22" x14ac:dyDescent="0.2">
      <c r="M6198" s="40"/>
      <c r="N6198" s="15"/>
      <c r="O6198" s="15"/>
      <c r="P6198" s="15"/>
      <c r="Q6198" s="39"/>
      <c r="R6198" s="41"/>
      <c r="S6198" s="36"/>
      <c r="T6198" s="36"/>
      <c r="U6198" s="36"/>
      <c r="V6198" s="37"/>
    </row>
    <row r="6199" spans="13:22" x14ac:dyDescent="0.2">
      <c r="M6199" s="40"/>
      <c r="N6199" s="15"/>
      <c r="O6199" s="15"/>
      <c r="P6199" s="15"/>
      <c r="Q6199" s="39"/>
      <c r="R6199" s="41"/>
      <c r="S6199" s="36"/>
      <c r="T6199" s="36"/>
      <c r="U6199" s="36"/>
      <c r="V6199" s="37"/>
    </row>
    <row r="6200" spans="13:22" x14ac:dyDescent="0.2">
      <c r="M6200" s="40"/>
      <c r="N6200" s="15"/>
      <c r="O6200" s="15"/>
      <c r="P6200" s="15"/>
      <c r="Q6200" s="39"/>
      <c r="R6200" s="41"/>
      <c r="S6200" s="36"/>
      <c r="T6200" s="36"/>
      <c r="U6200" s="36"/>
      <c r="V6200" s="37"/>
    </row>
    <row r="6201" spans="13:22" x14ac:dyDescent="0.2">
      <c r="M6201" s="40"/>
      <c r="N6201" s="15"/>
      <c r="O6201" s="15"/>
      <c r="P6201" s="15"/>
      <c r="Q6201" s="39"/>
      <c r="R6201" s="41"/>
      <c r="S6201" s="36"/>
      <c r="T6201" s="36"/>
      <c r="U6201" s="36"/>
      <c r="V6201" s="37"/>
    </row>
    <row r="6202" spans="13:22" x14ac:dyDescent="0.2">
      <c r="M6202" s="40"/>
      <c r="N6202" s="15"/>
      <c r="O6202" s="15"/>
      <c r="P6202" s="15"/>
      <c r="Q6202" s="39"/>
      <c r="R6202" s="41"/>
      <c r="S6202" s="36"/>
      <c r="T6202" s="36"/>
      <c r="U6202" s="36"/>
      <c r="V6202" s="37"/>
    </row>
    <row r="6203" spans="13:22" x14ac:dyDescent="0.2">
      <c r="M6203" s="40"/>
      <c r="N6203" s="15"/>
      <c r="O6203" s="15"/>
      <c r="P6203" s="15"/>
      <c r="Q6203" s="39"/>
      <c r="R6203" s="41"/>
      <c r="S6203" s="36"/>
      <c r="T6203" s="36"/>
      <c r="U6203" s="36"/>
      <c r="V6203" s="37"/>
    </row>
    <row r="6204" spans="13:22" x14ac:dyDescent="0.2">
      <c r="M6204" s="40"/>
      <c r="N6204" s="15"/>
      <c r="O6204" s="15"/>
      <c r="P6204" s="15"/>
      <c r="Q6204" s="39"/>
      <c r="R6204" s="41"/>
      <c r="S6204" s="36"/>
      <c r="T6204" s="36"/>
      <c r="U6204" s="36"/>
      <c r="V6204" s="37"/>
    </row>
    <row r="6205" spans="13:22" x14ac:dyDescent="0.2">
      <c r="M6205" s="40"/>
      <c r="N6205" s="15"/>
      <c r="O6205" s="15"/>
      <c r="P6205" s="15"/>
      <c r="Q6205" s="39"/>
      <c r="R6205" s="41"/>
      <c r="S6205" s="36"/>
      <c r="T6205" s="36"/>
      <c r="U6205" s="36"/>
      <c r="V6205" s="37"/>
    </row>
    <row r="6206" spans="13:22" ht="13.5" thickBot="1" x14ac:dyDescent="0.25">
      <c r="M6206" s="42"/>
      <c r="N6206" s="43"/>
      <c r="O6206" s="43"/>
      <c r="P6206" s="43"/>
      <c r="Q6206" s="44"/>
      <c r="R6206" s="41"/>
      <c r="S6206" s="46"/>
      <c r="T6206" s="46"/>
      <c r="U6206" s="46"/>
      <c r="V6206" s="47"/>
    </row>
    <row r="6207" spans="13:22" ht="13.5" thickBot="1" x14ac:dyDescent="0.25">
      <c r="M6207" s="48"/>
      <c r="N6207" s="49"/>
      <c r="O6207" s="49"/>
      <c r="P6207" s="49"/>
      <c r="Q6207" s="50"/>
      <c r="R6207" s="45"/>
      <c r="S6207" s="52"/>
      <c r="T6207" s="52"/>
      <c r="U6207" s="52"/>
      <c r="V6207" s="53"/>
    </row>
    <row r="6208" spans="13:22" x14ac:dyDescent="0.2">
      <c r="M6208" s="54"/>
      <c r="N6208" s="29"/>
      <c r="O6208" s="29"/>
      <c r="P6208" s="29"/>
      <c r="Q6208" s="34"/>
      <c r="R6208" s="51"/>
      <c r="S6208" s="36"/>
      <c r="T6208" s="36"/>
      <c r="U6208" s="36"/>
      <c r="V6208" s="37"/>
    </row>
    <row r="6209" spans="13:22" x14ac:dyDescent="0.2">
      <c r="M6209" s="33"/>
      <c r="N6209" s="29"/>
      <c r="O6209" s="29"/>
      <c r="P6209" s="29"/>
      <c r="Q6209" s="34"/>
      <c r="R6209" s="41"/>
      <c r="S6209" s="36"/>
      <c r="T6209" s="36"/>
      <c r="U6209" s="36"/>
      <c r="V6209" s="37"/>
    </row>
    <row r="6210" spans="13:22" x14ac:dyDescent="0.2">
      <c r="M6210" s="33"/>
      <c r="N6210" s="29"/>
      <c r="O6210" s="29"/>
      <c r="P6210" s="29"/>
      <c r="Q6210" s="34"/>
      <c r="R6210" s="35"/>
      <c r="S6210" s="36"/>
      <c r="T6210" s="36"/>
      <c r="U6210" s="36"/>
      <c r="V6210" s="37"/>
    </row>
    <row r="6211" spans="13:22" x14ac:dyDescent="0.2">
      <c r="M6211" s="33"/>
      <c r="N6211" s="29"/>
      <c r="O6211" s="29"/>
      <c r="P6211" s="29"/>
      <c r="Q6211" s="34"/>
      <c r="R6211" s="35"/>
      <c r="S6211" s="36"/>
      <c r="T6211" s="36"/>
      <c r="U6211" s="36"/>
      <c r="V6211" s="37"/>
    </row>
    <row r="6212" spans="13:22" x14ac:dyDescent="0.2">
      <c r="M6212" s="33"/>
      <c r="N6212" s="29"/>
      <c r="O6212" s="29"/>
      <c r="P6212" s="29"/>
      <c r="Q6212" s="34"/>
      <c r="R6212" s="35"/>
      <c r="S6212" s="36"/>
      <c r="T6212" s="36"/>
      <c r="U6212" s="36"/>
      <c r="V6212" s="37"/>
    </row>
    <row r="6213" spans="13:22" x14ac:dyDescent="0.2">
      <c r="M6213" s="33"/>
      <c r="N6213" s="29"/>
      <c r="O6213" s="29"/>
      <c r="P6213" s="29"/>
      <c r="Q6213" s="34"/>
      <c r="R6213" s="35"/>
      <c r="S6213" s="36"/>
      <c r="T6213" s="36"/>
      <c r="U6213" s="36"/>
      <c r="V6213" s="37"/>
    </row>
    <row r="6214" spans="13:22" x14ac:dyDescent="0.2">
      <c r="M6214" s="33"/>
      <c r="N6214" s="29"/>
      <c r="O6214" s="29"/>
      <c r="P6214" s="29"/>
      <c r="Q6214" s="38"/>
      <c r="R6214" s="35"/>
      <c r="S6214" s="36"/>
      <c r="T6214" s="36"/>
      <c r="U6214" s="36"/>
      <c r="V6214" s="37"/>
    </row>
    <row r="6215" spans="13:22" x14ac:dyDescent="0.2">
      <c r="M6215" s="33"/>
      <c r="N6215" s="29"/>
      <c r="O6215" s="29"/>
      <c r="P6215" s="29"/>
      <c r="Q6215" s="34"/>
      <c r="R6215" s="35"/>
      <c r="S6215" s="36"/>
      <c r="T6215" s="36"/>
      <c r="U6215" s="36"/>
      <c r="V6215" s="37"/>
    </row>
    <row r="6216" spans="13:22" x14ac:dyDescent="0.2">
      <c r="M6216" s="33"/>
      <c r="N6216" s="29"/>
      <c r="O6216" s="29"/>
      <c r="P6216" s="29"/>
      <c r="Q6216" s="34"/>
      <c r="R6216" s="35"/>
      <c r="S6216" s="36"/>
      <c r="T6216" s="36"/>
      <c r="U6216" s="36"/>
      <c r="V6216" s="37"/>
    </row>
    <row r="6217" spans="13:22" x14ac:dyDescent="0.2">
      <c r="M6217" s="33"/>
      <c r="N6217" s="29"/>
      <c r="O6217" s="29"/>
      <c r="P6217" s="29"/>
      <c r="Q6217" s="34"/>
      <c r="R6217" s="35"/>
      <c r="S6217" s="36"/>
      <c r="T6217" s="36"/>
      <c r="U6217" s="36"/>
      <c r="V6217" s="37"/>
    </row>
    <row r="6218" spans="13:22" x14ac:dyDescent="0.2">
      <c r="M6218" s="33"/>
      <c r="N6218" s="29"/>
      <c r="O6218" s="29"/>
      <c r="P6218" s="29"/>
      <c r="Q6218" s="34"/>
      <c r="R6218" s="35"/>
      <c r="S6218" s="36"/>
      <c r="T6218" s="36"/>
      <c r="U6218" s="36"/>
      <c r="V6218" s="37"/>
    </row>
    <row r="6219" spans="13:22" x14ac:dyDescent="0.2">
      <c r="M6219" s="26"/>
      <c r="N6219" s="15"/>
      <c r="O6219" s="15"/>
      <c r="P6219" s="15"/>
      <c r="Q6219" s="39"/>
      <c r="R6219" s="35"/>
      <c r="S6219" s="36"/>
      <c r="T6219" s="36"/>
      <c r="U6219" s="36"/>
      <c r="V6219" s="37"/>
    </row>
    <row r="6220" spans="13:22" x14ac:dyDescent="0.2">
      <c r="M6220" s="26"/>
      <c r="N6220" s="15"/>
      <c r="O6220" s="15"/>
      <c r="P6220" s="15"/>
      <c r="Q6220" s="39"/>
      <c r="R6220" s="35"/>
      <c r="S6220" s="36"/>
      <c r="T6220" s="36"/>
      <c r="U6220" s="36"/>
      <c r="V6220" s="37"/>
    </row>
    <row r="6221" spans="13:22" x14ac:dyDescent="0.2">
      <c r="M6221" s="40"/>
      <c r="N6221" s="15"/>
      <c r="O6221" s="15"/>
      <c r="P6221" s="15"/>
      <c r="Q6221" s="39"/>
      <c r="R6221" s="35"/>
      <c r="S6221" s="36"/>
      <c r="T6221" s="36"/>
      <c r="U6221" s="36"/>
      <c r="V6221" s="37"/>
    </row>
    <row r="6222" spans="13:22" x14ac:dyDescent="0.2">
      <c r="M6222" s="40"/>
      <c r="N6222" s="15"/>
      <c r="O6222" s="15"/>
      <c r="P6222" s="15"/>
      <c r="Q6222" s="39"/>
      <c r="R6222" s="41"/>
      <c r="S6222" s="36"/>
      <c r="T6222" s="36"/>
      <c r="U6222" s="36"/>
      <c r="V6222" s="37"/>
    </row>
    <row r="6223" spans="13:22" x14ac:dyDescent="0.2">
      <c r="M6223" s="40"/>
      <c r="N6223" s="15"/>
      <c r="O6223" s="15"/>
      <c r="P6223" s="15"/>
      <c r="Q6223" s="39"/>
      <c r="R6223" s="41"/>
      <c r="S6223" s="36"/>
      <c r="T6223" s="36"/>
      <c r="U6223" s="36"/>
      <c r="V6223" s="37"/>
    </row>
    <row r="6224" spans="13:22" x14ac:dyDescent="0.2">
      <c r="M6224" s="40"/>
      <c r="N6224" s="15"/>
      <c r="O6224" s="15"/>
      <c r="P6224" s="15"/>
      <c r="Q6224" s="39"/>
      <c r="R6224" s="41"/>
      <c r="S6224" s="36"/>
      <c r="T6224" s="36"/>
      <c r="U6224" s="36"/>
      <c r="V6224" s="37"/>
    </row>
    <row r="6225" spans="13:22" x14ac:dyDescent="0.2">
      <c r="M6225" s="40"/>
      <c r="N6225" s="15"/>
      <c r="O6225" s="15"/>
      <c r="P6225" s="15"/>
      <c r="Q6225" s="39"/>
      <c r="R6225" s="41"/>
      <c r="S6225" s="36"/>
      <c r="T6225" s="36"/>
      <c r="U6225" s="36"/>
      <c r="V6225" s="37"/>
    </row>
    <row r="6226" spans="13:22" x14ac:dyDescent="0.2">
      <c r="M6226" s="40"/>
      <c r="N6226" s="15"/>
      <c r="O6226" s="15"/>
      <c r="P6226" s="15"/>
      <c r="Q6226" s="39"/>
      <c r="R6226" s="41"/>
      <c r="S6226" s="36"/>
      <c r="T6226" s="36"/>
      <c r="U6226" s="36"/>
      <c r="V6226" s="37"/>
    </row>
    <row r="6227" spans="13:22" x14ac:dyDescent="0.2">
      <c r="M6227" s="40"/>
      <c r="N6227" s="15"/>
      <c r="O6227" s="15"/>
      <c r="P6227" s="15"/>
      <c r="Q6227" s="39"/>
      <c r="R6227" s="41"/>
      <c r="S6227" s="36"/>
      <c r="T6227" s="36"/>
      <c r="U6227" s="36"/>
      <c r="V6227" s="37"/>
    </row>
    <row r="6228" spans="13:22" x14ac:dyDescent="0.2">
      <c r="M6228" s="40"/>
      <c r="N6228" s="15"/>
      <c r="O6228" s="15"/>
      <c r="P6228" s="15"/>
      <c r="Q6228" s="39"/>
      <c r="R6228" s="41"/>
      <c r="S6228" s="36"/>
      <c r="T6228" s="36"/>
      <c r="U6228" s="36"/>
      <c r="V6228" s="37"/>
    </row>
    <row r="6229" spans="13:22" x14ac:dyDescent="0.2">
      <c r="M6229" s="40"/>
      <c r="N6229" s="15"/>
      <c r="O6229" s="15"/>
      <c r="P6229" s="15"/>
      <c r="Q6229" s="39"/>
      <c r="R6229" s="41"/>
      <c r="S6229" s="36"/>
      <c r="T6229" s="36"/>
      <c r="U6229" s="36"/>
      <c r="V6229" s="37"/>
    </row>
    <row r="6230" spans="13:22" x14ac:dyDescent="0.2">
      <c r="M6230" s="40"/>
      <c r="N6230" s="15"/>
      <c r="O6230" s="15"/>
      <c r="P6230" s="15"/>
      <c r="Q6230" s="39"/>
      <c r="R6230" s="41"/>
      <c r="S6230" s="36"/>
      <c r="T6230" s="36"/>
      <c r="U6230" s="36"/>
      <c r="V6230" s="37"/>
    </row>
    <row r="6231" spans="13:22" ht="13.5" thickBot="1" x14ac:dyDescent="0.25">
      <c r="M6231" s="42"/>
      <c r="N6231" s="43"/>
      <c r="O6231" s="43"/>
      <c r="P6231" s="43"/>
      <c r="Q6231" s="44"/>
      <c r="R6231" s="41"/>
      <c r="S6231" s="46"/>
      <c r="T6231" s="46"/>
      <c r="U6231" s="46"/>
      <c r="V6231" s="47"/>
    </row>
    <row r="6232" spans="13:22" ht="13.5" thickBot="1" x14ac:dyDescent="0.25">
      <c r="M6232" s="48"/>
      <c r="N6232" s="49"/>
      <c r="O6232" s="49"/>
      <c r="P6232" s="49"/>
      <c r="Q6232" s="50"/>
      <c r="R6232" s="45"/>
      <c r="S6232" s="52"/>
      <c r="T6232" s="52"/>
      <c r="U6232" s="52"/>
      <c r="V6232" s="53"/>
    </row>
    <row r="6233" spans="13:22" x14ac:dyDescent="0.2">
      <c r="M6233" s="54"/>
      <c r="N6233" s="29"/>
      <c r="O6233" s="29"/>
      <c r="P6233" s="29"/>
      <c r="Q6233" s="34"/>
      <c r="R6233" s="51"/>
      <c r="S6233" s="36"/>
      <c r="T6233" s="36"/>
      <c r="U6233" s="36"/>
      <c r="V6233" s="37"/>
    </row>
    <row r="6234" spans="13:22" x14ac:dyDescent="0.2">
      <c r="M6234" s="33"/>
      <c r="N6234" s="29"/>
      <c r="O6234" s="29"/>
      <c r="P6234" s="29"/>
      <c r="Q6234" s="34"/>
      <c r="R6234" s="41"/>
      <c r="S6234" s="36"/>
      <c r="T6234" s="36"/>
      <c r="U6234" s="36"/>
      <c r="V6234" s="37"/>
    </row>
    <row r="6235" spans="13:22" x14ac:dyDescent="0.2">
      <c r="M6235" s="33"/>
      <c r="N6235" s="29"/>
      <c r="O6235" s="29"/>
      <c r="P6235" s="29"/>
      <c r="Q6235" s="34"/>
      <c r="R6235" s="35"/>
      <c r="S6235" s="36"/>
      <c r="T6235" s="36"/>
      <c r="U6235" s="36"/>
      <c r="V6235" s="37"/>
    </row>
    <row r="6236" spans="13:22" x14ac:dyDescent="0.2">
      <c r="M6236" s="33"/>
      <c r="N6236" s="29"/>
      <c r="O6236" s="29"/>
      <c r="P6236" s="29"/>
      <c r="Q6236" s="34"/>
      <c r="R6236" s="35"/>
      <c r="S6236" s="36"/>
      <c r="T6236" s="36"/>
      <c r="U6236" s="36"/>
      <c r="V6236" s="37"/>
    </row>
    <row r="6237" spans="13:22" x14ac:dyDescent="0.2">
      <c r="M6237" s="33"/>
      <c r="N6237" s="29"/>
      <c r="O6237" s="29"/>
      <c r="P6237" s="29"/>
      <c r="Q6237" s="34"/>
      <c r="R6237" s="35"/>
      <c r="S6237" s="36"/>
      <c r="T6237" s="36"/>
      <c r="U6237" s="36"/>
      <c r="V6237" s="37"/>
    </row>
    <row r="6238" spans="13:22" x14ac:dyDescent="0.2">
      <c r="M6238" s="33"/>
      <c r="N6238" s="29"/>
      <c r="O6238" s="29"/>
      <c r="P6238" s="29"/>
      <c r="Q6238" s="34"/>
      <c r="R6238" s="35"/>
      <c r="S6238" s="36"/>
      <c r="T6238" s="36"/>
      <c r="U6238" s="36"/>
      <c r="V6238" s="37"/>
    </row>
    <row r="6239" spans="13:22" x14ac:dyDescent="0.2">
      <c r="M6239" s="33"/>
      <c r="N6239" s="29"/>
      <c r="O6239" s="29"/>
      <c r="P6239" s="29"/>
      <c r="Q6239" s="38"/>
      <c r="R6239" s="35"/>
      <c r="S6239" s="36"/>
      <c r="T6239" s="36"/>
      <c r="U6239" s="36"/>
      <c r="V6239" s="37"/>
    </row>
    <row r="6240" spans="13:22" x14ac:dyDescent="0.2">
      <c r="M6240" s="33"/>
      <c r="N6240" s="29"/>
      <c r="O6240" s="29"/>
      <c r="P6240" s="29"/>
      <c r="Q6240" s="34"/>
      <c r="R6240" s="35"/>
      <c r="S6240" s="36"/>
      <c r="T6240" s="36"/>
      <c r="U6240" s="36"/>
      <c r="V6240" s="37"/>
    </row>
    <row r="6241" spans="13:22" x14ac:dyDescent="0.2">
      <c r="M6241" s="33"/>
      <c r="N6241" s="29"/>
      <c r="O6241" s="29"/>
      <c r="P6241" s="29"/>
      <c r="Q6241" s="34"/>
      <c r="R6241" s="35"/>
      <c r="S6241" s="36"/>
      <c r="T6241" s="36"/>
      <c r="U6241" s="36"/>
      <c r="V6241" s="37"/>
    </row>
    <row r="6242" spans="13:22" x14ac:dyDescent="0.2">
      <c r="M6242" s="33"/>
      <c r="N6242" s="29"/>
      <c r="O6242" s="29"/>
      <c r="P6242" s="29"/>
      <c r="Q6242" s="34"/>
      <c r="R6242" s="35"/>
      <c r="S6242" s="36"/>
      <c r="T6242" s="36"/>
      <c r="U6242" s="36"/>
      <c r="V6242" s="37"/>
    </row>
    <row r="6243" spans="13:22" x14ac:dyDescent="0.2">
      <c r="M6243" s="33"/>
      <c r="N6243" s="29"/>
      <c r="O6243" s="29"/>
      <c r="P6243" s="29"/>
      <c r="Q6243" s="34"/>
      <c r="R6243" s="35"/>
      <c r="S6243" s="36"/>
      <c r="T6243" s="36"/>
      <c r="U6243" s="36"/>
      <c r="V6243" s="37"/>
    </row>
    <row r="6244" spans="13:22" x14ac:dyDescent="0.2">
      <c r="M6244" s="26"/>
      <c r="N6244" s="15"/>
      <c r="O6244" s="15"/>
      <c r="P6244" s="15"/>
      <c r="Q6244" s="39"/>
      <c r="R6244" s="35"/>
      <c r="S6244" s="36"/>
      <c r="T6244" s="36"/>
      <c r="U6244" s="36"/>
      <c r="V6244" s="37"/>
    </row>
    <row r="6245" spans="13:22" x14ac:dyDescent="0.2">
      <c r="M6245" s="26"/>
      <c r="N6245" s="15"/>
      <c r="O6245" s="15"/>
      <c r="P6245" s="15"/>
      <c r="Q6245" s="39"/>
      <c r="R6245" s="35"/>
      <c r="S6245" s="36"/>
      <c r="T6245" s="36"/>
      <c r="U6245" s="36"/>
      <c r="V6245" s="37"/>
    </row>
    <row r="6246" spans="13:22" x14ac:dyDescent="0.2">
      <c r="M6246" s="40"/>
      <c r="N6246" s="15"/>
      <c r="O6246" s="15"/>
      <c r="P6246" s="15"/>
      <c r="Q6246" s="39"/>
      <c r="R6246" s="35"/>
      <c r="S6246" s="36"/>
      <c r="T6246" s="36"/>
      <c r="U6246" s="36"/>
      <c r="V6246" s="37"/>
    </row>
    <row r="6247" spans="13:22" x14ac:dyDescent="0.2">
      <c r="M6247" s="40"/>
      <c r="N6247" s="15"/>
      <c r="O6247" s="15"/>
      <c r="P6247" s="15"/>
      <c r="Q6247" s="39"/>
      <c r="R6247" s="41"/>
      <c r="S6247" s="36"/>
      <c r="T6247" s="36"/>
      <c r="U6247" s="36"/>
      <c r="V6247" s="37"/>
    </row>
    <row r="6248" spans="13:22" x14ac:dyDescent="0.2">
      <c r="M6248" s="40"/>
      <c r="N6248" s="15"/>
      <c r="O6248" s="15"/>
      <c r="P6248" s="15"/>
      <c r="Q6248" s="39"/>
      <c r="R6248" s="41"/>
      <c r="S6248" s="36"/>
      <c r="T6248" s="36"/>
      <c r="U6248" s="36"/>
      <c r="V6248" s="37"/>
    </row>
    <row r="6249" spans="13:22" x14ac:dyDescent="0.2">
      <c r="M6249" s="40"/>
      <c r="N6249" s="15"/>
      <c r="O6249" s="15"/>
      <c r="P6249" s="15"/>
      <c r="Q6249" s="39"/>
      <c r="R6249" s="41"/>
      <c r="S6249" s="36"/>
      <c r="T6249" s="36"/>
      <c r="U6249" s="36"/>
      <c r="V6249" s="37"/>
    </row>
    <row r="6250" spans="13:22" x14ac:dyDescent="0.2">
      <c r="M6250" s="40"/>
      <c r="N6250" s="15"/>
      <c r="O6250" s="15"/>
      <c r="P6250" s="15"/>
      <c r="Q6250" s="39"/>
      <c r="R6250" s="41"/>
      <c r="S6250" s="36"/>
      <c r="T6250" s="36"/>
      <c r="U6250" s="36"/>
      <c r="V6250" s="37"/>
    </row>
    <row r="6251" spans="13:22" x14ac:dyDescent="0.2">
      <c r="M6251" s="40"/>
      <c r="N6251" s="15"/>
      <c r="O6251" s="15"/>
      <c r="P6251" s="15"/>
      <c r="Q6251" s="39"/>
      <c r="R6251" s="41"/>
      <c r="S6251" s="36"/>
      <c r="T6251" s="36"/>
      <c r="U6251" s="36"/>
      <c r="V6251" s="37"/>
    </row>
    <row r="6252" spans="13:22" x14ac:dyDescent="0.2">
      <c r="M6252" s="40"/>
      <c r="N6252" s="15"/>
      <c r="O6252" s="15"/>
      <c r="P6252" s="15"/>
      <c r="Q6252" s="39"/>
      <c r="R6252" s="41"/>
      <c r="S6252" s="36"/>
      <c r="T6252" s="36"/>
      <c r="U6252" s="36"/>
      <c r="V6252" s="37"/>
    </row>
    <row r="6253" spans="13:22" x14ac:dyDescent="0.2">
      <c r="M6253" s="40"/>
      <c r="N6253" s="15"/>
      <c r="O6253" s="15"/>
      <c r="P6253" s="15"/>
      <c r="Q6253" s="39"/>
      <c r="R6253" s="41"/>
      <c r="S6253" s="36"/>
      <c r="T6253" s="36"/>
      <c r="U6253" s="36"/>
      <c r="V6253" s="37"/>
    </row>
    <row r="6254" spans="13:22" x14ac:dyDescent="0.2">
      <c r="M6254" s="40"/>
      <c r="N6254" s="15"/>
      <c r="O6254" s="15"/>
      <c r="P6254" s="15"/>
      <c r="Q6254" s="39"/>
      <c r="R6254" s="41"/>
      <c r="S6254" s="36"/>
      <c r="T6254" s="36"/>
      <c r="U6254" s="36"/>
      <c r="V6254" s="37"/>
    </row>
    <row r="6255" spans="13:22" x14ac:dyDescent="0.2">
      <c r="M6255" s="40"/>
      <c r="N6255" s="15"/>
      <c r="O6255" s="15"/>
      <c r="P6255" s="15"/>
      <c r="Q6255" s="39"/>
      <c r="R6255" s="41"/>
      <c r="S6255" s="36"/>
      <c r="T6255" s="36"/>
      <c r="U6255" s="36"/>
      <c r="V6255" s="37"/>
    </row>
    <row r="6256" spans="13:22" ht="13.5" thickBot="1" x14ac:dyDescent="0.25">
      <c r="M6256" s="42"/>
      <c r="N6256" s="43"/>
      <c r="O6256" s="43"/>
      <c r="P6256" s="43"/>
      <c r="Q6256" s="44"/>
      <c r="R6256" s="41"/>
      <c r="S6256" s="46"/>
      <c r="T6256" s="46"/>
      <c r="U6256" s="46"/>
      <c r="V6256" s="47"/>
    </row>
    <row r="6257" spans="13:22" ht="13.5" thickBot="1" x14ac:dyDescent="0.25">
      <c r="M6257" s="48"/>
      <c r="N6257" s="49"/>
      <c r="O6257" s="49"/>
      <c r="P6257" s="49"/>
      <c r="Q6257" s="50"/>
      <c r="R6257" s="45"/>
      <c r="S6257" s="52"/>
      <c r="T6257" s="52"/>
      <c r="U6257" s="52"/>
      <c r="V6257" s="53"/>
    </row>
    <row r="6258" spans="13:22" x14ac:dyDescent="0.2">
      <c r="M6258" s="54"/>
      <c r="N6258" s="29"/>
      <c r="O6258" s="29"/>
      <c r="P6258" s="29"/>
      <c r="Q6258" s="34"/>
      <c r="R6258" s="51"/>
      <c r="S6258" s="36"/>
      <c r="T6258" s="36"/>
      <c r="U6258" s="36"/>
      <c r="V6258" s="37"/>
    </row>
    <row r="6259" spans="13:22" x14ac:dyDescent="0.2">
      <c r="M6259" s="33"/>
      <c r="N6259" s="29"/>
      <c r="O6259" s="29"/>
      <c r="P6259" s="29"/>
      <c r="Q6259" s="34"/>
      <c r="R6259" s="41"/>
      <c r="S6259" s="36"/>
      <c r="T6259" s="36"/>
      <c r="U6259" s="36"/>
      <c r="V6259" s="37"/>
    </row>
    <row r="6260" spans="13:22" x14ac:dyDescent="0.2">
      <c r="M6260" s="33"/>
      <c r="N6260" s="29"/>
      <c r="O6260" s="29"/>
      <c r="P6260" s="29"/>
      <c r="Q6260" s="34"/>
      <c r="R6260" s="35"/>
      <c r="S6260" s="36"/>
      <c r="T6260" s="36"/>
      <c r="U6260" s="36"/>
      <c r="V6260" s="37"/>
    </row>
    <row r="6261" spans="13:22" x14ac:dyDescent="0.2">
      <c r="M6261" s="33"/>
      <c r="N6261" s="29"/>
      <c r="O6261" s="29"/>
      <c r="P6261" s="29"/>
      <c r="Q6261" s="34"/>
      <c r="R6261" s="35"/>
      <c r="S6261" s="36"/>
      <c r="T6261" s="36"/>
      <c r="U6261" s="36"/>
      <c r="V6261" s="37"/>
    </row>
    <row r="6262" spans="13:22" x14ac:dyDescent="0.2">
      <c r="M6262" s="33"/>
      <c r="N6262" s="29"/>
      <c r="O6262" s="29"/>
      <c r="P6262" s="29"/>
      <c r="Q6262" s="34"/>
      <c r="R6262" s="35"/>
      <c r="S6262" s="36"/>
      <c r="T6262" s="36"/>
      <c r="U6262" s="36"/>
      <c r="V6262" s="37"/>
    </row>
    <row r="6263" spans="13:22" x14ac:dyDescent="0.2">
      <c r="M6263" s="33"/>
      <c r="N6263" s="29"/>
      <c r="O6263" s="29"/>
      <c r="P6263" s="29"/>
      <c r="Q6263" s="34"/>
      <c r="R6263" s="35"/>
      <c r="S6263" s="36"/>
      <c r="T6263" s="36"/>
      <c r="U6263" s="36"/>
      <c r="V6263" s="37"/>
    </row>
    <row r="6264" spans="13:22" x14ac:dyDescent="0.2">
      <c r="M6264" s="33"/>
      <c r="N6264" s="29"/>
      <c r="O6264" s="29"/>
      <c r="P6264" s="29"/>
      <c r="Q6264" s="38"/>
      <c r="R6264" s="35"/>
      <c r="S6264" s="36"/>
      <c r="T6264" s="36"/>
      <c r="U6264" s="36"/>
      <c r="V6264" s="37"/>
    </row>
    <row r="6265" spans="13:22" x14ac:dyDescent="0.2">
      <c r="M6265" s="33"/>
      <c r="N6265" s="29"/>
      <c r="O6265" s="29"/>
      <c r="P6265" s="29"/>
      <c r="Q6265" s="34"/>
      <c r="R6265" s="35"/>
      <c r="S6265" s="36"/>
      <c r="T6265" s="36"/>
      <c r="U6265" s="36"/>
      <c r="V6265" s="37"/>
    </row>
    <row r="6266" spans="13:22" x14ac:dyDescent="0.2">
      <c r="M6266" s="33"/>
      <c r="N6266" s="29"/>
      <c r="O6266" s="29"/>
      <c r="P6266" s="29"/>
      <c r="Q6266" s="34"/>
      <c r="R6266" s="35"/>
      <c r="S6266" s="36"/>
      <c r="T6266" s="36"/>
      <c r="U6266" s="36"/>
      <c r="V6266" s="37"/>
    </row>
    <row r="6267" spans="13:22" x14ac:dyDescent="0.2">
      <c r="M6267" s="33"/>
      <c r="N6267" s="29"/>
      <c r="O6267" s="29"/>
      <c r="P6267" s="29"/>
      <c r="Q6267" s="34"/>
      <c r="R6267" s="35"/>
      <c r="S6267" s="36"/>
      <c r="T6267" s="36"/>
      <c r="U6267" s="36"/>
      <c r="V6267" s="37"/>
    </row>
    <row r="6268" spans="13:22" x14ac:dyDescent="0.2">
      <c r="M6268" s="33"/>
      <c r="N6268" s="29"/>
      <c r="O6268" s="29"/>
      <c r="P6268" s="29"/>
      <c r="Q6268" s="34"/>
      <c r="R6268" s="35"/>
      <c r="S6268" s="36"/>
      <c r="T6268" s="36"/>
      <c r="U6268" s="36"/>
      <c r="V6268" s="37"/>
    </row>
    <row r="6269" spans="13:22" x14ac:dyDescent="0.2">
      <c r="M6269" s="26"/>
      <c r="N6269" s="15"/>
      <c r="O6269" s="15"/>
      <c r="P6269" s="15"/>
      <c r="Q6269" s="39"/>
      <c r="R6269" s="35"/>
      <c r="S6269" s="36"/>
      <c r="T6269" s="36"/>
      <c r="U6269" s="36"/>
      <c r="V6269" s="37"/>
    </row>
    <row r="6270" spans="13:22" x14ac:dyDescent="0.2">
      <c r="M6270" s="26"/>
      <c r="N6270" s="15"/>
      <c r="O6270" s="15"/>
      <c r="P6270" s="15"/>
      <c r="Q6270" s="39"/>
      <c r="R6270" s="35"/>
      <c r="S6270" s="36"/>
      <c r="T6270" s="36"/>
      <c r="U6270" s="36"/>
      <c r="V6270" s="37"/>
    </row>
    <row r="6271" spans="13:22" x14ac:dyDescent="0.2">
      <c r="M6271" s="40"/>
      <c r="N6271" s="15"/>
      <c r="O6271" s="15"/>
      <c r="P6271" s="15"/>
      <c r="Q6271" s="39"/>
      <c r="R6271" s="35"/>
      <c r="S6271" s="36"/>
      <c r="T6271" s="36"/>
      <c r="U6271" s="36"/>
      <c r="V6271" s="37"/>
    </row>
    <row r="6272" spans="13:22" x14ac:dyDescent="0.2">
      <c r="M6272" s="40"/>
      <c r="N6272" s="15"/>
      <c r="O6272" s="15"/>
      <c r="P6272" s="15"/>
      <c r="Q6272" s="39"/>
      <c r="R6272" s="41"/>
      <c r="S6272" s="36"/>
      <c r="T6272" s="36"/>
      <c r="U6272" s="36"/>
      <c r="V6272" s="37"/>
    </row>
    <row r="6273" spans="13:22" x14ac:dyDescent="0.2">
      <c r="M6273" s="40"/>
      <c r="N6273" s="15"/>
      <c r="O6273" s="15"/>
      <c r="P6273" s="15"/>
      <c r="Q6273" s="39"/>
      <c r="R6273" s="41"/>
      <c r="S6273" s="36"/>
      <c r="T6273" s="36"/>
      <c r="U6273" s="36"/>
      <c r="V6273" s="37"/>
    </row>
    <row r="6274" spans="13:22" x14ac:dyDescent="0.2">
      <c r="M6274" s="40"/>
      <c r="N6274" s="15"/>
      <c r="O6274" s="15"/>
      <c r="P6274" s="15"/>
      <c r="Q6274" s="39"/>
      <c r="R6274" s="41"/>
      <c r="S6274" s="36"/>
      <c r="T6274" s="36"/>
      <c r="U6274" s="36"/>
      <c r="V6274" s="37"/>
    </row>
    <row r="6275" spans="13:22" x14ac:dyDescent="0.2">
      <c r="M6275" s="40"/>
      <c r="N6275" s="15"/>
      <c r="O6275" s="15"/>
      <c r="P6275" s="15"/>
      <c r="Q6275" s="39"/>
      <c r="R6275" s="41"/>
      <c r="S6275" s="36"/>
      <c r="T6275" s="36"/>
      <c r="U6275" s="36"/>
      <c r="V6275" s="37"/>
    </row>
    <row r="6276" spans="13:22" x14ac:dyDescent="0.2">
      <c r="M6276" s="40"/>
      <c r="N6276" s="15"/>
      <c r="O6276" s="15"/>
      <c r="P6276" s="15"/>
      <c r="Q6276" s="39"/>
      <c r="R6276" s="41"/>
      <c r="S6276" s="36"/>
      <c r="T6276" s="36"/>
      <c r="U6276" s="36"/>
      <c r="V6276" s="37"/>
    </row>
    <row r="6277" spans="13:22" x14ac:dyDescent="0.2">
      <c r="M6277" s="40"/>
      <c r="N6277" s="15"/>
      <c r="O6277" s="15"/>
      <c r="P6277" s="15"/>
      <c r="Q6277" s="39"/>
      <c r="R6277" s="41"/>
      <c r="S6277" s="36"/>
      <c r="T6277" s="36"/>
      <c r="U6277" s="36"/>
      <c r="V6277" s="37"/>
    </row>
    <row r="6278" spans="13:22" x14ac:dyDescent="0.2">
      <c r="M6278" s="40"/>
      <c r="N6278" s="15"/>
      <c r="O6278" s="15"/>
      <c r="P6278" s="15"/>
      <c r="Q6278" s="39"/>
      <c r="R6278" s="41"/>
      <c r="S6278" s="36"/>
      <c r="T6278" s="36"/>
      <c r="U6278" s="36"/>
      <c r="V6278" s="37"/>
    </row>
    <row r="6279" spans="13:22" x14ac:dyDescent="0.2">
      <c r="M6279" s="40"/>
      <c r="N6279" s="15"/>
      <c r="O6279" s="15"/>
      <c r="P6279" s="15"/>
      <c r="Q6279" s="39"/>
      <c r="R6279" s="41"/>
      <c r="S6279" s="36"/>
      <c r="T6279" s="36"/>
      <c r="U6279" s="36"/>
      <c r="V6279" s="37"/>
    </row>
    <row r="6280" spans="13:22" x14ac:dyDescent="0.2">
      <c r="M6280" s="40"/>
      <c r="N6280" s="15"/>
      <c r="O6280" s="15"/>
      <c r="P6280" s="15"/>
      <c r="Q6280" s="39"/>
      <c r="R6280" s="41"/>
      <c r="S6280" s="36"/>
      <c r="T6280" s="36"/>
      <c r="U6280" s="36"/>
      <c r="V6280" s="37"/>
    </row>
    <row r="6281" spans="13:22" ht="13.5" thickBot="1" x14ac:dyDescent="0.25">
      <c r="M6281" s="42"/>
      <c r="N6281" s="43"/>
      <c r="O6281" s="43"/>
      <c r="P6281" s="43"/>
      <c r="Q6281" s="44"/>
      <c r="R6281" s="41"/>
      <c r="S6281" s="46"/>
      <c r="T6281" s="46"/>
      <c r="U6281" s="46"/>
      <c r="V6281" s="47"/>
    </row>
    <row r="6282" spans="13:22" ht="13.5" thickBot="1" x14ac:dyDescent="0.25">
      <c r="M6282" s="48"/>
      <c r="N6282" s="49"/>
      <c r="O6282" s="49"/>
      <c r="P6282" s="49"/>
      <c r="Q6282" s="50"/>
      <c r="R6282" s="45"/>
      <c r="S6282" s="52"/>
      <c r="T6282" s="52"/>
      <c r="U6282" s="52"/>
      <c r="V6282" s="53"/>
    </row>
    <row r="6283" spans="13:22" x14ac:dyDescent="0.2">
      <c r="M6283" s="54"/>
      <c r="N6283" s="29"/>
      <c r="O6283" s="29"/>
      <c r="P6283" s="29"/>
      <c r="Q6283" s="34"/>
      <c r="R6283" s="51"/>
      <c r="S6283" s="36"/>
      <c r="T6283" s="36"/>
      <c r="U6283" s="36"/>
      <c r="V6283" s="37"/>
    </row>
    <row r="6284" spans="13:22" x14ac:dyDescent="0.2">
      <c r="M6284" s="33"/>
      <c r="N6284" s="29"/>
      <c r="O6284" s="29"/>
      <c r="P6284" s="29"/>
      <c r="Q6284" s="34"/>
      <c r="R6284" s="41"/>
      <c r="S6284" s="36"/>
      <c r="T6284" s="36"/>
      <c r="U6284" s="36"/>
      <c r="V6284" s="37"/>
    </row>
    <row r="6285" spans="13:22" x14ac:dyDescent="0.2">
      <c r="M6285" s="33"/>
      <c r="N6285" s="29"/>
      <c r="O6285" s="29"/>
      <c r="P6285" s="29"/>
      <c r="Q6285" s="34"/>
      <c r="R6285" s="35"/>
      <c r="S6285" s="36"/>
      <c r="T6285" s="36"/>
      <c r="U6285" s="36"/>
      <c r="V6285" s="37"/>
    </row>
    <row r="6286" spans="13:22" x14ac:dyDescent="0.2">
      <c r="M6286" s="33"/>
      <c r="N6286" s="29"/>
      <c r="O6286" s="29"/>
      <c r="P6286" s="29"/>
      <c r="Q6286" s="34"/>
      <c r="R6286" s="35"/>
      <c r="S6286" s="36"/>
      <c r="T6286" s="36"/>
      <c r="U6286" s="36"/>
      <c r="V6286" s="37"/>
    </row>
    <row r="6287" spans="13:22" x14ac:dyDescent="0.2">
      <c r="M6287" s="33"/>
      <c r="N6287" s="29"/>
      <c r="O6287" s="29"/>
      <c r="P6287" s="29"/>
      <c r="Q6287" s="34"/>
      <c r="R6287" s="35"/>
      <c r="S6287" s="36"/>
      <c r="T6287" s="36"/>
      <c r="U6287" s="36"/>
      <c r="V6287" s="37"/>
    </row>
    <row r="6288" spans="13:22" x14ac:dyDescent="0.2">
      <c r="M6288" s="33"/>
      <c r="N6288" s="29"/>
      <c r="O6288" s="29"/>
      <c r="P6288" s="29"/>
      <c r="Q6288" s="34"/>
      <c r="R6288" s="35"/>
      <c r="S6288" s="36"/>
      <c r="T6288" s="36"/>
      <c r="U6288" s="36"/>
      <c r="V6288" s="37"/>
    </row>
    <row r="6289" spans="13:22" x14ac:dyDescent="0.2">
      <c r="M6289" s="33"/>
      <c r="N6289" s="29"/>
      <c r="O6289" s="29"/>
      <c r="P6289" s="29"/>
      <c r="Q6289" s="38"/>
      <c r="R6289" s="35"/>
      <c r="S6289" s="36"/>
      <c r="T6289" s="36"/>
      <c r="U6289" s="36"/>
      <c r="V6289" s="37"/>
    </row>
    <row r="6290" spans="13:22" x14ac:dyDescent="0.2">
      <c r="M6290" s="33"/>
      <c r="N6290" s="29"/>
      <c r="O6290" s="29"/>
      <c r="P6290" s="29"/>
      <c r="Q6290" s="34"/>
      <c r="R6290" s="35"/>
      <c r="S6290" s="36"/>
      <c r="T6290" s="36"/>
      <c r="U6290" s="36"/>
      <c r="V6290" s="37"/>
    </row>
    <row r="6291" spans="13:22" x14ac:dyDescent="0.2">
      <c r="M6291" s="33"/>
      <c r="N6291" s="29"/>
      <c r="O6291" s="29"/>
      <c r="P6291" s="29"/>
      <c r="Q6291" s="34"/>
      <c r="R6291" s="35"/>
      <c r="S6291" s="36"/>
      <c r="T6291" s="36"/>
      <c r="U6291" s="36"/>
      <c r="V6291" s="37"/>
    </row>
    <row r="6292" spans="13:22" x14ac:dyDescent="0.2">
      <c r="M6292" s="33"/>
      <c r="N6292" s="29"/>
      <c r="O6292" s="29"/>
      <c r="P6292" s="29"/>
      <c r="Q6292" s="34"/>
      <c r="R6292" s="35"/>
      <c r="S6292" s="36"/>
      <c r="T6292" s="36"/>
      <c r="U6292" s="36"/>
      <c r="V6292" s="37"/>
    </row>
    <row r="6293" spans="13:22" x14ac:dyDescent="0.2">
      <c r="M6293" s="33"/>
      <c r="N6293" s="29"/>
      <c r="O6293" s="29"/>
      <c r="P6293" s="29"/>
      <c r="Q6293" s="34"/>
      <c r="R6293" s="35"/>
      <c r="S6293" s="36"/>
      <c r="T6293" s="36"/>
      <c r="U6293" s="36"/>
      <c r="V6293" s="37"/>
    </row>
    <row r="6294" spans="13:22" x14ac:dyDescent="0.2">
      <c r="M6294" s="26"/>
      <c r="N6294" s="15"/>
      <c r="O6294" s="15"/>
      <c r="P6294" s="15"/>
      <c r="Q6294" s="39"/>
      <c r="R6294" s="35"/>
      <c r="S6294" s="36"/>
      <c r="T6294" s="36"/>
      <c r="U6294" s="36"/>
      <c r="V6294" s="37"/>
    </row>
    <row r="6295" spans="13:22" x14ac:dyDescent="0.2">
      <c r="M6295" s="26"/>
      <c r="N6295" s="15"/>
      <c r="O6295" s="15"/>
      <c r="P6295" s="15"/>
      <c r="Q6295" s="39"/>
      <c r="R6295" s="35"/>
      <c r="S6295" s="36"/>
      <c r="T6295" s="36"/>
      <c r="U6295" s="36"/>
      <c r="V6295" s="37"/>
    </row>
    <row r="6296" spans="13:22" x14ac:dyDescent="0.2">
      <c r="M6296" s="40"/>
      <c r="N6296" s="15"/>
      <c r="O6296" s="15"/>
      <c r="P6296" s="15"/>
      <c r="Q6296" s="39"/>
      <c r="R6296" s="35"/>
      <c r="S6296" s="36"/>
      <c r="T6296" s="36"/>
      <c r="U6296" s="36"/>
      <c r="V6296" s="37"/>
    </row>
    <row r="6297" spans="13:22" x14ac:dyDescent="0.2">
      <c r="M6297" s="40"/>
      <c r="N6297" s="15"/>
      <c r="O6297" s="15"/>
      <c r="P6297" s="15"/>
      <c r="Q6297" s="39"/>
      <c r="R6297" s="41"/>
      <c r="S6297" s="36"/>
      <c r="T6297" s="36"/>
      <c r="U6297" s="36"/>
      <c r="V6297" s="37"/>
    </row>
    <row r="6298" spans="13:22" x14ac:dyDescent="0.2">
      <c r="M6298" s="40"/>
      <c r="N6298" s="15"/>
      <c r="O6298" s="15"/>
      <c r="P6298" s="15"/>
      <c r="Q6298" s="39"/>
      <c r="R6298" s="41"/>
      <c r="S6298" s="36"/>
      <c r="T6298" s="36"/>
      <c r="U6298" s="36"/>
      <c r="V6298" s="37"/>
    </row>
    <row r="6299" spans="13:22" x14ac:dyDescent="0.2">
      <c r="M6299" s="40"/>
      <c r="N6299" s="15"/>
      <c r="O6299" s="15"/>
      <c r="P6299" s="15"/>
      <c r="Q6299" s="39"/>
      <c r="R6299" s="41"/>
      <c r="S6299" s="36"/>
      <c r="T6299" s="36"/>
      <c r="U6299" s="36"/>
      <c r="V6299" s="37"/>
    </row>
    <row r="6300" spans="13:22" x14ac:dyDescent="0.2">
      <c r="M6300" s="40"/>
      <c r="N6300" s="15"/>
      <c r="O6300" s="15"/>
      <c r="P6300" s="15"/>
      <c r="Q6300" s="39"/>
      <c r="R6300" s="41"/>
      <c r="S6300" s="36"/>
      <c r="T6300" s="36"/>
      <c r="U6300" s="36"/>
      <c r="V6300" s="37"/>
    </row>
    <row r="6301" spans="13:22" x14ac:dyDescent="0.2">
      <c r="M6301" s="40"/>
      <c r="N6301" s="15"/>
      <c r="O6301" s="15"/>
      <c r="P6301" s="15"/>
      <c r="Q6301" s="39"/>
      <c r="R6301" s="41"/>
      <c r="S6301" s="36"/>
      <c r="T6301" s="36"/>
      <c r="U6301" s="36"/>
      <c r="V6301" s="37"/>
    </row>
    <row r="6302" spans="13:22" x14ac:dyDescent="0.2">
      <c r="M6302" s="40"/>
      <c r="N6302" s="15"/>
      <c r="O6302" s="15"/>
      <c r="P6302" s="15"/>
      <c r="Q6302" s="39"/>
      <c r="R6302" s="41"/>
      <c r="S6302" s="36"/>
      <c r="T6302" s="36"/>
      <c r="U6302" s="36"/>
      <c r="V6302" s="37"/>
    </row>
    <row r="6303" spans="13:22" x14ac:dyDescent="0.2">
      <c r="M6303" s="40"/>
      <c r="N6303" s="15"/>
      <c r="O6303" s="15"/>
      <c r="P6303" s="15"/>
      <c r="Q6303" s="39"/>
      <c r="R6303" s="41"/>
      <c r="S6303" s="36"/>
      <c r="T6303" s="36"/>
      <c r="U6303" s="36"/>
      <c r="V6303" s="37"/>
    </row>
    <row r="6304" spans="13:22" x14ac:dyDescent="0.2">
      <c r="M6304" s="40"/>
      <c r="N6304" s="15"/>
      <c r="O6304" s="15"/>
      <c r="P6304" s="15"/>
      <c r="Q6304" s="39"/>
      <c r="R6304" s="41"/>
      <c r="S6304" s="36"/>
      <c r="T6304" s="36"/>
      <c r="U6304" s="36"/>
      <c r="V6304" s="37"/>
    </row>
    <row r="6305" spans="13:22" x14ac:dyDescent="0.2">
      <c r="M6305" s="40"/>
      <c r="N6305" s="15"/>
      <c r="O6305" s="15"/>
      <c r="P6305" s="15"/>
      <c r="Q6305" s="39"/>
      <c r="R6305" s="41"/>
      <c r="S6305" s="36"/>
      <c r="T6305" s="36"/>
      <c r="U6305" s="36"/>
      <c r="V6305" s="37"/>
    </row>
    <row r="6306" spans="13:22" ht="13.5" thickBot="1" x14ac:dyDescent="0.25">
      <c r="M6306" s="42"/>
      <c r="N6306" s="43"/>
      <c r="O6306" s="43"/>
      <c r="P6306" s="43"/>
      <c r="Q6306" s="44"/>
      <c r="R6306" s="41"/>
      <c r="S6306" s="46"/>
      <c r="T6306" s="46"/>
      <c r="U6306" s="46"/>
      <c r="V6306" s="47"/>
    </row>
    <row r="6307" spans="13:22" ht="13.5" thickBot="1" x14ac:dyDescent="0.25">
      <c r="M6307" s="48"/>
      <c r="N6307" s="49"/>
      <c r="O6307" s="49"/>
      <c r="P6307" s="49"/>
      <c r="Q6307" s="50"/>
      <c r="R6307" s="45"/>
      <c r="S6307" s="52"/>
      <c r="T6307" s="52"/>
      <c r="U6307" s="52"/>
      <c r="V6307" s="53"/>
    </row>
    <row r="6308" spans="13:22" x14ac:dyDescent="0.2">
      <c r="M6308" s="54"/>
      <c r="N6308" s="29"/>
      <c r="O6308" s="29"/>
      <c r="P6308" s="29"/>
      <c r="Q6308" s="34"/>
      <c r="R6308" s="51"/>
      <c r="S6308" s="36"/>
      <c r="T6308" s="36"/>
      <c r="U6308" s="36"/>
      <c r="V6308" s="37"/>
    </row>
    <row r="6309" spans="13:22" x14ac:dyDescent="0.2">
      <c r="M6309" s="33"/>
      <c r="N6309" s="29"/>
      <c r="O6309" s="29"/>
      <c r="P6309" s="29"/>
      <c r="Q6309" s="34"/>
      <c r="R6309" s="41"/>
      <c r="S6309" s="36"/>
      <c r="T6309" s="36"/>
      <c r="U6309" s="36"/>
      <c r="V6309" s="37"/>
    </row>
    <row r="6310" spans="13:22" x14ac:dyDescent="0.2">
      <c r="M6310" s="33"/>
      <c r="N6310" s="29"/>
      <c r="O6310" s="29"/>
      <c r="P6310" s="29"/>
      <c r="Q6310" s="34"/>
      <c r="R6310" s="35"/>
      <c r="S6310" s="36"/>
      <c r="T6310" s="36"/>
      <c r="U6310" s="36"/>
      <c r="V6310" s="37"/>
    </row>
    <row r="6311" spans="13:22" x14ac:dyDescent="0.2">
      <c r="M6311" s="33"/>
      <c r="N6311" s="29"/>
      <c r="O6311" s="29"/>
      <c r="P6311" s="29"/>
      <c r="Q6311" s="34"/>
      <c r="R6311" s="35"/>
      <c r="S6311" s="36"/>
      <c r="T6311" s="36"/>
      <c r="U6311" s="36"/>
      <c r="V6311" s="37"/>
    </row>
    <row r="6312" spans="13:22" x14ac:dyDescent="0.2">
      <c r="M6312" s="33"/>
      <c r="N6312" s="29"/>
      <c r="O6312" s="29"/>
      <c r="P6312" s="29"/>
      <c r="Q6312" s="34"/>
      <c r="R6312" s="35"/>
      <c r="S6312" s="36"/>
      <c r="T6312" s="36"/>
      <c r="U6312" s="36"/>
      <c r="V6312" s="37"/>
    </row>
    <row r="6313" spans="13:22" x14ac:dyDescent="0.2">
      <c r="M6313" s="33"/>
      <c r="N6313" s="29"/>
      <c r="O6313" s="29"/>
      <c r="P6313" s="29"/>
      <c r="Q6313" s="34"/>
      <c r="R6313" s="35"/>
      <c r="S6313" s="36"/>
      <c r="T6313" s="36"/>
      <c r="U6313" s="36"/>
      <c r="V6313" s="37"/>
    </row>
    <row r="6314" spans="13:22" x14ac:dyDescent="0.2">
      <c r="M6314" s="33"/>
      <c r="N6314" s="29"/>
      <c r="O6314" s="29"/>
      <c r="P6314" s="29"/>
      <c r="Q6314" s="38"/>
      <c r="R6314" s="35"/>
      <c r="S6314" s="36"/>
      <c r="T6314" s="36"/>
      <c r="U6314" s="36"/>
      <c r="V6314" s="37"/>
    </row>
    <row r="6315" spans="13:22" x14ac:dyDescent="0.2">
      <c r="M6315" s="33"/>
      <c r="N6315" s="29"/>
      <c r="O6315" s="29"/>
      <c r="P6315" s="29"/>
      <c r="Q6315" s="34"/>
      <c r="R6315" s="35"/>
      <c r="S6315" s="36"/>
      <c r="T6315" s="36"/>
      <c r="U6315" s="36"/>
      <c r="V6315" s="37"/>
    </row>
    <row r="6316" spans="13:22" x14ac:dyDescent="0.2">
      <c r="M6316" s="33"/>
      <c r="N6316" s="29"/>
      <c r="O6316" s="29"/>
      <c r="P6316" s="29"/>
      <c r="Q6316" s="34"/>
      <c r="R6316" s="35"/>
      <c r="S6316" s="36"/>
      <c r="T6316" s="36"/>
      <c r="U6316" s="36"/>
      <c r="V6316" s="37"/>
    </row>
    <row r="6317" spans="13:22" x14ac:dyDescent="0.2">
      <c r="M6317" s="33"/>
      <c r="N6317" s="29"/>
      <c r="O6317" s="29"/>
      <c r="P6317" s="29"/>
      <c r="Q6317" s="34"/>
      <c r="R6317" s="35"/>
      <c r="S6317" s="36"/>
      <c r="T6317" s="36"/>
      <c r="U6317" s="36"/>
      <c r="V6317" s="37"/>
    </row>
    <row r="6318" spans="13:22" x14ac:dyDescent="0.2">
      <c r="M6318" s="33"/>
      <c r="N6318" s="29"/>
      <c r="O6318" s="29"/>
      <c r="P6318" s="29"/>
      <c r="Q6318" s="34"/>
      <c r="R6318" s="35"/>
      <c r="S6318" s="36"/>
      <c r="T6318" s="36"/>
      <c r="U6318" s="36"/>
      <c r="V6318" s="37"/>
    </row>
    <row r="6319" spans="13:22" x14ac:dyDescent="0.2">
      <c r="M6319" s="26"/>
      <c r="N6319" s="15"/>
      <c r="O6319" s="15"/>
      <c r="P6319" s="15"/>
      <c r="Q6319" s="39"/>
      <c r="R6319" s="35"/>
      <c r="S6319" s="36"/>
      <c r="T6319" s="36"/>
      <c r="U6319" s="36"/>
      <c r="V6319" s="37"/>
    </row>
    <row r="6320" spans="13:22" x14ac:dyDescent="0.2">
      <c r="M6320" s="26"/>
      <c r="N6320" s="15"/>
      <c r="O6320" s="15"/>
      <c r="P6320" s="15"/>
      <c r="Q6320" s="39"/>
      <c r="R6320" s="35"/>
      <c r="S6320" s="36"/>
      <c r="T6320" s="36"/>
      <c r="U6320" s="36"/>
      <c r="V6320" s="37"/>
    </row>
    <row r="6321" spans="13:22" x14ac:dyDescent="0.2">
      <c r="M6321" s="40"/>
      <c r="N6321" s="15"/>
      <c r="O6321" s="15"/>
      <c r="P6321" s="15"/>
      <c r="Q6321" s="39"/>
      <c r="R6321" s="35"/>
      <c r="S6321" s="36"/>
      <c r="T6321" s="36"/>
      <c r="U6321" s="36"/>
      <c r="V6321" s="37"/>
    </row>
    <row r="6322" spans="13:22" x14ac:dyDescent="0.2">
      <c r="M6322" s="40"/>
      <c r="N6322" s="15"/>
      <c r="O6322" s="15"/>
      <c r="P6322" s="15"/>
      <c r="Q6322" s="39"/>
      <c r="R6322" s="41"/>
      <c r="S6322" s="36"/>
      <c r="T6322" s="36"/>
      <c r="U6322" s="36"/>
      <c r="V6322" s="37"/>
    </row>
    <row r="6323" spans="13:22" x14ac:dyDescent="0.2">
      <c r="M6323" s="40"/>
      <c r="N6323" s="15"/>
      <c r="O6323" s="15"/>
      <c r="P6323" s="15"/>
      <c r="Q6323" s="39"/>
      <c r="R6323" s="41"/>
      <c r="S6323" s="36"/>
      <c r="T6323" s="36"/>
      <c r="U6323" s="36"/>
      <c r="V6323" s="37"/>
    </row>
    <row r="6324" spans="13:22" x14ac:dyDescent="0.2">
      <c r="M6324" s="40"/>
      <c r="N6324" s="15"/>
      <c r="O6324" s="15"/>
      <c r="P6324" s="15"/>
      <c r="Q6324" s="39"/>
      <c r="R6324" s="41"/>
      <c r="S6324" s="36"/>
      <c r="T6324" s="36"/>
      <c r="U6324" s="36"/>
      <c r="V6324" s="37"/>
    </row>
    <row r="6325" spans="13:22" x14ac:dyDescent="0.2">
      <c r="M6325" s="40"/>
      <c r="N6325" s="15"/>
      <c r="O6325" s="15"/>
      <c r="P6325" s="15"/>
      <c r="Q6325" s="39"/>
      <c r="R6325" s="41"/>
      <c r="S6325" s="36"/>
      <c r="T6325" s="36"/>
      <c r="U6325" s="36"/>
      <c r="V6325" s="37"/>
    </row>
    <row r="6326" spans="13:22" x14ac:dyDescent="0.2">
      <c r="M6326" s="40"/>
      <c r="N6326" s="15"/>
      <c r="O6326" s="15"/>
      <c r="P6326" s="15"/>
      <c r="Q6326" s="39"/>
      <c r="R6326" s="41"/>
      <c r="S6326" s="36"/>
      <c r="T6326" s="36"/>
      <c r="U6326" s="36"/>
      <c r="V6326" s="37"/>
    </row>
    <row r="6327" spans="13:22" x14ac:dyDescent="0.2">
      <c r="M6327" s="40"/>
      <c r="N6327" s="15"/>
      <c r="O6327" s="15"/>
      <c r="P6327" s="15"/>
      <c r="Q6327" s="39"/>
      <c r="R6327" s="41"/>
      <c r="S6327" s="36"/>
      <c r="T6327" s="36"/>
      <c r="U6327" s="36"/>
      <c r="V6327" s="37"/>
    </row>
    <row r="6328" spans="13:22" x14ac:dyDescent="0.2">
      <c r="M6328" s="40"/>
      <c r="N6328" s="15"/>
      <c r="O6328" s="15"/>
      <c r="P6328" s="15"/>
      <c r="Q6328" s="39"/>
      <c r="R6328" s="41"/>
      <c r="S6328" s="36"/>
      <c r="T6328" s="36"/>
      <c r="U6328" s="36"/>
      <c r="V6328" s="37"/>
    </row>
    <row r="6329" spans="13:22" x14ac:dyDescent="0.2">
      <c r="M6329" s="40"/>
      <c r="N6329" s="15"/>
      <c r="O6329" s="15"/>
      <c r="P6329" s="15"/>
      <c r="Q6329" s="39"/>
      <c r="R6329" s="41"/>
      <c r="S6329" s="36"/>
      <c r="T6329" s="36"/>
      <c r="U6329" s="36"/>
      <c r="V6329" s="37"/>
    </row>
    <row r="6330" spans="13:22" x14ac:dyDescent="0.2">
      <c r="M6330" s="40"/>
      <c r="N6330" s="15"/>
      <c r="O6330" s="15"/>
      <c r="P6330" s="15"/>
      <c r="Q6330" s="39"/>
      <c r="R6330" s="41"/>
      <c r="S6330" s="36"/>
      <c r="T6330" s="36"/>
      <c r="U6330" s="36"/>
      <c r="V6330" s="37"/>
    </row>
    <row r="6331" spans="13:22" ht="13.5" thickBot="1" x14ac:dyDescent="0.25">
      <c r="M6331" s="42"/>
      <c r="N6331" s="43"/>
      <c r="O6331" s="43"/>
      <c r="P6331" s="43"/>
      <c r="Q6331" s="44"/>
      <c r="R6331" s="41"/>
      <c r="S6331" s="46"/>
      <c r="T6331" s="46"/>
      <c r="U6331" s="46"/>
      <c r="V6331" s="47"/>
    </row>
    <row r="6332" spans="13:22" ht="13.5" thickBot="1" x14ac:dyDescent="0.25">
      <c r="M6332" s="48"/>
      <c r="N6332" s="49"/>
      <c r="O6332" s="49"/>
      <c r="P6332" s="49"/>
      <c r="Q6332" s="50"/>
      <c r="R6332" s="45"/>
      <c r="S6332" s="52"/>
      <c r="T6332" s="52"/>
      <c r="U6332" s="52"/>
      <c r="V6332" s="53"/>
    </row>
    <row r="6333" spans="13:22" x14ac:dyDescent="0.2">
      <c r="M6333" s="54"/>
      <c r="N6333" s="29"/>
      <c r="O6333" s="29"/>
      <c r="P6333" s="29"/>
      <c r="Q6333" s="34"/>
      <c r="R6333" s="51"/>
      <c r="S6333" s="36"/>
      <c r="T6333" s="36"/>
      <c r="U6333" s="36"/>
      <c r="V6333" s="37"/>
    </row>
    <row r="6334" spans="13:22" x14ac:dyDescent="0.2">
      <c r="M6334" s="33"/>
      <c r="N6334" s="29"/>
      <c r="O6334" s="29"/>
      <c r="P6334" s="29"/>
      <c r="Q6334" s="34"/>
      <c r="R6334" s="41"/>
      <c r="S6334" s="36"/>
      <c r="T6334" s="36"/>
      <c r="U6334" s="36"/>
      <c r="V6334" s="37"/>
    </row>
    <row r="6335" spans="13:22" x14ac:dyDescent="0.2">
      <c r="M6335" s="33"/>
      <c r="N6335" s="29"/>
      <c r="O6335" s="29"/>
      <c r="P6335" s="29"/>
      <c r="Q6335" s="34"/>
      <c r="R6335" s="35"/>
      <c r="S6335" s="36"/>
      <c r="T6335" s="36"/>
      <c r="U6335" s="36"/>
      <c r="V6335" s="37"/>
    </row>
    <row r="6336" spans="13:22" x14ac:dyDescent="0.2">
      <c r="M6336" s="33"/>
      <c r="N6336" s="29"/>
      <c r="O6336" s="29"/>
      <c r="P6336" s="29"/>
      <c r="Q6336" s="34"/>
      <c r="R6336" s="35"/>
      <c r="S6336" s="36"/>
      <c r="T6336" s="36"/>
      <c r="U6336" s="36"/>
      <c r="V6336" s="37"/>
    </row>
    <row r="6337" spans="13:22" x14ac:dyDescent="0.2">
      <c r="M6337" s="33"/>
      <c r="N6337" s="29"/>
      <c r="O6337" s="29"/>
      <c r="P6337" s="29"/>
      <c r="Q6337" s="34"/>
      <c r="R6337" s="35"/>
      <c r="S6337" s="36"/>
      <c r="T6337" s="36"/>
      <c r="U6337" s="36"/>
      <c r="V6337" s="37"/>
    </row>
    <row r="6338" spans="13:22" x14ac:dyDescent="0.2">
      <c r="M6338" s="33"/>
      <c r="N6338" s="29"/>
      <c r="O6338" s="29"/>
      <c r="P6338" s="29"/>
      <c r="Q6338" s="34"/>
      <c r="R6338" s="35"/>
      <c r="S6338" s="36"/>
      <c r="T6338" s="36"/>
      <c r="U6338" s="36"/>
      <c r="V6338" s="37"/>
    </row>
    <row r="6339" spans="13:22" x14ac:dyDescent="0.2">
      <c r="M6339" s="33"/>
      <c r="N6339" s="29"/>
      <c r="O6339" s="29"/>
      <c r="P6339" s="29"/>
      <c r="Q6339" s="38"/>
      <c r="R6339" s="35"/>
      <c r="S6339" s="36"/>
      <c r="T6339" s="36"/>
      <c r="U6339" s="36"/>
      <c r="V6339" s="37"/>
    </row>
    <row r="6340" spans="13:22" x14ac:dyDescent="0.2">
      <c r="M6340" s="33"/>
      <c r="N6340" s="29"/>
      <c r="O6340" s="29"/>
      <c r="P6340" s="29"/>
      <c r="Q6340" s="34"/>
      <c r="R6340" s="35"/>
      <c r="S6340" s="36"/>
      <c r="T6340" s="36"/>
      <c r="U6340" s="36"/>
      <c r="V6340" s="37"/>
    </row>
    <row r="6341" spans="13:22" x14ac:dyDescent="0.2">
      <c r="M6341" s="33"/>
      <c r="N6341" s="29"/>
      <c r="O6341" s="29"/>
      <c r="P6341" s="29"/>
      <c r="Q6341" s="34"/>
      <c r="R6341" s="35"/>
      <c r="S6341" s="36"/>
      <c r="T6341" s="36"/>
      <c r="U6341" s="36"/>
      <c r="V6341" s="37"/>
    </row>
    <row r="6342" spans="13:22" x14ac:dyDescent="0.2">
      <c r="M6342" s="33"/>
      <c r="N6342" s="29"/>
      <c r="O6342" s="29"/>
      <c r="P6342" s="29"/>
      <c r="Q6342" s="34"/>
      <c r="R6342" s="35"/>
      <c r="S6342" s="36"/>
      <c r="T6342" s="36"/>
      <c r="U6342" s="36"/>
      <c r="V6342" s="37"/>
    </row>
    <row r="6343" spans="13:22" x14ac:dyDescent="0.2">
      <c r="M6343" s="33"/>
      <c r="N6343" s="29"/>
      <c r="O6343" s="29"/>
      <c r="P6343" s="29"/>
      <c r="Q6343" s="34"/>
      <c r="R6343" s="35"/>
      <c r="S6343" s="36"/>
      <c r="T6343" s="36"/>
      <c r="U6343" s="36"/>
      <c r="V6343" s="37"/>
    </row>
    <row r="6344" spans="13:22" x14ac:dyDescent="0.2">
      <c r="M6344" s="26"/>
      <c r="N6344" s="15"/>
      <c r="O6344" s="15"/>
      <c r="P6344" s="15"/>
      <c r="Q6344" s="39"/>
      <c r="R6344" s="35"/>
      <c r="S6344" s="36"/>
      <c r="T6344" s="36"/>
      <c r="U6344" s="36"/>
      <c r="V6344" s="37"/>
    </row>
    <row r="6345" spans="13:22" x14ac:dyDescent="0.2">
      <c r="M6345" s="26"/>
      <c r="N6345" s="15"/>
      <c r="O6345" s="15"/>
      <c r="P6345" s="15"/>
      <c r="Q6345" s="39"/>
      <c r="R6345" s="35"/>
      <c r="S6345" s="36"/>
      <c r="T6345" s="36"/>
      <c r="U6345" s="36"/>
      <c r="V6345" s="37"/>
    </row>
    <row r="6346" spans="13:22" x14ac:dyDescent="0.2">
      <c r="M6346" s="40"/>
      <c r="N6346" s="15"/>
      <c r="O6346" s="15"/>
      <c r="P6346" s="15"/>
      <c r="Q6346" s="39"/>
      <c r="R6346" s="35"/>
      <c r="S6346" s="36"/>
      <c r="T6346" s="36"/>
      <c r="U6346" s="36"/>
      <c r="V6346" s="37"/>
    </row>
    <row r="6347" spans="13:22" x14ac:dyDescent="0.2">
      <c r="M6347" s="40"/>
      <c r="N6347" s="15"/>
      <c r="O6347" s="15"/>
      <c r="P6347" s="15"/>
      <c r="Q6347" s="39"/>
      <c r="R6347" s="41"/>
      <c r="S6347" s="36"/>
      <c r="T6347" s="36"/>
      <c r="U6347" s="36"/>
      <c r="V6347" s="37"/>
    </row>
    <row r="6348" spans="13:22" x14ac:dyDescent="0.2">
      <c r="M6348" s="40"/>
      <c r="N6348" s="15"/>
      <c r="O6348" s="15"/>
      <c r="P6348" s="15"/>
      <c r="Q6348" s="39"/>
      <c r="R6348" s="41"/>
      <c r="S6348" s="36"/>
      <c r="T6348" s="36"/>
      <c r="U6348" s="36"/>
      <c r="V6348" s="37"/>
    </row>
    <row r="6349" spans="13:22" x14ac:dyDescent="0.2">
      <c r="M6349" s="40"/>
      <c r="N6349" s="15"/>
      <c r="O6349" s="15"/>
      <c r="P6349" s="15"/>
      <c r="Q6349" s="39"/>
      <c r="R6349" s="41"/>
      <c r="S6349" s="36"/>
      <c r="T6349" s="36"/>
      <c r="U6349" s="36"/>
      <c r="V6349" s="37"/>
    </row>
    <row r="6350" spans="13:22" x14ac:dyDescent="0.2">
      <c r="M6350" s="40"/>
      <c r="N6350" s="15"/>
      <c r="O6350" s="15"/>
      <c r="P6350" s="15"/>
      <c r="Q6350" s="39"/>
      <c r="R6350" s="41"/>
      <c r="S6350" s="36"/>
      <c r="T6350" s="36"/>
      <c r="U6350" s="36"/>
      <c r="V6350" s="37"/>
    </row>
    <row r="6351" spans="13:22" x14ac:dyDescent="0.2">
      <c r="M6351" s="40"/>
      <c r="N6351" s="15"/>
      <c r="O6351" s="15"/>
      <c r="P6351" s="15"/>
      <c r="Q6351" s="39"/>
      <c r="R6351" s="41"/>
      <c r="S6351" s="36"/>
      <c r="T6351" s="36"/>
      <c r="U6351" s="36"/>
      <c r="V6351" s="37"/>
    </row>
    <row r="6352" spans="13:22" x14ac:dyDescent="0.2">
      <c r="M6352" s="40"/>
      <c r="N6352" s="15"/>
      <c r="O6352" s="15"/>
      <c r="P6352" s="15"/>
      <c r="Q6352" s="39"/>
      <c r="R6352" s="41"/>
      <c r="S6352" s="36"/>
      <c r="T6352" s="36"/>
      <c r="U6352" s="36"/>
      <c r="V6352" s="37"/>
    </row>
    <row r="6353" spans="13:22" x14ac:dyDescent="0.2">
      <c r="M6353" s="40"/>
      <c r="N6353" s="15"/>
      <c r="O6353" s="15"/>
      <c r="P6353" s="15"/>
      <c r="Q6353" s="39"/>
      <c r="R6353" s="41"/>
      <c r="S6353" s="36"/>
      <c r="T6353" s="36"/>
      <c r="U6353" s="36"/>
      <c r="V6353" s="37"/>
    </row>
    <row r="6354" spans="13:22" x14ac:dyDescent="0.2">
      <c r="M6354" s="40"/>
      <c r="N6354" s="15"/>
      <c r="O6354" s="15"/>
      <c r="P6354" s="15"/>
      <c r="Q6354" s="39"/>
      <c r="R6354" s="41"/>
      <c r="S6354" s="36"/>
      <c r="T6354" s="36"/>
      <c r="U6354" s="36"/>
      <c r="V6354" s="37"/>
    </row>
    <row r="6355" spans="13:22" x14ac:dyDescent="0.2">
      <c r="M6355" s="40"/>
      <c r="N6355" s="15"/>
      <c r="O6355" s="15"/>
      <c r="P6355" s="15"/>
      <c r="Q6355" s="39"/>
      <c r="R6355" s="41"/>
      <c r="S6355" s="36"/>
      <c r="T6355" s="36"/>
      <c r="U6355" s="36"/>
      <c r="V6355" s="37"/>
    </row>
    <row r="6356" spans="13:22" ht="13.5" thickBot="1" x14ac:dyDescent="0.25">
      <c r="M6356" s="42"/>
      <c r="N6356" s="43"/>
      <c r="O6356" s="43"/>
      <c r="P6356" s="43"/>
      <c r="Q6356" s="44"/>
      <c r="R6356" s="41"/>
      <c r="S6356" s="46"/>
      <c r="T6356" s="46"/>
      <c r="U6356" s="46"/>
      <c r="V6356" s="47"/>
    </row>
    <row r="6357" spans="13:22" ht="13.5" thickBot="1" x14ac:dyDescent="0.25">
      <c r="M6357" s="48"/>
      <c r="N6357" s="49"/>
      <c r="O6357" s="49"/>
      <c r="P6357" s="49"/>
      <c r="Q6357" s="50"/>
      <c r="R6357" s="45"/>
      <c r="S6357" s="52"/>
      <c r="T6357" s="52"/>
      <c r="U6357" s="52"/>
      <c r="V6357" s="53"/>
    </row>
    <row r="6358" spans="13:22" x14ac:dyDescent="0.2">
      <c r="M6358" s="54"/>
      <c r="N6358" s="29"/>
      <c r="O6358" s="29"/>
      <c r="P6358" s="29"/>
      <c r="Q6358" s="34"/>
      <c r="R6358" s="51"/>
      <c r="S6358" s="36"/>
      <c r="T6358" s="36"/>
      <c r="U6358" s="36"/>
      <c r="V6358" s="37"/>
    </row>
    <row r="6359" spans="13:22" x14ac:dyDescent="0.2">
      <c r="M6359" s="33"/>
      <c r="N6359" s="29"/>
      <c r="O6359" s="29"/>
      <c r="P6359" s="29"/>
      <c r="Q6359" s="34"/>
      <c r="R6359" s="41"/>
      <c r="S6359" s="36"/>
      <c r="T6359" s="36"/>
      <c r="U6359" s="36"/>
      <c r="V6359" s="37"/>
    </row>
    <row r="6360" spans="13:22" x14ac:dyDescent="0.2">
      <c r="M6360" s="33"/>
      <c r="N6360" s="29"/>
      <c r="O6360" s="29"/>
      <c r="P6360" s="29"/>
      <c r="Q6360" s="34"/>
      <c r="R6360" s="35"/>
      <c r="S6360" s="36"/>
      <c r="T6360" s="36"/>
      <c r="U6360" s="36"/>
      <c r="V6360" s="37"/>
    </row>
    <row r="6361" spans="13:22" x14ac:dyDescent="0.2">
      <c r="M6361" s="33"/>
      <c r="N6361" s="29"/>
      <c r="O6361" s="29"/>
      <c r="P6361" s="29"/>
      <c r="Q6361" s="34"/>
      <c r="R6361" s="35"/>
      <c r="S6361" s="36"/>
      <c r="T6361" s="36"/>
      <c r="U6361" s="36"/>
      <c r="V6361" s="37"/>
    </row>
    <row r="6362" spans="13:22" x14ac:dyDescent="0.2">
      <c r="M6362" s="33"/>
      <c r="N6362" s="29"/>
      <c r="O6362" s="29"/>
      <c r="P6362" s="29"/>
      <c r="Q6362" s="34"/>
      <c r="R6362" s="35"/>
      <c r="S6362" s="36"/>
      <c r="T6362" s="36"/>
      <c r="U6362" s="36"/>
      <c r="V6362" s="37"/>
    </row>
    <row r="6363" spans="13:22" x14ac:dyDescent="0.2">
      <c r="M6363" s="33"/>
      <c r="N6363" s="29"/>
      <c r="O6363" s="29"/>
      <c r="P6363" s="29"/>
      <c r="Q6363" s="34"/>
      <c r="R6363" s="35"/>
      <c r="S6363" s="36"/>
      <c r="T6363" s="36"/>
      <c r="U6363" s="36"/>
      <c r="V6363" s="37"/>
    </row>
    <row r="6364" spans="13:22" x14ac:dyDescent="0.2">
      <c r="M6364" s="33"/>
      <c r="N6364" s="29"/>
      <c r="O6364" s="29"/>
      <c r="P6364" s="29"/>
      <c r="Q6364" s="38"/>
      <c r="R6364" s="35"/>
      <c r="S6364" s="36"/>
      <c r="T6364" s="36"/>
      <c r="U6364" s="36"/>
      <c r="V6364" s="37"/>
    </row>
    <row r="6365" spans="13:22" x14ac:dyDescent="0.2">
      <c r="M6365" s="33"/>
      <c r="N6365" s="29"/>
      <c r="O6365" s="29"/>
      <c r="P6365" s="29"/>
      <c r="Q6365" s="34"/>
      <c r="R6365" s="35"/>
      <c r="S6365" s="36"/>
      <c r="T6365" s="36"/>
      <c r="U6365" s="36"/>
      <c r="V6365" s="37"/>
    </row>
    <row r="6366" spans="13:22" x14ac:dyDescent="0.2">
      <c r="M6366" s="33"/>
      <c r="N6366" s="29"/>
      <c r="O6366" s="29"/>
      <c r="P6366" s="29"/>
      <c r="Q6366" s="34"/>
      <c r="R6366" s="35"/>
      <c r="S6366" s="36"/>
      <c r="T6366" s="36"/>
      <c r="U6366" s="36"/>
      <c r="V6366" s="37"/>
    </row>
    <row r="6367" spans="13:22" x14ac:dyDescent="0.2">
      <c r="M6367" s="33"/>
      <c r="N6367" s="29"/>
      <c r="O6367" s="29"/>
      <c r="P6367" s="29"/>
      <c r="Q6367" s="34"/>
      <c r="R6367" s="35"/>
      <c r="S6367" s="36"/>
      <c r="T6367" s="36"/>
      <c r="U6367" s="36"/>
      <c r="V6367" s="37"/>
    </row>
    <row r="6368" spans="13:22" x14ac:dyDescent="0.2">
      <c r="M6368" s="33"/>
      <c r="N6368" s="29"/>
      <c r="O6368" s="29"/>
      <c r="P6368" s="29"/>
      <c r="Q6368" s="34"/>
      <c r="R6368" s="35"/>
      <c r="S6368" s="36"/>
      <c r="T6368" s="36"/>
      <c r="U6368" s="36"/>
      <c r="V6368" s="37"/>
    </row>
    <row r="6369" spans="13:22" x14ac:dyDescent="0.2">
      <c r="M6369" s="26"/>
      <c r="N6369" s="15"/>
      <c r="O6369" s="15"/>
      <c r="P6369" s="15"/>
      <c r="Q6369" s="39"/>
      <c r="R6369" s="35"/>
      <c r="S6369" s="36"/>
      <c r="T6369" s="36"/>
      <c r="U6369" s="36"/>
      <c r="V6369" s="37"/>
    </row>
    <row r="6370" spans="13:22" x14ac:dyDescent="0.2">
      <c r="M6370" s="26"/>
      <c r="N6370" s="15"/>
      <c r="O6370" s="15"/>
      <c r="P6370" s="15"/>
      <c r="Q6370" s="39"/>
      <c r="R6370" s="35"/>
      <c r="S6370" s="36"/>
      <c r="T6370" s="36"/>
      <c r="U6370" s="36"/>
      <c r="V6370" s="37"/>
    </row>
    <row r="6371" spans="13:22" x14ac:dyDescent="0.2">
      <c r="M6371" s="40"/>
      <c r="N6371" s="15"/>
      <c r="O6371" s="15"/>
      <c r="P6371" s="15"/>
      <c r="Q6371" s="39"/>
      <c r="R6371" s="35"/>
      <c r="S6371" s="36"/>
      <c r="T6371" s="36"/>
      <c r="U6371" s="36"/>
      <c r="V6371" s="37"/>
    </row>
    <row r="6372" spans="13:22" x14ac:dyDescent="0.2">
      <c r="M6372" s="40"/>
      <c r="N6372" s="15"/>
      <c r="O6372" s="15"/>
      <c r="P6372" s="15"/>
      <c r="Q6372" s="39"/>
      <c r="R6372" s="41"/>
      <c r="S6372" s="36"/>
      <c r="T6372" s="36"/>
      <c r="U6372" s="36"/>
      <c r="V6372" s="37"/>
    </row>
    <row r="6373" spans="13:22" x14ac:dyDescent="0.2">
      <c r="M6373" s="40"/>
      <c r="N6373" s="15"/>
      <c r="O6373" s="15"/>
      <c r="P6373" s="15"/>
      <c r="Q6373" s="39"/>
      <c r="R6373" s="41"/>
      <c r="S6373" s="36"/>
      <c r="T6373" s="36"/>
      <c r="U6373" s="36"/>
      <c r="V6373" s="37"/>
    </row>
    <row r="6374" spans="13:22" x14ac:dyDescent="0.2">
      <c r="M6374" s="40"/>
      <c r="N6374" s="15"/>
      <c r="O6374" s="15"/>
      <c r="P6374" s="15"/>
      <c r="Q6374" s="39"/>
      <c r="R6374" s="41"/>
      <c r="S6374" s="36"/>
      <c r="T6374" s="36"/>
      <c r="U6374" s="36"/>
      <c r="V6374" s="37"/>
    </row>
    <row r="6375" spans="13:22" x14ac:dyDescent="0.2">
      <c r="M6375" s="40"/>
      <c r="N6375" s="15"/>
      <c r="O6375" s="15"/>
      <c r="P6375" s="15"/>
      <c r="Q6375" s="39"/>
      <c r="R6375" s="41"/>
      <c r="S6375" s="36"/>
      <c r="T6375" s="36"/>
      <c r="U6375" s="36"/>
      <c r="V6375" s="37"/>
    </row>
    <row r="6376" spans="13:22" x14ac:dyDescent="0.2">
      <c r="M6376" s="40"/>
      <c r="N6376" s="15"/>
      <c r="O6376" s="15"/>
      <c r="P6376" s="15"/>
      <c r="Q6376" s="39"/>
      <c r="R6376" s="41"/>
      <c r="S6376" s="36"/>
      <c r="T6376" s="36"/>
      <c r="U6376" s="36"/>
      <c r="V6376" s="37"/>
    </row>
    <row r="6377" spans="13:22" x14ac:dyDescent="0.2">
      <c r="M6377" s="40"/>
      <c r="N6377" s="15"/>
      <c r="O6377" s="15"/>
      <c r="P6377" s="15"/>
      <c r="Q6377" s="39"/>
      <c r="R6377" s="41"/>
      <c r="S6377" s="36"/>
      <c r="T6377" s="36"/>
      <c r="U6377" s="36"/>
      <c r="V6377" s="37"/>
    </row>
    <row r="6378" spans="13:22" x14ac:dyDescent="0.2">
      <c r="M6378" s="40"/>
      <c r="N6378" s="15"/>
      <c r="O6378" s="15"/>
      <c r="P6378" s="15"/>
      <c r="Q6378" s="39"/>
      <c r="R6378" s="41"/>
      <c r="S6378" s="36"/>
      <c r="T6378" s="36"/>
      <c r="U6378" s="36"/>
      <c r="V6378" s="37"/>
    </row>
    <row r="6379" spans="13:22" x14ac:dyDescent="0.2">
      <c r="M6379" s="40"/>
      <c r="N6379" s="15"/>
      <c r="O6379" s="15"/>
      <c r="P6379" s="15"/>
      <c r="Q6379" s="39"/>
      <c r="R6379" s="41"/>
      <c r="S6379" s="36"/>
      <c r="T6379" s="36"/>
      <c r="U6379" s="36"/>
      <c r="V6379" s="37"/>
    </row>
    <row r="6380" spans="13:22" x14ac:dyDescent="0.2">
      <c r="M6380" s="40"/>
      <c r="N6380" s="15"/>
      <c r="O6380" s="15"/>
      <c r="P6380" s="15"/>
      <c r="Q6380" s="39"/>
      <c r="R6380" s="41"/>
      <c r="S6380" s="36"/>
      <c r="T6380" s="36"/>
      <c r="U6380" s="36"/>
      <c r="V6380" s="37"/>
    </row>
    <row r="6381" spans="13:22" ht="13.5" thickBot="1" x14ac:dyDescent="0.25">
      <c r="M6381" s="42"/>
      <c r="N6381" s="43"/>
      <c r="O6381" s="43"/>
      <c r="P6381" s="43"/>
      <c r="Q6381" s="44"/>
      <c r="R6381" s="41"/>
      <c r="S6381" s="46"/>
      <c r="T6381" s="46"/>
      <c r="U6381" s="46"/>
      <c r="V6381" s="47"/>
    </row>
    <row r="6382" spans="13:22" ht="13.5" thickBot="1" x14ac:dyDescent="0.25">
      <c r="M6382" s="48"/>
      <c r="N6382" s="49"/>
      <c r="O6382" s="49"/>
      <c r="P6382" s="49"/>
      <c r="Q6382" s="50"/>
      <c r="R6382" s="45"/>
      <c r="S6382" s="52"/>
      <c r="T6382" s="52"/>
      <c r="U6382" s="52"/>
      <c r="V6382" s="53"/>
    </row>
    <row r="6383" spans="13:22" x14ac:dyDescent="0.2">
      <c r="M6383" s="54"/>
      <c r="N6383" s="29"/>
      <c r="O6383" s="29"/>
      <c r="P6383" s="29"/>
      <c r="Q6383" s="34"/>
      <c r="R6383" s="51"/>
      <c r="S6383" s="36"/>
      <c r="T6383" s="36"/>
      <c r="U6383" s="36"/>
      <c r="V6383" s="37"/>
    </row>
    <row r="6384" spans="13:22" x14ac:dyDescent="0.2">
      <c r="M6384" s="33"/>
      <c r="N6384" s="29"/>
      <c r="O6384" s="29"/>
      <c r="P6384" s="29"/>
      <c r="Q6384" s="34"/>
      <c r="R6384" s="41"/>
      <c r="S6384" s="36"/>
      <c r="T6384" s="36"/>
      <c r="U6384" s="36"/>
      <c r="V6384" s="37"/>
    </row>
    <row r="6385" spans="13:22" x14ac:dyDescent="0.2">
      <c r="M6385" s="33"/>
      <c r="N6385" s="29"/>
      <c r="O6385" s="29"/>
      <c r="P6385" s="29"/>
      <c r="Q6385" s="34"/>
      <c r="R6385" s="35"/>
      <c r="S6385" s="36"/>
      <c r="T6385" s="36"/>
      <c r="U6385" s="36"/>
      <c r="V6385" s="37"/>
    </row>
    <row r="6386" spans="13:22" x14ac:dyDescent="0.2">
      <c r="M6386" s="33"/>
      <c r="N6386" s="29"/>
      <c r="O6386" s="29"/>
      <c r="P6386" s="29"/>
      <c r="Q6386" s="34"/>
      <c r="R6386" s="35"/>
      <c r="S6386" s="36"/>
      <c r="T6386" s="36"/>
      <c r="U6386" s="36"/>
      <c r="V6386" s="37"/>
    </row>
    <row r="6387" spans="13:22" x14ac:dyDescent="0.2">
      <c r="M6387" s="33"/>
      <c r="N6387" s="29"/>
      <c r="O6387" s="29"/>
      <c r="P6387" s="29"/>
      <c r="Q6387" s="34"/>
      <c r="R6387" s="35"/>
      <c r="S6387" s="36"/>
      <c r="T6387" s="36"/>
      <c r="U6387" s="36"/>
      <c r="V6387" s="37"/>
    </row>
    <row r="6388" spans="13:22" x14ac:dyDescent="0.2">
      <c r="M6388" s="33"/>
      <c r="N6388" s="29"/>
      <c r="O6388" s="29"/>
      <c r="P6388" s="29"/>
      <c r="Q6388" s="34"/>
      <c r="R6388" s="35"/>
      <c r="S6388" s="36"/>
      <c r="T6388" s="36"/>
      <c r="U6388" s="36"/>
      <c r="V6388" s="37"/>
    </row>
    <row r="6389" spans="13:22" x14ac:dyDescent="0.2">
      <c r="M6389" s="33"/>
      <c r="N6389" s="29"/>
      <c r="O6389" s="29"/>
      <c r="P6389" s="29"/>
      <c r="Q6389" s="38"/>
      <c r="R6389" s="35"/>
      <c r="S6389" s="36"/>
      <c r="T6389" s="36"/>
      <c r="U6389" s="36"/>
      <c r="V6389" s="37"/>
    </row>
    <row r="6390" spans="13:22" x14ac:dyDescent="0.2">
      <c r="M6390" s="33"/>
      <c r="N6390" s="29"/>
      <c r="O6390" s="29"/>
      <c r="P6390" s="29"/>
      <c r="Q6390" s="34"/>
      <c r="R6390" s="35"/>
      <c r="S6390" s="36"/>
      <c r="T6390" s="36"/>
      <c r="U6390" s="36"/>
      <c r="V6390" s="37"/>
    </row>
    <row r="6391" spans="13:22" x14ac:dyDescent="0.2">
      <c r="M6391" s="33"/>
      <c r="N6391" s="29"/>
      <c r="O6391" s="29"/>
      <c r="P6391" s="29"/>
      <c r="Q6391" s="34"/>
      <c r="R6391" s="35"/>
      <c r="S6391" s="36"/>
      <c r="T6391" s="36"/>
      <c r="U6391" s="36"/>
      <c r="V6391" s="37"/>
    </row>
    <row r="6392" spans="13:22" x14ac:dyDescent="0.2">
      <c r="M6392" s="33"/>
      <c r="N6392" s="29"/>
      <c r="O6392" s="29"/>
      <c r="P6392" s="29"/>
      <c r="Q6392" s="34"/>
      <c r="R6392" s="35"/>
      <c r="S6392" s="36"/>
      <c r="T6392" s="36"/>
      <c r="U6392" s="36"/>
      <c r="V6392" s="37"/>
    </row>
    <row r="6393" spans="13:22" x14ac:dyDescent="0.2">
      <c r="M6393" s="33"/>
      <c r="N6393" s="29"/>
      <c r="O6393" s="29"/>
      <c r="P6393" s="29"/>
      <c r="Q6393" s="34"/>
      <c r="R6393" s="35"/>
      <c r="S6393" s="36"/>
      <c r="T6393" s="36"/>
      <c r="U6393" s="36"/>
      <c r="V6393" s="37"/>
    </row>
    <row r="6394" spans="13:22" x14ac:dyDescent="0.2">
      <c r="M6394" s="26"/>
      <c r="N6394" s="15"/>
      <c r="O6394" s="15"/>
      <c r="P6394" s="15"/>
      <c r="Q6394" s="39"/>
      <c r="R6394" s="35"/>
      <c r="S6394" s="36"/>
      <c r="T6394" s="36"/>
      <c r="U6394" s="36"/>
      <c r="V6394" s="37"/>
    </row>
    <row r="6395" spans="13:22" x14ac:dyDescent="0.2">
      <c r="M6395" s="26"/>
      <c r="N6395" s="15"/>
      <c r="O6395" s="15"/>
      <c r="P6395" s="15"/>
      <c r="Q6395" s="39"/>
      <c r="R6395" s="35"/>
      <c r="S6395" s="36"/>
      <c r="T6395" s="36"/>
      <c r="U6395" s="36"/>
      <c r="V6395" s="37"/>
    </row>
    <row r="6396" spans="13:22" x14ac:dyDescent="0.2">
      <c r="M6396" s="40"/>
      <c r="N6396" s="15"/>
      <c r="O6396" s="15"/>
      <c r="P6396" s="15"/>
      <c r="Q6396" s="39"/>
      <c r="R6396" s="35"/>
      <c r="S6396" s="36"/>
      <c r="T6396" s="36"/>
      <c r="U6396" s="36"/>
      <c r="V6396" s="37"/>
    </row>
    <row r="6397" spans="13:22" x14ac:dyDescent="0.2">
      <c r="M6397" s="40"/>
      <c r="N6397" s="15"/>
      <c r="O6397" s="15"/>
      <c r="P6397" s="15"/>
      <c r="Q6397" s="39"/>
      <c r="R6397" s="41"/>
      <c r="S6397" s="36"/>
      <c r="T6397" s="36"/>
      <c r="U6397" s="36"/>
      <c r="V6397" s="37"/>
    </row>
    <row r="6398" spans="13:22" x14ac:dyDescent="0.2">
      <c r="M6398" s="40"/>
      <c r="N6398" s="15"/>
      <c r="O6398" s="15"/>
      <c r="P6398" s="15"/>
      <c r="Q6398" s="39"/>
      <c r="R6398" s="41"/>
      <c r="S6398" s="36"/>
      <c r="T6398" s="36"/>
      <c r="U6398" s="36"/>
      <c r="V6398" s="37"/>
    </row>
    <row r="6399" spans="13:22" x14ac:dyDescent="0.2">
      <c r="M6399" s="40"/>
      <c r="N6399" s="15"/>
      <c r="O6399" s="15"/>
      <c r="P6399" s="15"/>
      <c r="Q6399" s="39"/>
      <c r="R6399" s="41"/>
      <c r="S6399" s="36"/>
      <c r="T6399" s="36"/>
      <c r="U6399" s="36"/>
      <c r="V6399" s="37"/>
    </row>
    <row r="6400" spans="13:22" x14ac:dyDescent="0.2">
      <c r="M6400" s="40"/>
      <c r="N6400" s="15"/>
      <c r="O6400" s="15"/>
      <c r="P6400" s="15"/>
      <c r="Q6400" s="39"/>
      <c r="R6400" s="41"/>
      <c r="S6400" s="36"/>
      <c r="T6400" s="36"/>
      <c r="U6400" s="36"/>
      <c r="V6400" s="37"/>
    </row>
    <row r="6401" spans="13:22" x14ac:dyDescent="0.2">
      <c r="M6401" s="40"/>
      <c r="N6401" s="15"/>
      <c r="O6401" s="15"/>
      <c r="P6401" s="15"/>
      <c r="Q6401" s="39"/>
      <c r="R6401" s="41"/>
      <c r="S6401" s="36"/>
      <c r="T6401" s="36"/>
      <c r="U6401" s="36"/>
      <c r="V6401" s="37"/>
    </row>
    <row r="6402" spans="13:22" x14ac:dyDescent="0.2">
      <c r="M6402" s="40"/>
      <c r="N6402" s="15"/>
      <c r="O6402" s="15"/>
      <c r="P6402" s="15"/>
      <c r="Q6402" s="39"/>
      <c r="R6402" s="41"/>
      <c r="S6402" s="36"/>
      <c r="T6402" s="36"/>
      <c r="U6402" s="36"/>
      <c r="V6402" s="37"/>
    </row>
    <row r="6403" spans="13:22" x14ac:dyDescent="0.2">
      <c r="M6403" s="40"/>
      <c r="N6403" s="15"/>
      <c r="O6403" s="15"/>
      <c r="P6403" s="15"/>
      <c r="Q6403" s="39"/>
      <c r="R6403" s="41"/>
      <c r="S6403" s="36"/>
      <c r="T6403" s="36"/>
      <c r="U6403" s="36"/>
      <c r="V6403" s="37"/>
    </row>
    <row r="6404" spans="13:22" x14ac:dyDescent="0.2">
      <c r="M6404" s="40"/>
      <c r="N6404" s="15"/>
      <c r="O6404" s="15"/>
      <c r="P6404" s="15"/>
      <c r="Q6404" s="39"/>
      <c r="R6404" s="41"/>
      <c r="S6404" s="36"/>
      <c r="T6404" s="36"/>
      <c r="U6404" s="36"/>
      <c r="V6404" s="37"/>
    </row>
    <row r="6405" spans="13:22" x14ac:dyDescent="0.2">
      <c r="M6405" s="40"/>
      <c r="N6405" s="15"/>
      <c r="O6405" s="15"/>
      <c r="P6405" s="15"/>
      <c r="Q6405" s="39"/>
      <c r="R6405" s="41"/>
      <c r="S6405" s="36"/>
      <c r="T6405" s="36"/>
      <c r="U6405" s="36"/>
      <c r="V6405" s="37"/>
    </row>
    <row r="6406" spans="13:22" ht="13.5" thickBot="1" x14ac:dyDescent="0.25">
      <c r="M6406" s="42"/>
      <c r="N6406" s="43"/>
      <c r="O6406" s="43"/>
      <c r="P6406" s="43"/>
      <c r="Q6406" s="44"/>
      <c r="R6406" s="41"/>
      <c r="S6406" s="46"/>
      <c r="T6406" s="46"/>
      <c r="U6406" s="46"/>
      <c r="V6406" s="47"/>
    </row>
    <row r="6407" spans="13:22" ht="13.5" thickBot="1" x14ac:dyDescent="0.25">
      <c r="M6407" s="48"/>
      <c r="N6407" s="49"/>
      <c r="O6407" s="49"/>
      <c r="P6407" s="49"/>
      <c r="Q6407" s="50"/>
      <c r="R6407" s="45"/>
      <c r="S6407" s="52"/>
      <c r="T6407" s="52"/>
      <c r="U6407" s="52"/>
      <c r="V6407" s="53"/>
    </row>
    <row r="6408" spans="13:22" x14ac:dyDescent="0.2">
      <c r="M6408" s="54"/>
      <c r="N6408" s="29"/>
      <c r="O6408" s="29"/>
      <c r="P6408" s="29"/>
      <c r="Q6408" s="34"/>
      <c r="R6408" s="51"/>
      <c r="S6408" s="36"/>
      <c r="T6408" s="36"/>
      <c r="U6408" s="36"/>
      <c r="V6408" s="37"/>
    </row>
    <row r="6409" spans="13:22" x14ac:dyDescent="0.2">
      <c r="M6409" s="33"/>
      <c r="N6409" s="29"/>
      <c r="O6409" s="29"/>
      <c r="P6409" s="29"/>
      <c r="Q6409" s="34"/>
      <c r="R6409" s="41"/>
      <c r="S6409" s="36"/>
      <c r="T6409" s="36"/>
      <c r="U6409" s="36"/>
      <c r="V6409" s="37"/>
    </row>
    <row r="6410" spans="13:22" x14ac:dyDescent="0.2">
      <c r="M6410" s="33"/>
      <c r="N6410" s="29"/>
      <c r="O6410" s="29"/>
      <c r="P6410" s="29"/>
      <c r="Q6410" s="34"/>
      <c r="R6410" s="35"/>
      <c r="S6410" s="36"/>
      <c r="T6410" s="36"/>
      <c r="U6410" s="36"/>
      <c r="V6410" s="37"/>
    </row>
    <row r="6411" spans="13:22" x14ac:dyDescent="0.2">
      <c r="M6411" s="33"/>
      <c r="N6411" s="29"/>
      <c r="O6411" s="29"/>
      <c r="P6411" s="29"/>
      <c r="Q6411" s="34"/>
      <c r="R6411" s="35"/>
      <c r="S6411" s="36"/>
      <c r="T6411" s="36"/>
      <c r="U6411" s="36"/>
      <c r="V6411" s="37"/>
    </row>
    <row r="6412" spans="13:22" x14ac:dyDescent="0.2">
      <c r="M6412" s="33"/>
      <c r="N6412" s="29"/>
      <c r="O6412" s="29"/>
      <c r="P6412" s="29"/>
      <c r="Q6412" s="34"/>
      <c r="R6412" s="35"/>
      <c r="S6412" s="36"/>
      <c r="T6412" s="36"/>
      <c r="U6412" s="36"/>
      <c r="V6412" s="37"/>
    </row>
    <row r="6413" spans="13:22" x14ac:dyDescent="0.2">
      <c r="M6413" s="33"/>
      <c r="N6413" s="29"/>
      <c r="O6413" s="29"/>
      <c r="P6413" s="29"/>
      <c r="Q6413" s="34"/>
      <c r="R6413" s="35"/>
      <c r="S6413" s="36"/>
      <c r="T6413" s="36"/>
      <c r="U6413" s="36"/>
      <c r="V6413" s="37"/>
    </row>
    <row r="6414" spans="13:22" x14ac:dyDescent="0.2">
      <c r="M6414" s="33"/>
      <c r="N6414" s="29"/>
      <c r="O6414" s="29"/>
      <c r="P6414" s="29"/>
      <c r="Q6414" s="38"/>
      <c r="R6414" s="35"/>
      <c r="S6414" s="36"/>
      <c r="T6414" s="36"/>
      <c r="U6414" s="36"/>
      <c r="V6414" s="37"/>
    </row>
    <row r="6415" spans="13:22" x14ac:dyDescent="0.2">
      <c r="M6415" s="33"/>
      <c r="N6415" s="29"/>
      <c r="O6415" s="29"/>
      <c r="P6415" s="29"/>
      <c r="Q6415" s="34"/>
      <c r="R6415" s="35"/>
      <c r="S6415" s="36"/>
      <c r="T6415" s="36"/>
      <c r="U6415" s="36"/>
      <c r="V6415" s="37"/>
    </row>
    <row r="6416" spans="13:22" x14ac:dyDescent="0.2">
      <c r="M6416" s="33"/>
      <c r="N6416" s="29"/>
      <c r="O6416" s="29"/>
      <c r="P6416" s="29"/>
      <c r="Q6416" s="34"/>
      <c r="R6416" s="35"/>
      <c r="S6416" s="36"/>
      <c r="T6416" s="36"/>
      <c r="U6416" s="36"/>
      <c r="V6416" s="37"/>
    </row>
    <row r="6417" spans="13:22" x14ac:dyDescent="0.2">
      <c r="M6417" s="33"/>
      <c r="N6417" s="29"/>
      <c r="O6417" s="29"/>
      <c r="P6417" s="29"/>
      <c r="Q6417" s="34"/>
      <c r="R6417" s="35"/>
      <c r="S6417" s="36"/>
      <c r="T6417" s="36"/>
      <c r="U6417" s="36"/>
      <c r="V6417" s="37"/>
    </row>
    <row r="6418" spans="13:22" x14ac:dyDescent="0.2">
      <c r="M6418" s="33"/>
      <c r="N6418" s="29"/>
      <c r="O6418" s="29"/>
      <c r="P6418" s="29"/>
      <c r="Q6418" s="34"/>
      <c r="R6418" s="35"/>
      <c r="S6418" s="36"/>
      <c r="T6418" s="36"/>
      <c r="U6418" s="36"/>
      <c r="V6418" s="37"/>
    </row>
    <row r="6419" spans="13:22" x14ac:dyDescent="0.2">
      <c r="M6419" s="26"/>
      <c r="N6419" s="15"/>
      <c r="O6419" s="15"/>
      <c r="P6419" s="15"/>
      <c r="Q6419" s="39"/>
      <c r="R6419" s="35"/>
      <c r="S6419" s="36"/>
      <c r="T6419" s="36"/>
      <c r="U6419" s="36"/>
      <c r="V6419" s="37"/>
    </row>
    <row r="6420" spans="13:22" x14ac:dyDescent="0.2">
      <c r="M6420" s="26"/>
      <c r="N6420" s="15"/>
      <c r="O6420" s="15"/>
      <c r="P6420" s="15"/>
      <c r="Q6420" s="39"/>
      <c r="R6420" s="35"/>
      <c r="S6420" s="36"/>
      <c r="T6420" s="36"/>
      <c r="U6420" s="36"/>
      <c r="V6420" s="37"/>
    </row>
    <row r="6421" spans="13:22" x14ac:dyDescent="0.2">
      <c r="M6421" s="40"/>
      <c r="N6421" s="15"/>
      <c r="O6421" s="15"/>
      <c r="P6421" s="15"/>
      <c r="Q6421" s="39"/>
      <c r="R6421" s="35"/>
      <c r="S6421" s="36"/>
      <c r="T6421" s="36"/>
      <c r="U6421" s="36"/>
      <c r="V6421" s="37"/>
    </row>
    <row r="6422" spans="13:22" x14ac:dyDescent="0.2">
      <c r="M6422" s="40"/>
      <c r="N6422" s="15"/>
      <c r="O6422" s="15"/>
      <c r="P6422" s="15"/>
      <c r="Q6422" s="39"/>
      <c r="R6422" s="41"/>
      <c r="S6422" s="36"/>
      <c r="T6422" s="36"/>
      <c r="U6422" s="36"/>
      <c r="V6422" s="37"/>
    </row>
    <row r="6423" spans="13:22" x14ac:dyDescent="0.2">
      <c r="M6423" s="40"/>
      <c r="N6423" s="15"/>
      <c r="O6423" s="15"/>
      <c r="P6423" s="15"/>
      <c r="Q6423" s="39"/>
      <c r="R6423" s="41"/>
      <c r="S6423" s="36"/>
      <c r="T6423" s="36"/>
      <c r="U6423" s="36"/>
      <c r="V6423" s="37"/>
    </row>
    <row r="6424" spans="13:22" x14ac:dyDescent="0.2">
      <c r="M6424" s="40"/>
      <c r="N6424" s="15"/>
      <c r="O6424" s="15"/>
      <c r="P6424" s="15"/>
      <c r="Q6424" s="39"/>
      <c r="R6424" s="41"/>
      <c r="S6424" s="36"/>
      <c r="T6424" s="36"/>
      <c r="U6424" s="36"/>
      <c r="V6424" s="37"/>
    </row>
    <row r="6425" spans="13:22" x14ac:dyDescent="0.2">
      <c r="M6425" s="40"/>
      <c r="N6425" s="15"/>
      <c r="O6425" s="15"/>
      <c r="P6425" s="15"/>
      <c r="Q6425" s="39"/>
      <c r="R6425" s="41"/>
      <c r="S6425" s="36"/>
      <c r="T6425" s="36"/>
      <c r="U6425" s="36"/>
      <c r="V6425" s="37"/>
    </row>
    <row r="6426" spans="13:22" x14ac:dyDescent="0.2">
      <c r="M6426" s="40"/>
      <c r="N6426" s="15"/>
      <c r="O6426" s="15"/>
      <c r="P6426" s="15"/>
      <c r="Q6426" s="39"/>
      <c r="R6426" s="41"/>
      <c r="S6426" s="36"/>
      <c r="T6426" s="36"/>
      <c r="U6426" s="36"/>
      <c r="V6426" s="37"/>
    </row>
    <row r="6427" spans="13:22" x14ac:dyDescent="0.2">
      <c r="M6427" s="40"/>
      <c r="N6427" s="15"/>
      <c r="O6427" s="15"/>
      <c r="P6427" s="15"/>
      <c r="Q6427" s="39"/>
      <c r="R6427" s="41"/>
      <c r="S6427" s="36"/>
      <c r="T6427" s="36"/>
      <c r="U6427" s="36"/>
      <c r="V6427" s="37"/>
    </row>
    <row r="6428" spans="13:22" x14ac:dyDescent="0.2">
      <c r="M6428" s="40"/>
      <c r="N6428" s="15"/>
      <c r="O6428" s="15"/>
      <c r="P6428" s="15"/>
      <c r="Q6428" s="39"/>
      <c r="R6428" s="41"/>
      <c r="S6428" s="36"/>
      <c r="T6428" s="36"/>
      <c r="U6428" s="36"/>
      <c r="V6428" s="37"/>
    </row>
    <row r="6429" spans="13:22" x14ac:dyDescent="0.2">
      <c r="M6429" s="40"/>
      <c r="N6429" s="15"/>
      <c r="O6429" s="15"/>
      <c r="P6429" s="15"/>
      <c r="Q6429" s="39"/>
      <c r="R6429" s="41"/>
      <c r="S6429" s="36"/>
      <c r="T6429" s="36"/>
      <c r="U6429" s="36"/>
      <c r="V6429" s="37"/>
    </row>
    <row r="6430" spans="13:22" x14ac:dyDescent="0.2">
      <c r="M6430" s="40"/>
      <c r="N6430" s="15"/>
      <c r="O6430" s="15"/>
      <c r="P6430" s="15"/>
      <c r="Q6430" s="39"/>
      <c r="R6430" s="41"/>
      <c r="S6430" s="36"/>
      <c r="T6430" s="36"/>
      <c r="U6430" s="36"/>
      <c r="V6430" s="37"/>
    </row>
    <row r="6431" spans="13:22" ht="13.5" thickBot="1" x14ac:dyDescent="0.25">
      <c r="M6431" s="42"/>
      <c r="N6431" s="43"/>
      <c r="O6431" s="43"/>
      <c r="P6431" s="43"/>
      <c r="Q6431" s="44"/>
      <c r="R6431" s="41"/>
      <c r="S6431" s="46"/>
      <c r="T6431" s="46"/>
      <c r="U6431" s="46"/>
      <c r="V6431" s="47"/>
    </row>
    <row r="6432" spans="13:22" ht="13.5" thickBot="1" x14ac:dyDescent="0.25">
      <c r="M6432" s="48"/>
      <c r="N6432" s="49"/>
      <c r="O6432" s="49"/>
      <c r="P6432" s="49"/>
      <c r="Q6432" s="50"/>
      <c r="R6432" s="45"/>
      <c r="S6432" s="52"/>
      <c r="T6432" s="52"/>
      <c r="U6432" s="52"/>
      <c r="V6432" s="53"/>
    </row>
    <row r="6433" spans="13:22" x14ac:dyDescent="0.2">
      <c r="M6433" s="54"/>
      <c r="N6433" s="29"/>
      <c r="O6433" s="29"/>
      <c r="P6433" s="29"/>
      <c r="Q6433" s="34"/>
      <c r="R6433" s="51"/>
      <c r="S6433" s="36"/>
      <c r="T6433" s="36"/>
      <c r="U6433" s="36"/>
      <c r="V6433" s="37"/>
    </row>
    <row r="6434" spans="13:22" x14ac:dyDescent="0.2">
      <c r="M6434" s="33"/>
      <c r="N6434" s="29"/>
      <c r="O6434" s="29"/>
      <c r="P6434" s="29"/>
      <c r="Q6434" s="34"/>
      <c r="R6434" s="41"/>
      <c r="S6434" s="36"/>
      <c r="T6434" s="36"/>
      <c r="U6434" s="36"/>
      <c r="V6434" s="37"/>
    </row>
    <row r="6435" spans="13:22" x14ac:dyDescent="0.2">
      <c r="M6435" s="33"/>
      <c r="N6435" s="29"/>
      <c r="O6435" s="29"/>
      <c r="P6435" s="29"/>
      <c r="Q6435" s="34"/>
      <c r="R6435" s="35"/>
      <c r="S6435" s="36"/>
      <c r="T6435" s="36"/>
      <c r="U6435" s="36"/>
      <c r="V6435" s="37"/>
    </row>
    <row r="6436" spans="13:22" x14ac:dyDescent="0.2">
      <c r="M6436" s="33"/>
      <c r="N6436" s="29"/>
      <c r="O6436" s="29"/>
      <c r="P6436" s="29"/>
      <c r="Q6436" s="34"/>
      <c r="R6436" s="35"/>
      <c r="S6436" s="36"/>
      <c r="T6436" s="36"/>
      <c r="U6436" s="36"/>
      <c r="V6436" s="37"/>
    </row>
    <row r="6437" spans="13:22" x14ac:dyDescent="0.2">
      <c r="M6437" s="33"/>
      <c r="N6437" s="29"/>
      <c r="O6437" s="29"/>
      <c r="P6437" s="29"/>
      <c r="Q6437" s="34"/>
      <c r="R6437" s="35"/>
      <c r="S6437" s="36"/>
      <c r="T6437" s="36"/>
      <c r="U6437" s="36"/>
      <c r="V6437" s="37"/>
    </row>
    <row r="6438" spans="13:22" x14ac:dyDescent="0.2">
      <c r="M6438" s="33"/>
      <c r="N6438" s="29"/>
      <c r="O6438" s="29"/>
      <c r="P6438" s="29"/>
      <c r="Q6438" s="34"/>
      <c r="R6438" s="35"/>
      <c r="S6438" s="36"/>
      <c r="T6438" s="36"/>
      <c r="U6438" s="36"/>
      <c r="V6438" s="37"/>
    </row>
    <row r="6439" spans="13:22" x14ac:dyDescent="0.2">
      <c r="M6439" s="33"/>
      <c r="N6439" s="29"/>
      <c r="O6439" s="29"/>
      <c r="P6439" s="29"/>
      <c r="Q6439" s="38"/>
      <c r="R6439" s="35"/>
      <c r="S6439" s="36"/>
      <c r="T6439" s="36"/>
      <c r="U6439" s="36"/>
      <c r="V6439" s="37"/>
    </row>
    <row r="6440" spans="13:22" x14ac:dyDescent="0.2">
      <c r="M6440" s="33"/>
      <c r="N6440" s="29"/>
      <c r="O6440" s="29"/>
      <c r="P6440" s="29"/>
      <c r="Q6440" s="34"/>
      <c r="R6440" s="35"/>
      <c r="S6440" s="36"/>
      <c r="T6440" s="36"/>
      <c r="U6440" s="36"/>
      <c r="V6440" s="37"/>
    </row>
    <row r="6441" spans="13:22" x14ac:dyDescent="0.2">
      <c r="M6441" s="33"/>
      <c r="N6441" s="29"/>
      <c r="O6441" s="29"/>
      <c r="P6441" s="29"/>
      <c r="Q6441" s="34"/>
      <c r="R6441" s="35"/>
      <c r="S6441" s="36"/>
      <c r="T6441" s="36"/>
      <c r="U6441" s="36"/>
      <c r="V6441" s="37"/>
    </row>
    <row r="6442" spans="13:22" x14ac:dyDescent="0.2">
      <c r="M6442" s="33"/>
      <c r="N6442" s="29"/>
      <c r="O6442" s="29"/>
      <c r="P6442" s="29"/>
      <c r="Q6442" s="34"/>
      <c r="R6442" s="35"/>
      <c r="S6442" s="36"/>
      <c r="T6442" s="36"/>
      <c r="U6442" s="36"/>
      <c r="V6442" s="37"/>
    </row>
    <row r="6443" spans="13:22" x14ac:dyDescent="0.2">
      <c r="M6443" s="33"/>
      <c r="N6443" s="29"/>
      <c r="O6443" s="29"/>
      <c r="P6443" s="29"/>
      <c r="Q6443" s="34"/>
      <c r="R6443" s="35"/>
      <c r="S6443" s="36"/>
      <c r="T6443" s="36"/>
      <c r="U6443" s="36"/>
      <c r="V6443" s="37"/>
    </row>
    <row r="6444" spans="13:22" x14ac:dyDescent="0.2">
      <c r="M6444" s="26"/>
      <c r="N6444" s="15"/>
      <c r="O6444" s="15"/>
      <c r="P6444" s="15"/>
      <c r="Q6444" s="39"/>
      <c r="R6444" s="35"/>
      <c r="S6444" s="36"/>
      <c r="T6444" s="36"/>
      <c r="U6444" s="36"/>
      <c r="V6444" s="37"/>
    </row>
    <row r="6445" spans="13:22" x14ac:dyDescent="0.2">
      <c r="M6445" s="26"/>
      <c r="N6445" s="15"/>
      <c r="O6445" s="15"/>
      <c r="P6445" s="15"/>
      <c r="Q6445" s="39"/>
      <c r="R6445" s="35"/>
      <c r="S6445" s="36"/>
      <c r="T6445" s="36"/>
      <c r="U6445" s="36"/>
      <c r="V6445" s="37"/>
    </row>
    <row r="6446" spans="13:22" x14ac:dyDescent="0.2">
      <c r="M6446" s="40"/>
      <c r="N6446" s="15"/>
      <c r="O6446" s="15"/>
      <c r="P6446" s="15"/>
      <c r="Q6446" s="39"/>
      <c r="R6446" s="35"/>
      <c r="S6446" s="36"/>
      <c r="T6446" s="36"/>
      <c r="U6446" s="36"/>
      <c r="V6446" s="37"/>
    </row>
    <row r="6447" spans="13:22" x14ac:dyDescent="0.2">
      <c r="M6447" s="40"/>
      <c r="N6447" s="15"/>
      <c r="O6447" s="15"/>
      <c r="P6447" s="15"/>
      <c r="Q6447" s="39"/>
      <c r="R6447" s="41"/>
      <c r="S6447" s="36"/>
      <c r="T6447" s="36"/>
      <c r="U6447" s="36"/>
      <c r="V6447" s="37"/>
    </row>
    <row r="6448" spans="13:22" x14ac:dyDescent="0.2">
      <c r="M6448" s="40"/>
      <c r="N6448" s="15"/>
      <c r="O6448" s="15"/>
      <c r="P6448" s="15"/>
      <c r="Q6448" s="39"/>
      <c r="R6448" s="41"/>
      <c r="S6448" s="36"/>
      <c r="T6448" s="36"/>
      <c r="U6448" s="36"/>
      <c r="V6448" s="37"/>
    </row>
    <row r="6449" spans="13:22" x14ac:dyDescent="0.2">
      <c r="M6449" s="40"/>
      <c r="N6449" s="15"/>
      <c r="O6449" s="15"/>
      <c r="P6449" s="15"/>
      <c r="Q6449" s="39"/>
      <c r="R6449" s="41"/>
      <c r="S6449" s="36"/>
      <c r="T6449" s="36"/>
      <c r="U6449" s="36"/>
      <c r="V6449" s="37"/>
    </row>
    <row r="6450" spans="13:22" x14ac:dyDescent="0.2">
      <c r="M6450" s="40"/>
      <c r="N6450" s="15"/>
      <c r="O6450" s="15"/>
      <c r="P6450" s="15"/>
      <c r="Q6450" s="39"/>
      <c r="R6450" s="41"/>
      <c r="S6450" s="36"/>
      <c r="T6450" s="36"/>
      <c r="U6450" s="36"/>
      <c r="V6450" s="37"/>
    </row>
    <row r="6451" spans="13:22" x14ac:dyDescent="0.2">
      <c r="M6451" s="40"/>
      <c r="N6451" s="15"/>
      <c r="O6451" s="15"/>
      <c r="P6451" s="15"/>
      <c r="Q6451" s="39"/>
      <c r="R6451" s="41"/>
      <c r="S6451" s="36"/>
      <c r="T6451" s="36"/>
      <c r="U6451" s="36"/>
      <c r="V6451" s="37"/>
    </row>
    <row r="6452" spans="13:22" x14ac:dyDescent="0.2">
      <c r="M6452" s="40"/>
      <c r="N6452" s="15"/>
      <c r="O6452" s="15"/>
      <c r="P6452" s="15"/>
      <c r="Q6452" s="39"/>
      <c r="R6452" s="41"/>
      <c r="S6452" s="36"/>
      <c r="T6452" s="36"/>
      <c r="U6452" s="36"/>
      <c r="V6452" s="37"/>
    </row>
    <row r="6453" spans="13:22" x14ac:dyDescent="0.2">
      <c r="M6453" s="40"/>
      <c r="N6453" s="15"/>
      <c r="O6453" s="15"/>
      <c r="P6453" s="15"/>
      <c r="Q6453" s="39"/>
      <c r="R6453" s="41"/>
      <c r="S6453" s="36"/>
      <c r="T6453" s="36"/>
      <c r="U6453" s="36"/>
      <c r="V6453" s="37"/>
    </row>
    <row r="6454" spans="13:22" x14ac:dyDescent="0.2">
      <c r="M6454" s="40"/>
      <c r="N6454" s="15"/>
      <c r="O6454" s="15"/>
      <c r="P6454" s="15"/>
      <c r="Q6454" s="39"/>
      <c r="R6454" s="41"/>
      <c r="S6454" s="36"/>
      <c r="T6454" s="36"/>
      <c r="U6454" s="36"/>
      <c r="V6454" s="37"/>
    </row>
    <row r="6455" spans="13:22" x14ac:dyDescent="0.2">
      <c r="M6455" s="40"/>
      <c r="N6455" s="15"/>
      <c r="O6455" s="15"/>
      <c r="P6455" s="15"/>
      <c r="Q6455" s="39"/>
      <c r="R6455" s="41"/>
      <c r="S6455" s="36"/>
      <c r="T6455" s="36"/>
      <c r="U6455" s="36"/>
      <c r="V6455" s="37"/>
    </row>
    <row r="6456" spans="13:22" ht="13.5" thickBot="1" x14ac:dyDescent="0.25">
      <c r="M6456" s="42"/>
      <c r="N6456" s="43"/>
      <c r="O6456" s="43"/>
      <c r="P6456" s="43"/>
      <c r="Q6456" s="44"/>
      <c r="R6456" s="41"/>
      <c r="S6456" s="46"/>
      <c r="T6456" s="46"/>
      <c r="U6456" s="46"/>
      <c r="V6456" s="47"/>
    </row>
    <row r="6457" spans="13:22" ht="13.5" thickBot="1" x14ac:dyDescent="0.25">
      <c r="M6457" s="48"/>
      <c r="N6457" s="49"/>
      <c r="O6457" s="49"/>
      <c r="P6457" s="49"/>
      <c r="Q6457" s="50"/>
      <c r="R6457" s="45"/>
      <c r="S6457" s="52"/>
      <c r="T6457" s="52"/>
      <c r="U6457" s="52"/>
      <c r="V6457" s="53"/>
    </row>
    <row r="6458" spans="13:22" x14ac:dyDescent="0.2">
      <c r="M6458" s="54"/>
      <c r="N6458" s="29"/>
      <c r="O6458" s="29"/>
      <c r="P6458" s="29"/>
      <c r="Q6458" s="34"/>
      <c r="R6458" s="51"/>
      <c r="S6458" s="36"/>
      <c r="T6458" s="36"/>
      <c r="U6458" s="36"/>
      <c r="V6458" s="37"/>
    </row>
    <row r="6459" spans="13:22" x14ac:dyDescent="0.2">
      <c r="M6459" s="33"/>
      <c r="N6459" s="29"/>
      <c r="O6459" s="29"/>
      <c r="P6459" s="29"/>
      <c r="Q6459" s="34"/>
      <c r="R6459" s="41"/>
      <c r="S6459" s="36"/>
      <c r="T6459" s="36"/>
      <c r="U6459" s="36"/>
      <c r="V6459" s="37"/>
    </row>
    <row r="6460" spans="13:22" x14ac:dyDescent="0.2">
      <c r="M6460" s="33"/>
      <c r="N6460" s="29"/>
      <c r="O6460" s="29"/>
      <c r="P6460" s="29"/>
      <c r="Q6460" s="34"/>
      <c r="R6460" s="35"/>
      <c r="S6460" s="36"/>
      <c r="T6460" s="36"/>
      <c r="U6460" s="36"/>
      <c r="V6460" s="37"/>
    </row>
    <row r="6461" spans="13:22" x14ac:dyDescent="0.2">
      <c r="M6461" s="33"/>
      <c r="N6461" s="29"/>
      <c r="O6461" s="29"/>
      <c r="P6461" s="29"/>
      <c r="Q6461" s="34"/>
      <c r="R6461" s="35"/>
      <c r="S6461" s="36"/>
      <c r="T6461" s="36"/>
      <c r="U6461" s="36"/>
      <c r="V6461" s="37"/>
    </row>
    <row r="6462" spans="13:22" x14ac:dyDescent="0.2">
      <c r="M6462" s="33"/>
      <c r="N6462" s="29"/>
      <c r="O6462" s="29"/>
      <c r="P6462" s="29"/>
      <c r="Q6462" s="34"/>
      <c r="R6462" s="35"/>
      <c r="S6462" s="36"/>
      <c r="T6462" s="36"/>
      <c r="U6462" s="36"/>
      <c r="V6462" s="37"/>
    </row>
    <row r="6463" spans="13:22" x14ac:dyDescent="0.2">
      <c r="M6463" s="33"/>
      <c r="N6463" s="29"/>
      <c r="O6463" s="29"/>
      <c r="P6463" s="29"/>
      <c r="Q6463" s="34"/>
      <c r="R6463" s="35"/>
      <c r="S6463" s="36"/>
      <c r="T6463" s="36"/>
      <c r="U6463" s="36"/>
      <c r="V6463" s="37"/>
    </row>
    <row r="6464" spans="13:22" x14ac:dyDescent="0.2">
      <c r="M6464" s="33"/>
      <c r="N6464" s="29"/>
      <c r="O6464" s="29"/>
      <c r="P6464" s="29"/>
      <c r="Q6464" s="38"/>
      <c r="R6464" s="35"/>
      <c r="S6464" s="36"/>
      <c r="T6464" s="36"/>
      <c r="U6464" s="36"/>
      <c r="V6464" s="37"/>
    </row>
    <row r="6465" spans="13:22" x14ac:dyDescent="0.2">
      <c r="M6465" s="33"/>
      <c r="N6465" s="29"/>
      <c r="O6465" s="29"/>
      <c r="P6465" s="29"/>
      <c r="Q6465" s="34"/>
      <c r="R6465" s="35"/>
      <c r="S6465" s="36"/>
      <c r="T6465" s="36"/>
      <c r="U6465" s="36"/>
      <c r="V6465" s="37"/>
    </row>
    <row r="6466" spans="13:22" x14ac:dyDescent="0.2">
      <c r="M6466" s="33"/>
      <c r="N6466" s="29"/>
      <c r="O6466" s="29"/>
      <c r="P6466" s="29"/>
      <c r="Q6466" s="34"/>
      <c r="R6466" s="35"/>
      <c r="S6466" s="36"/>
      <c r="T6466" s="36"/>
      <c r="U6466" s="36"/>
      <c r="V6466" s="37"/>
    </row>
    <row r="6467" spans="13:22" x14ac:dyDescent="0.2">
      <c r="M6467" s="33"/>
      <c r="N6467" s="29"/>
      <c r="O6467" s="29"/>
      <c r="P6467" s="29"/>
      <c r="Q6467" s="34"/>
      <c r="R6467" s="35"/>
      <c r="S6467" s="36"/>
      <c r="T6467" s="36"/>
      <c r="U6467" s="36"/>
      <c r="V6467" s="37"/>
    </row>
    <row r="6468" spans="13:22" x14ac:dyDescent="0.2">
      <c r="M6468" s="33"/>
      <c r="N6468" s="29"/>
      <c r="O6468" s="29"/>
      <c r="P6468" s="29"/>
      <c r="Q6468" s="34"/>
      <c r="R6468" s="35"/>
      <c r="S6468" s="36"/>
      <c r="T6468" s="36"/>
      <c r="U6468" s="36"/>
      <c r="V6468" s="37"/>
    </row>
    <row r="6469" spans="13:22" x14ac:dyDescent="0.2">
      <c r="M6469" s="26"/>
      <c r="N6469" s="15"/>
      <c r="O6469" s="15"/>
      <c r="P6469" s="15"/>
      <c r="Q6469" s="39"/>
      <c r="R6469" s="35"/>
      <c r="S6469" s="36"/>
      <c r="T6469" s="36"/>
      <c r="U6469" s="36"/>
      <c r="V6469" s="37"/>
    </row>
    <row r="6470" spans="13:22" x14ac:dyDescent="0.2">
      <c r="M6470" s="26"/>
      <c r="N6470" s="15"/>
      <c r="O6470" s="15"/>
      <c r="P6470" s="15"/>
      <c r="Q6470" s="39"/>
      <c r="R6470" s="35"/>
      <c r="S6470" s="36"/>
      <c r="T6470" s="36"/>
      <c r="U6470" s="36"/>
      <c r="V6470" s="37"/>
    </row>
    <row r="6471" spans="13:22" x14ac:dyDescent="0.2">
      <c r="M6471" s="40"/>
      <c r="N6471" s="15"/>
      <c r="O6471" s="15"/>
      <c r="P6471" s="15"/>
      <c r="Q6471" s="39"/>
      <c r="R6471" s="35"/>
      <c r="S6471" s="36"/>
      <c r="T6471" s="36"/>
      <c r="U6471" s="36"/>
      <c r="V6471" s="37"/>
    </row>
    <row r="6472" spans="13:22" x14ac:dyDescent="0.2">
      <c r="M6472" s="40"/>
      <c r="N6472" s="15"/>
      <c r="O6472" s="15"/>
      <c r="P6472" s="15"/>
      <c r="Q6472" s="39"/>
      <c r="R6472" s="41"/>
      <c r="S6472" s="36"/>
      <c r="T6472" s="36"/>
      <c r="U6472" s="36"/>
      <c r="V6472" s="37"/>
    </row>
    <row r="6473" spans="13:22" x14ac:dyDescent="0.2">
      <c r="M6473" s="40"/>
      <c r="N6473" s="15"/>
      <c r="O6473" s="15"/>
      <c r="P6473" s="15"/>
      <c r="Q6473" s="39"/>
      <c r="R6473" s="41"/>
      <c r="S6473" s="36"/>
      <c r="T6473" s="36"/>
      <c r="U6473" s="36"/>
      <c r="V6473" s="37"/>
    </row>
    <row r="6474" spans="13:22" x14ac:dyDescent="0.2">
      <c r="M6474" s="40"/>
      <c r="N6474" s="15"/>
      <c r="O6474" s="15"/>
      <c r="P6474" s="15"/>
      <c r="Q6474" s="39"/>
      <c r="R6474" s="41"/>
      <c r="S6474" s="36"/>
      <c r="T6474" s="36"/>
      <c r="U6474" s="36"/>
      <c r="V6474" s="37"/>
    </row>
    <row r="6475" spans="13:22" x14ac:dyDescent="0.2">
      <c r="M6475" s="40"/>
      <c r="N6475" s="15"/>
      <c r="O6475" s="15"/>
      <c r="P6475" s="15"/>
      <c r="Q6475" s="39"/>
      <c r="R6475" s="41"/>
      <c r="S6475" s="36"/>
      <c r="T6475" s="36"/>
      <c r="U6475" s="36"/>
      <c r="V6475" s="37"/>
    </row>
    <row r="6476" spans="13:22" x14ac:dyDescent="0.2">
      <c r="M6476" s="40"/>
      <c r="N6476" s="15"/>
      <c r="O6476" s="15"/>
      <c r="P6476" s="15"/>
      <c r="Q6476" s="39"/>
      <c r="R6476" s="41"/>
      <c r="S6476" s="36"/>
      <c r="T6476" s="36"/>
      <c r="U6476" s="36"/>
      <c r="V6476" s="37"/>
    </row>
    <row r="6477" spans="13:22" x14ac:dyDescent="0.2">
      <c r="M6477" s="40"/>
      <c r="N6477" s="15"/>
      <c r="O6477" s="15"/>
      <c r="P6477" s="15"/>
      <c r="Q6477" s="39"/>
      <c r="R6477" s="41"/>
      <c r="S6477" s="36"/>
      <c r="T6477" s="36"/>
      <c r="U6477" s="36"/>
      <c r="V6477" s="37"/>
    </row>
    <row r="6478" spans="13:22" x14ac:dyDescent="0.2">
      <c r="M6478" s="40"/>
      <c r="N6478" s="15"/>
      <c r="O6478" s="15"/>
      <c r="P6478" s="15"/>
      <c r="Q6478" s="39"/>
      <c r="R6478" s="41"/>
      <c r="S6478" s="36"/>
      <c r="T6478" s="36"/>
      <c r="U6478" s="36"/>
      <c r="V6478" s="37"/>
    </row>
    <row r="6479" spans="13:22" x14ac:dyDescent="0.2">
      <c r="M6479" s="40"/>
      <c r="N6479" s="15"/>
      <c r="O6479" s="15"/>
      <c r="P6479" s="15"/>
      <c r="Q6479" s="39"/>
      <c r="R6479" s="41"/>
      <c r="S6479" s="36"/>
      <c r="T6479" s="36"/>
      <c r="U6479" s="36"/>
      <c r="V6479" s="37"/>
    </row>
    <row r="6480" spans="13:22" x14ac:dyDescent="0.2">
      <c r="M6480" s="40"/>
      <c r="N6480" s="15"/>
      <c r="O6480" s="15"/>
      <c r="P6480" s="15"/>
      <c r="Q6480" s="39"/>
      <c r="R6480" s="41"/>
      <c r="S6480" s="36"/>
      <c r="T6480" s="36"/>
      <c r="U6480" s="36"/>
      <c r="V6480" s="37"/>
    </row>
    <row r="6481" spans="13:22" ht="13.5" thickBot="1" x14ac:dyDescent="0.25">
      <c r="M6481" s="42"/>
      <c r="N6481" s="43"/>
      <c r="O6481" s="43"/>
      <c r="P6481" s="43"/>
      <c r="Q6481" s="44"/>
      <c r="R6481" s="41"/>
      <c r="S6481" s="46"/>
      <c r="T6481" s="46"/>
      <c r="U6481" s="46"/>
      <c r="V6481" s="47"/>
    </row>
    <row r="6482" spans="13:22" ht="13.5" thickBot="1" x14ac:dyDescent="0.25">
      <c r="M6482" s="48"/>
      <c r="N6482" s="49"/>
      <c r="O6482" s="49"/>
      <c r="P6482" s="49"/>
      <c r="Q6482" s="50"/>
      <c r="R6482" s="45"/>
      <c r="S6482" s="52"/>
      <c r="T6482" s="52"/>
      <c r="U6482" s="52"/>
      <c r="V6482" s="53"/>
    </row>
    <row r="6483" spans="13:22" x14ac:dyDescent="0.2">
      <c r="M6483" s="54"/>
      <c r="N6483" s="29"/>
      <c r="O6483" s="29"/>
      <c r="P6483" s="29"/>
      <c r="Q6483" s="34"/>
      <c r="R6483" s="51"/>
      <c r="S6483" s="36"/>
      <c r="T6483" s="36"/>
      <c r="U6483" s="36"/>
      <c r="V6483" s="37"/>
    </row>
    <row r="6484" spans="13:22" x14ac:dyDescent="0.2">
      <c r="M6484" s="33"/>
      <c r="N6484" s="29"/>
      <c r="O6484" s="29"/>
      <c r="P6484" s="29"/>
      <c r="Q6484" s="34"/>
      <c r="R6484" s="41"/>
      <c r="S6484" s="36"/>
      <c r="T6484" s="36"/>
      <c r="U6484" s="36"/>
      <c r="V6484" s="37"/>
    </row>
    <row r="6485" spans="13:22" x14ac:dyDescent="0.2">
      <c r="M6485" s="33"/>
      <c r="N6485" s="29"/>
      <c r="O6485" s="29"/>
      <c r="P6485" s="29"/>
      <c r="Q6485" s="34"/>
      <c r="R6485" s="35"/>
      <c r="S6485" s="36"/>
      <c r="T6485" s="36"/>
      <c r="U6485" s="36"/>
      <c r="V6485" s="37"/>
    </row>
    <row r="6486" spans="13:22" x14ac:dyDescent="0.2">
      <c r="M6486" s="33"/>
      <c r="N6486" s="29"/>
      <c r="O6486" s="29"/>
      <c r="P6486" s="29"/>
      <c r="Q6486" s="34"/>
      <c r="R6486" s="35"/>
      <c r="S6486" s="36"/>
      <c r="T6486" s="36"/>
      <c r="U6486" s="36"/>
      <c r="V6486" s="37"/>
    </row>
    <row r="6487" spans="13:22" x14ac:dyDescent="0.2">
      <c r="M6487" s="33"/>
      <c r="N6487" s="29"/>
      <c r="O6487" s="29"/>
      <c r="P6487" s="29"/>
      <c r="Q6487" s="34"/>
      <c r="R6487" s="35"/>
      <c r="S6487" s="36"/>
      <c r="T6487" s="36"/>
      <c r="U6487" s="36"/>
      <c r="V6487" s="37"/>
    </row>
    <row r="6488" spans="13:22" x14ac:dyDescent="0.2">
      <c r="M6488" s="33"/>
      <c r="N6488" s="29"/>
      <c r="O6488" s="29"/>
      <c r="P6488" s="29"/>
      <c r="Q6488" s="34"/>
      <c r="R6488" s="35"/>
      <c r="S6488" s="36"/>
      <c r="T6488" s="36"/>
      <c r="U6488" s="36"/>
      <c r="V6488" s="37"/>
    </row>
    <row r="6489" spans="13:22" x14ac:dyDescent="0.2">
      <c r="M6489" s="33"/>
      <c r="N6489" s="29"/>
      <c r="O6489" s="29"/>
      <c r="P6489" s="29"/>
      <c r="Q6489" s="38"/>
      <c r="R6489" s="35"/>
      <c r="S6489" s="36"/>
      <c r="T6489" s="36"/>
      <c r="U6489" s="36"/>
      <c r="V6489" s="37"/>
    </row>
    <row r="6490" spans="13:22" x14ac:dyDescent="0.2">
      <c r="M6490" s="33"/>
      <c r="N6490" s="29"/>
      <c r="O6490" s="29"/>
      <c r="P6490" s="29"/>
      <c r="Q6490" s="34"/>
      <c r="R6490" s="35"/>
      <c r="S6490" s="36"/>
      <c r="T6490" s="36"/>
      <c r="U6490" s="36"/>
      <c r="V6490" s="37"/>
    </row>
    <row r="6491" spans="13:22" x14ac:dyDescent="0.2">
      <c r="M6491" s="33"/>
      <c r="N6491" s="29"/>
      <c r="O6491" s="29"/>
      <c r="P6491" s="29"/>
      <c r="Q6491" s="34"/>
      <c r="R6491" s="35"/>
      <c r="S6491" s="36"/>
      <c r="T6491" s="36"/>
      <c r="U6491" s="36"/>
      <c r="V6491" s="37"/>
    </row>
    <row r="6492" spans="13:22" x14ac:dyDescent="0.2">
      <c r="M6492" s="33"/>
      <c r="N6492" s="29"/>
      <c r="O6492" s="29"/>
      <c r="P6492" s="29"/>
      <c r="Q6492" s="34"/>
      <c r="R6492" s="35"/>
      <c r="S6492" s="36"/>
      <c r="T6492" s="36"/>
      <c r="U6492" s="36"/>
      <c r="V6492" s="37"/>
    </row>
    <row r="6493" spans="13:22" x14ac:dyDescent="0.2">
      <c r="M6493" s="33"/>
      <c r="N6493" s="29"/>
      <c r="O6493" s="29"/>
      <c r="P6493" s="29"/>
      <c r="Q6493" s="34"/>
      <c r="R6493" s="35"/>
      <c r="S6493" s="36"/>
      <c r="T6493" s="36"/>
      <c r="U6493" s="36"/>
      <c r="V6493" s="37"/>
    </row>
    <row r="6494" spans="13:22" x14ac:dyDescent="0.2">
      <c r="M6494" s="26"/>
      <c r="N6494" s="15"/>
      <c r="O6494" s="15"/>
      <c r="P6494" s="15"/>
      <c r="Q6494" s="39"/>
      <c r="R6494" s="35"/>
      <c r="S6494" s="36"/>
      <c r="T6494" s="36"/>
      <c r="U6494" s="36"/>
      <c r="V6494" s="37"/>
    </row>
    <row r="6495" spans="13:22" x14ac:dyDescent="0.2">
      <c r="M6495" s="26"/>
      <c r="N6495" s="15"/>
      <c r="O6495" s="15"/>
      <c r="P6495" s="15"/>
      <c r="Q6495" s="39"/>
      <c r="R6495" s="35"/>
      <c r="S6495" s="36"/>
      <c r="T6495" s="36"/>
      <c r="U6495" s="36"/>
      <c r="V6495" s="37"/>
    </row>
    <row r="6496" spans="13:22" x14ac:dyDescent="0.2">
      <c r="M6496" s="40"/>
      <c r="N6496" s="15"/>
      <c r="O6496" s="15"/>
      <c r="P6496" s="15"/>
      <c r="Q6496" s="39"/>
      <c r="R6496" s="35"/>
      <c r="S6496" s="36"/>
      <c r="T6496" s="36"/>
      <c r="U6496" s="36"/>
      <c r="V6496" s="37"/>
    </row>
    <row r="6497" spans="13:22" x14ac:dyDescent="0.2">
      <c r="M6497" s="40"/>
      <c r="N6497" s="15"/>
      <c r="O6497" s="15"/>
      <c r="P6497" s="15"/>
      <c r="Q6497" s="39"/>
      <c r="R6497" s="41"/>
      <c r="S6497" s="36"/>
      <c r="T6497" s="36"/>
      <c r="U6497" s="36"/>
      <c r="V6497" s="37"/>
    </row>
    <row r="6498" spans="13:22" x14ac:dyDescent="0.2">
      <c r="M6498" s="40"/>
      <c r="N6498" s="15"/>
      <c r="O6498" s="15"/>
      <c r="P6498" s="15"/>
      <c r="Q6498" s="39"/>
      <c r="R6498" s="41"/>
      <c r="S6498" s="36"/>
      <c r="T6498" s="36"/>
      <c r="U6498" s="36"/>
      <c r="V6498" s="37"/>
    </row>
    <row r="6499" spans="13:22" x14ac:dyDescent="0.2">
      <c r="M6499" s="40"/>
      <c r="N6499" s="15"/>
      <c r="O6499" s="15"/>
      <c r="P6499" s="15"/>
      <c r="Q6499" s="39"/>
      <c r="R6499" s="41"/>
      <c r="S6499" s="36"/>
      <c r="T6499" s="36"/>
      <c r="U6499" s="36"/>
      <c r="V6499" s="37"/>
    </row>
    <row r="6500" spans="13:22" x14ac:dyDescent="0.2">
      <c r="M6500" s="40"/>
      <c r="N6500" s="15"/>
      <c r="O6500" s="15"/>
      <c r="P6500" s="15"/>
      <c r="Q6500" s="39"/>
      <c r="R6500" s="41"/>
      <c r="S6500" s="36"/>
      <c r="T6500" s="36"/>
      <c r="U6500" s="36"/>
      <c r="V6500" s="37"/>
    </row>
    <row r="6501" spans="13:22" x14ac:dyDescent="0.2">
      <c r="M6501" s="40"/>
      <c r="N6501" s="15"/>
      <c r="O6501" s="15"/>
      <c r="P6501" s="15"/>
      <c r="Q6501" s="39"/>
      <c r="R6501" s="41"/>
      <c r="S6501" s="36"/>
      <c r="T6501" s="36"/>
      <c r="U6501" s="36"/>
      <c r="V6501" s="37"/>
    </row>
    <row r="6502" spans="13:22" x14ac:dyDescent="0.2">
      <c r="M6502" s="40"/>
      <c r="N6502" s="15"/>
      <c r="O6502" s="15"/>
      <c r="P6502" s="15"/>
      <c r="Q6502" s="39"/>
      <c r="R6502" s="41"/>
      <c r="S6502" s="36"/>
      <c r="T6502" s="36"/>
      <c r="U6502" s="36"/>
      <c r="V6502" s="37"/>
    </row>
    <row r="6503" spans="13:22" x14ac:dyDescent="0.2">
      <c r="M6503" s="40"/>
      <c r="N6503" s="15"/>
      <c r="O6503" s="15"/>
      <c r="P6503" s="15"/>
      <c r="Q6503" s="39"/>
      <c r="R6503" s="41"/>
      <c r="S6503" s="36"/>
      <c r="T6503" s="36"/>
      <c r="U6503" s="36"/>
      <c r="V6503" s="37"/>
    </row>
    <row r="6504" spans="13:22" x14ac:dyDescent="0.2">
      <c r="M6504" s="40"/>
      <c r="N6504" s="15"/>
      <c r="O6504" s="15"/>
      <c r="P6504" s="15"/>
      <c r="Q6504" s="39"/>
      <c r="R6504" s="41"/>
      <c r="S6504" s="36"/>
      <c r="T6504" s="36"/>
      <c r="U6504" s="36"/>
      <c r="V6504" s="37"/>
    </row>
    <row r="6505" spans="13:22" x14ac:dyDescent="0.2">
      <c r="M6505" s="40"/>
      <c r="N6505" s="15"/>
      <c r="O6505" s="15"/>
      <c r="P6505" s="15"/>
      <c r="Q6505" s="39"/>
      <c r="R6505" s="41"/>
      <c r="S6505" s="36"/>
      <c r="T6505" s="36"/>
      <c r="U6505" s="36"/>
      <c r="V6505" s="37"/>
    </row>
    <row r="6506" spans="13:22" ht="13.5" thickBot="1" x14ac:dyDescent="0.25">
      <c r="M6506" s="42"/>
      <c r="N6506" s="43"/>
      <c r="O6506" s="43"/>
      <c r="P6506" s="43"/>
      <c r="Q6506" s="44"/>
      <c r="R6506" s="41"/>
      <c r="S6506" s="46"/>
      <c r="T6506" s="46"/>
      <c r="U6506" s="46"/>
      <c r="V6506" s="47"/>
    </row>
    <row r="6507" spans="13:22" ht="13.5" thickBot="1" x14ac:dyDescent="0.25">
      <c r="M6507" s="48"/>
      <c r="N6507" s="49"/>
      <c r="O6507" s="49"/>
      <c r="P6507" s="49"/>
      <c r="Q6507" s="50"/>
      <c r="R6507" s="45"/>
      <c r="S6507" s="52"/>
      <c r="T6507" s="52"/>
      <c r="U6507" s="52"/>
      <c r="V6507" s="53"/>
    </row>
    <row r="6508" spans="13:22" x14ac:dyDescent="0.2">
      <c r="M6508" s="54"/>
      <c r="N6508" s="29"/>
      <c r="O6508" s="29"/>
      <c r="P6508" s="29"/>
      <c r="Q6508" s="34"/>
      <c r="R6508" s="51"/>
      <c r="S6508" s="36"/>
      <c r="T6508" s="36"/>
      <c r="U6508" s="36"/>
      <c r="V6508" s="37"/>
    </row>
    <row r="6509" spans="13:22" x14ac:dyDescent="0.2">
      <c r="M6509" s="33"/>
      <c r="N6509" s="29"/>
      <c r="O6509" s="29"/>
      <c r="P6509" s="29"/>
      <c r="Q6509" s="34"/>
      <c r="R6509" s="41"/>
      <c r="S6509" s="36"/>
      <c r="T6509" s="36"/>
      <c r="U6509" s="36"/>
      <c r="V6509" s="37"/>
    </row>
    <row r="6510" spans="13:22" x14ac:dyDescent="0.2">
      <c r="M6510" s="33"/>
      <c r="N6510" s="29"/>
      <c r="O6510" s="29"/>
      <c r="P6510" s="29"/>
      <c r="Q6510" s="34"/>
      <c r="R6510" s="35"/>
      <c r="S6510" s="36"/>
      <c r="T6510" s="36"/>
      <c r="U6510" s="36"/>
      <c r="V6510" s="37"/>
    </row>
    <row r="6511" spans="13:22" x14ac:dyDescent="0.2">
      <c r="M6511" s="33"/>
      <c r="N6511" s="29"/>
      <c r="O6511" s="29"/>
      <c r="P6511" s="29"/>
      <c r="Q6511" s="34"/>
      <c r="R6511" s="35"/>
      <c r="S6511" s="36"/>
      <c r="T6511" s="36"/>
      <c r="U6511" s="36"/>
      <c r="V6511" s="37"/>
    </row>
    <row r="6512" spans="13:22" x14ac:dyDescent="0.2">
      <c r="M6512" s="33"/>
      <c r="N6512" s="29"/>
      <c r="O6512" s="29"/>
      <c r="P6512" s="29"/>
      <c r="Q6512" s="34"/>
      <c r="R6512" s="35"/>
      <c r="S6512" s="36"/>
      <c r="T6512" s="36"/>
      <c r="U6512" s="36"/>
      <c r="V6512" s="37"/>
    </row>
    <row r="6513" spans="13:22" x14ac:dyDescent="0.2">
      <c r="M6513" s="33"/>
      <c r="N6513" s="29"/>
      <c r="O6513" s="29"/>
      <c r="P6513" s="29"/>
      <c r="Q6513" s="34"/>
      <c r="R6513" s="35"/>
      <c r="S6513" s="36"/>
      <c r="T6513" s="36"/>
      <c r="U6513" s="36"/>
      <c r="V6513" s="37"/>
    </row>
    <row r="6514" spans="13:22" x14ac:dyDescent="0.2">
      <c r="M6514" s="33"/>
      <c r="N6514" s="29"/>
      <c r="O6514" s="29"/>
      <c r="P6514" s="29"/>
      <c r="Q6514" s="38"/>
      <c r="R6514" s="35"/>
      <c r="S6514" s="36"/>
      <c r="T6514" s="36"/>
      <c r="U6514" s="36"/>
      <c r="V6514" s="37"/>
    </row>
    <row r="6515" spans="13:22" x14ac:dyDescent="0.2">
      <c r="M6515" s="33"/>
      <c r="N6515" s="29"/>
      <c r="O6515" s="29"/>
      <c r="P6515" s="29"/>
      <c r="Q6515" s="34"/>
      <c r="R6515" s="35"/>
      <c r="S6515" s="36"/>
      <c r="T6515" s="36"/>
      <c r="U6515" s="36"/>
      <c r="V6515" s="37"/>
    </row>
    <row r="6516" spans="13:22" x14ac:dyDescent="0.2">
      <c r="M6516" s="33"/>
      <c r="N6516" s="29"/>
      <c r="O6516" s="29"/>
      <c r="P6516" s="29"/>
      <c r="Q6516" s="34"/>
      <c r="R6516" s="35"/>
      <c r="S6516" s="36"/>
      <c r="T6516" s="36"/>
      <c r="U6516" s="36"/>
      <c r="V6516" s="37"/>
    </row>
    <row r="6517" spans="13:22" x14ac:dyDescent="0.2">
      <c r="M6517" s="33"/>
      <c r="N6517" s="29"/>
      <c r="O6517" s="29"/>
      <c r="P6517" s="29"/>
      <c r="Q6517" s="34"/>
      <c r="R6517" s="35"/>
      <c r="S6517" s="36"/>
      <c r="T6517" s="36"/>
      <c r="U6517" s="36"/>
      <c r="V6517" s="37"/>
    </row>
    <row r="6518" spans="13:22" x14ac:dyDescent="0.2">
      <c r="M6518" s="33"/>
      <c r="N6518" s="29"/>
      <c r="O6518" s="29"/>
      <c r="P6518" s="29"/>
      <c r="Q6518" s="34"/>
      <c r="R6518" s="35"/>
      <c r="S6518" s="36"/>
      <c r="T6518" s="36"/>
      <c r="U6518" s="36"/>
      <c r="V6518" s="37"/>
    </row>
    <row r="6519" spans="13:22" x14ac:dyDescent="0.2">
      <c r="M6519" s="26"/>
      <c r="N6519" s="15"/>
      <c r="O6519" s="15"/>
      <c r="P6519" s="15"/>
      <c r="Q6519" s="39"/>
      <c r="R6519" s="35"/>
      <c r="S6519" s="36"/>
      <c r="T6519" s="36"/>
      <c r="U6519" s="36"/>
      <c r="V6519" s="37"/>
    </row>
    <row r="6520" spans="13:22" x14ac:dyDescent="0.2">
      <c r="M6520" s="26"/>
      <c r="N6520" s="15"/>
      <c r="O6520" s="15"/>
      <c r="P6520" s="15"/>
      <c r="Q6520" s="39"/>
      <c r="R6520" s="35"/>
      <c r="S6520" s="36"/>
      <c r="T6520" s="36"/>
      <c r="U6520" s="36"/>
      <c r="V6520" s="37"/>
    </row>
    <row r="6521" spans="13:22" x14ac:dyDescent="0.2">
      <c r="M6521" s="40"/>
      <c r="N6521" s="15"/>
      <c r="O6521" s="15"/>
      <c r="P6521" s="15"/>
      <c r="Q6521" s="39"/>
      <c r="R6521" s="35"/>
      <c r="S6521" s="36"/>
      <c r="T6521" s="36"/>
      <c r="U6521" s="36"/>
      <c r="V6521" s="37"/>
    </row>
    <row r="6522" spans="13:22" x14ac:dyDescent="0.2">
      <c r="M6522" s="40"/>
      <c r="N6522" s="15"/>
      <c r="O6522" s="15"/>
      <c r="P6522" s="15"/>
      <c r="Q6522" s="39"/>
      <c r="R6522" s="41"/>
      <c r="S6522" s="36"/>
      <c r="T6522" s="36"/>
      <c r="U6522" s="36"/>
      <c r="V6522" s="37"/>
    </row>
    <row r="6523" spans="13:22" x14ac:dyDescent="0.2">
      <c r="M6523" s="40"/>
      <c r="N6523" s="15"/>
      <c r="O6523" s="15"/>
      <c r="P6523" s="15"/>
      <c r="Q6523" s="39"/>
      <c r="R6523" s="41"/>
      <c r="S6523" s="36"/>
      <c r="T6523" s="36"/>
      <c r="U6523" s="36"/>
      <c r="V6523" s="37"/>
    </row>
    <row r="6524" spans="13:22" x14ac:dyDescent="0.2">
      <c r="M6524" s="40"/>
      <c r="N6524" s="15"/>
      <c r="O6524" s="15"/>
      <c r="P6524" s="15"/>
      <c r="Q6524" s="39"/>
      <c r="R6524" s="41"/>
      <c r="S6524" s="36"/>
      <c r="T6524" s="36"/>
      <c r="U6524" s="36"/>
      <c r="V6524" s="37"/>
    </row>
    <row r="6525" spans="13:22" x14ac:dyDescent="0.2">
      <c r="M6525" s="40"/>
      <c r="N6525" s="15"/>
      <c r="O6525" s="15"/>
      <c r="P6525" s="15"/>
      <c r="Q6525" s="39"/>
      <c r="R6525" s="41"/>
      <c r="S6525" s="36"/>
      <c r="T6525" s="36"/>
      <c r="U6525" s="36"/>
      <c r="V6525" s="37"/>
    </row>
    <row r="6526" spans="13:22" x14ac:dyDescent="0.2">
      <c r="M6526" s="40"/>
      <c r="N6526" s="15"/>
      <c r="O6526" s="15"/>
      <c r="P6526" s="15"/>
      <c r="Q6526" s="39"/>
      <c r="R6526" s="41"/>
      <c r="S6526" s="36"/>
      <c r="T6526" s="36"/>
      <c r="U6526" s="36"/>
      <c r="V6526" s="37"/>
    </row>
    <row r="6527" spans="13:22" x14ac:dyDescent="0.2">
      <c r="M6527" s="40"/>
      <c r="N6527" s="15"/>
      <c r="O6527" s="15"/>
      <c r="P6527" s="15"/>
      <c r="Q6527" s="39"/>
      <c r="R6527" s="41"/>
      <c r="S6527" s="36"/>
      <c r="T6527" s="36"/>
      <c r="U6527" s="36"/>
      <c r="V6527" s="37"/>
    </row>
    <row r="6528" spans="13:22" x14ac:dyDescent="0.2">
      <c r="M6528" s="40"/>
      <c r="N6528" s="15"/>
      <c r="O6528" s="15"/>
      <c r="P6528" s="15"/>
      <c r="Q6528" s="39"/>
      <c r="R6528" s="41"/>
      <c r="S6528" s="36"/>
      <c r="T6528" s="36"/>
      <c r="U6528" s="36"/>
      <c r="V6528" s="37"/>
    </row>
    <row r="6529" spans="13:22" x14ac:dyDescent="0.2">
      <c r="M6529" s="40"/>
      <c r="N6529" s="15"/>
      <c r="O6529" s="15"/>
      <c r="P6529" s="15"/>
      <c r="Q6529" s="39"/>
      <c r="R6529" s="41"/>
      <c r="S6529" s="36"/>
      <c r="T6529" s="36"/>
      <c r="U6529" s="36"/>
      <c r="V6529" s="37"/>
    </row>
    <row r="6530" spans="13:22" x14ac:dyDescent="0.2">
      <c r="M6530" s="40"/>
      <c r="N6530" s="15"/>
      <c r="O6530" s="15"/>
      <c r="P6530" s="15"/>
      <c r="Q6530" s="39"/>
      <c r="R6530" s="41"/>
      <c r="S6530" s="36"/>
      <c r="T6530" s="36"/>
      <c r="U6530" s="36"/>
      <c r="V6530" s="37"/>
    </row>
    <row r="6531" spans="13:22" ht="13.5" thickBot="1" x14ac:dyDescent="0.25">
      <c r="M6531" s="42"/>
      <c r="N6531" s="43"/>
      <c r="O6531" s="43"/>
      <c r="P6531" s="43"/>
      <c r="Q6531" s="44"/>
      <c r="R6531" s="41"/>
      <c r="S6531" s="46"/>
      <c r="T6531" s="46"/>
      <c r="U6531" s="46"/>
      <c r="V6531" s="47"/>
    </row>
    <row r="6532" spans="13:22" ht="13.5" thickBot="1" x14ac:dyDescent="0.25">
      <c r="M6532" s="48"/>
      <c r="N6532" s="49"/>
      <c r="O6532" s="49"/>
      <c r="P6532" s="49"/>
      <c r="Q6532" s="50"/>
      <c r="R6532" s="45"/>
      <c r="S6532" s="52"/>
      <c r="T6532" s="52"/>
      <c r="U6532" s="52"/>
      <c r="V6532" s="53"/>
    </row>
    <row r="6533" spans="13:22" x14ac:dyDescent="0.2">
      <c r="M6533" s="54"/>
      <c r="N6533" s="29"/>
      <c r="O6533" s="29"/>
      <c r="P6533" s="29"/>
      <c r="Q6533" s="34"/>
      <c r="R6533" s="51"/>
      <c r="S6533" s="36"/>
      <c r="T6533" s="36"/>
      <c r="U6533" s="36"/>
      <c r="V6533" s="37"/>
    </row>
    <row r="6534" spans="13:22" x14ac:dyDescent="0.2">
      <c r="M6534" s="33"/>
      <c r="N6534" s="29"/>
      <c r="O6534" s="29"/>
      <c r="P6534" s="29"/>
      <c r="Q6534" s="34"/>
      <c r="R6534" s="41"/>
      <c r="S6534" s="36"/>
      <c r="T6534" s="36"/>
      <c r="U6534" s="36"/>
      <c r="V6534" s="37"/>
    </row>
    <row r="6535" spans="13:22" x14ac:dyDescent="0.2">
      <c r="M6535" s="33"/>
      <c r="N6535" s="29"/>
      <c r="O6535" s="29"/>
      <c r="P6535" s="29"/>
      <c r="Q6535" s="34"/>
      <c r="R6535" s="35"/>
      <c r="S6535" s="36"/>
      <c r="T6535" s="36"/>
      <c r="U6535" s="36"/>
      <c r="V6535" s="37"/>
    </row>
    <row r="6536" spans="13:22" x14ac:dyDescent="0.2">
      <c r="M6536" s="33"/>
      <c r="N6536" s="29"/>
      <c r="O6536" s="29"/>
      <c r="P6536" s="29"/>
      <c r="Q6536" s="34"/>
      <c r="R6536" s="35"/>
      <c r="S6536" s="36"/>
      <c r="T6536" s="36"/>
      <c r="U6536" s="36"/>
      <c r="V6536" s="37"/>
    </row>
    <row r="6537" spans="13:22" x14ac:dyDescent="0.2">
      <c r="M6537" s="33"/>
      <c r="N6537" s="29"/>
      <c r="O6537" s="29"/>
      <c r="P6537" s="29"/>
      <c r="Q6537" s="34"/>
      <c r="R6537" s="35"/>
      <c r="S6537" s="36"/>
      <c r="T6537" s="36"/>
      <c r="U6537" s="36"/>
      <c r="V6537" s="37"/>
    </row>
    <row r="6538" spans="13:22" x14ac:dyDescent="0.2">
      <c r="M6538" s="33"/>
      <c r="N6538" s="29"/>
      <c r="O6538" s="29"/>
      <c r="P6538" s="29"/>
      <c r="Q6538" s="34"/>
      <c r="R6538" s="35"/>
      <c r="S6538" s="36"/>
      <c r="T6538" s="36"/>
      <c r="U6538" s="36"/>
      <c r="V6538" s="37"/>
    </row>
    <row r="6539" spans="13:22" x14ac:dyDescent="0.2">
      <c r="M6539" s="33"/>
      <c r="N6539" s="29"/>
      <c r="O6539" s="29"/>
      <c r="P6539" s="29"/>
      <c r="Q6539" s="38"/>
      <c r="R6539" s="35"/>
      <c r="S6539" s="36"/>
      <c r="T6539" s="36"/>
      <c r="U6539" s="36"/>
      <c r="V6539" s="37"/>
    </row>
    <row r="6540" spans="13:22" x14ac:dyDescent="0.2">
      <c r="M6540" s="33"/>
      <c r="N6540" s="29"/>
      <c r="O6540" s="29"/>
      <c r="P6540" s="29"/>
      <c r="Q6540" s="34"/>
      <c r="R6540" s="35"/>
      <c r="S6540" s="36"/>
      <c r="T6540" s="36"/>
      <c r="U6540" s="36"/>
      <c r="V6540" s="37"/>
    </row>
    <row r="6541" spans="13:22" x14ac:dyDescent="0.2">
      <c r="M6541" s="33"/>
      <c r="N6541" s="29"/>
      <c r="O6541" s="29"/>
      <c r="P6541" s="29"/>
      <c r="Q6541" s="34"/>
      <c r="R6541" s="35"/>
      <c r="S6541" s="36"/>
      <c r="T6541" s="36"/>
      <c r="U6541" s="36"/>
      <c r="V6541" s="37"/>
    </row>
    <row r="6542" spans="13:22" x14ac:dyDescent="0.2">
      <c r="M6542" s="33"/>
      <c r="N6542" s="29"/>
      <c r="O6542" s="29"/>
      <c r="P6542" s="29"/>
      <c r="Q6542" s="34"/>
      <c r="R6542" s="35"/>
      <c r="S6542" s="36"/>
      <c r="T6542" s="36"/>
      <c r="U6542" s="36"/>
      <c r="V6542" s="37"/>
    </row>
    <row r="6543" spans="13:22" x14ac:dyDescent="0.2">
      <c r="M6543" s="33"/>
      <c r="N6543" s="29"/>
      <c r="O6543" s="29"/>
      <c r="P6543" s="29"/>
      <c r="Q6543" s="34"/>
      <c r="R6543" s="35"/>
      <c r="S6543" s="36"/>
      <c r="T6543" s="36"/>
      <c r="U6543" s="36"/>
      <c r="V6543" s="37"/>
    </row>
    <row r="6544" spans="13:22" x14ac:dyDescent="0.2">
      <c r="M6544" s="26"/>
      <c r="N6544" s="15"/>
      <c r="O6544" s="15"/>
      <c r="P6544" s="15"/>
      <c r="Q6544" s="39"/>
      <c r="R6544" s="35"/>
      <c r="S6544" s="36"/>
      <c r="T6544" s="36"/>
      <c r="U6544" s="36"/>
      <c r="V6544" s="37"/>
    </row>
    <row r="6545" spans="13:22" x14ac:dyDescent="0.2">
      <c r="M6545" s="26"/>
      <c r="N6545" s="15"/>
      <c r="O6545" s="15"/>
      <c r="P6545" s="15"/>
      <c r="Q6545" s="39"/>
      <c r="R6545" s="35"/>
      <c r="S6545" s="36"/>
      <c r="T6545" s="36"/>
      <c r="U6545" s="36"/>
      <c r="V6545" s="37"/>
    </row>
    <row r="6546" spans="13:22" x14ac:dyDescent="0.2">
      <c r="M6546" s="40"/>
      <c r="N6546" s="15"/>
      <c r="O6546" s="15"/>
      <c r="P6546" s="15"/>
      <c r="Q6546" s="39"/>
      <c r="R6546" s="35"/>
      <c r="S6546" s="36"/>
      <c r="T6546" s="36"/>
      <c r="U6546" s="36"/>
      <c r="V6546" s="37"/>
    </row>
    <row r="6547" spans="13:22" x14ac:dyDescent="0.2">
      <c r="M6547" s="40"/>
      <c r="N6547" s="15"/>
      <c r="O6547" s="15"/>
      <c r="P6547" s="15"/>
      <c r="Q6547" s="39"/>
      <c r="R6547" s="41"/>
      <c r="S6547" s="36"/>
      <c r="T6547" s="36"/>
      <c r="U6547" s="36"/>
      <c r="V6547" s="37"/>
    </row>
    <row r="6548" spans="13:22" x14ac:dyDescent="0.2">
      <c r="M6548" s="40"/>
      <c r="N6548" s="15"/>
      <c r="O6548" s="15"/>
      <c r="P6548" s="15"/>
      <c r="Q6548" s="39"/>
      <c r="R6548" s="41"/>
      <c r="S6548" s="36"/>
      <c r="T6548" s="36"/>
      <c r="U6548" s="36"/>
      <c r="V6548" s="37"/>
    </row>
    <row r="6549" spans="13:22" x14ac:dyDescent="0.2">
      <c r="M6549" s="40"/>
      <c r="N6549" s="15"/>
      <c r="O6549" s="15"/>
      <c r="P6549" s="15"/>
      <c r="Q6549" s="39"/>
      <c r="R6549" s="41"/>
      <c r="S6549" s="36"/>
      <c r="T6549" s="36"/>
      <c r="U6549" s="36"/>
      <c r="V6549" s="37"/>
    </row>
    <row r="6550" spans="13:22" x14ac:dyDescent="0.2">
      <c r="M6550" s="40"/>
      <c r="N6550" s="15"/>
      <c r="O6550" s="15"/>
      <c r="P6550" s="15"/>
      <c r="Q6550" s="39"/>
      <c r="R6550" s="41"/>
      <c r="S6550" s="36"/>
      <c r="T6550" s="36"/>
      <c r="U6550" s="36"/>
      <c r="V6550" s="37"/>
    </row>
    <row r="6551" spans="13:22" x14ac:dyDescent="0.2">
      <c r="M6551" s="40"/>
      <c r="N6551" s="15"/>
      <c r="O6551" s="15"/>
      <c r="P6551" s="15"/>
      <c r="Q6551" s="39"/>
      <c r="R6551" s="41"/>
      <c r="S6551" s="36"/>
      <c r="T6551" s="36"/>
      <c r="U6551" s="36"/>
      <c r="V6551" s="37"/>
    </row>
    <row r="6552" spans="13:22" x14ac:dyDescent="0.2">
      <c r="M6552" s="40"/>
      <c r="N6552" s="15"/>
      <c r="O6552" s="15"/>
      <c r="P6552" s="15"/>
      <c r="Q6552" s="39"/>
      <c r="R6552" s="41"/>
      <c r="S6552" s="36"/>
      <c r="T6552" s="36"/>
      <c r="U6552" s="36"/>
      <c r="V6552" s="37"/>
    </row>
    <row r="6553" spans="13:22" x14ac:dyDescent="0.2">
      <c r="M6553" s="40"/>
      <c r="N6553" s="15"/>
      <c r="O6553" s="15"/>
      <c r="P6553" s="15"/>
      <c r="Q6553" s="39"/>
      <c r="R6553" s="41"/>
      <c r="S6553" s="36"/>
      <c r="T6553" s="36"/>
      <c r="U6553" s="36"/>
      <c r="V6553" s="37"/>
    </row>
    <row r="6554" spans="13:22" x14ac:dyDescent="0.2">
      <c r="M6554" s="40"/>
      <c r="N6554" s="15"/>
      <c r="O6554" s="15"/>
      <c r="P6554" s="15"/>
      <c r="Q6554" s="39"/>
      <c r="R6554" s="41"/>
      <c r="S6554" s="36"/>
      <c r="T6554" s="36"/>
      <c r="U6554" s="36"/>
      <c r="V6554" s="37"/>
    </row>
    <row r="6555" spans="13:22" x14ac:dyDescent="0.2">
      <c r="M6555" s="40"/>
      <c r="N6555" s="15"/>
      <c r="O6555" s="15"/>
      <c r="P6555" s="15"/>
      <c r="Q6555" s="39"/>
      <c r="R6555" s="41"/>
      <c r="S6555" s="36"/>
      <c r="T6555" s="36"/>
      <c r="U6555" s="36"/>
      <c r="V6555" s="37"/>
    </row>
    <row r="6556" spans="13:22" ht="13.5" thickBot="1" x14ac:dyDescent="0.25">
      <c r="M6556" s="42"/>
      <c r="N6556" s="43"/>
      <c r="O6556" s="43"/>
      <c r="P6556" s="43"/>
      <c r="Q6556" s="44"/>
      <c r="R6556" s="41"/>
      <c r="S6556" s="46"/>
      <c r="T6556" s="46"/>
      <c r="U6556" s="46"/>
      <c r="V6556" s="47"/>
    </row>
    <row r="6557" spans="13:22" ht="13.5" thickBot="1" x14ac:dyDescent="0.25">
      <c r="M6557" s="48"/>
      <c r="N6557" s="49"/>
      <c r="O6557" s="49"/>
      <c r="P6557" s="49"/>
      <c r="Q6557" s="50"/>
      <c r="R6557" s="45"/>
      <c r="S6557" s="52"/>
      <c r="T6557" s="52"/>
      <c r="U6557" s="52"/>
      <c r="V6557" s="53"/>
    </row>
    <row r="6558" spans="13:22" x14ac:dyDescent="0.2">
      <c r="M6558" s="54"/>
      <c r="N6558" s="29"/>
      <c r="O6558" s="29"/>
      <c r="P6558" s="29"/>
      <c r="Q6558" s="34"/>
      <c r="R6558" s="51"/>
      <c r="S6558" s="36"/>
      <c r="T6558" s="36"/>
      <c r="U6558" s="36"/>
      <c r="V6558" s="37"/>
    </row>
    <row r="6559" spans="13:22" x14ac:dyDescent="0.2">
      <c r="M6559" s="33"/>
      <c r="N6559" s="29"/>
      <c r="O6559" s="29"/>
      <c r="P6559" s="29"/>
      <c r="Q6559" s="34"/>
      <c r="R6559" s="41"/>
      <c r="S6559" s="36"/>
      <c r="T6559" s="36"/>
      <c r="U6559" s="36"/>
      <c r="V6559" s="37"/>
    </row>
    <row r="6560" spans="13:22" x14ac:dyDescent="0.2">
      <c r="M6560" s="33"/>
      <c r="N6560" s="29"/>
      <c r="O6560" s="29"/>
      <c r="P6560" s="29"/>
      <c r="Q6560" s="34"/>
      <c r="R6560" s="35"/>
      <c r="S6560" s="36"/>
      <c r="T6560" s="36"/>
      <c r="U6560" s="36"/>
      <c r="V6560" s="37"/>
    </row>
    <row r="6561" spans="13:22" x14ac:dyDescent="0.2">
      <c r="M6561" s="33"/>
      <c r="N6561" s="29"/>
      <c r="O6561" s="29"/>
      <c r="P6561" s="29"/>
      <c r="Q6561" s="34"/>
      <c r="R6561" s="35"/>
      <c r="S6561" s="36"/>
      <c r="T6561" s="36"/>
      <c r="U6561" s="36"/>
      <c r="V6561" s="37"/>
    </row>
    <row r="6562" spans="13:22" x14ac:dyDescent="0.2">
      <c r="M6562" s="33"/>
      <c r="N6562" s="29"/>
      <c r="O6562" s="29"/>
      <c r="P6562" s="29"/>
      <c r="Q6562" s="34"/>
      <c r="R6562" s="35"/>
      <c r="S6562" s="36"/>
      <c r="T6562" s="36"/>
      <c r="U6562" s="36"/>
      <c r="V6562" s="37"/>
    </row>
    <row r="6563" spans="13:22" x14ac:dyDescent="0.2">
      <c r="M6563" s="33"/>
      <c r="N6563" s="29"/>
      <c r="O6563" s="29"/>
      <c r="P6563" s="29"/>
      <c r="Q6563" s="34"/>
      <c r="R6563" s="35"/>
      <c r="S6563" s="36"/>
      <c r="T6563" s="36"/>
      <c r="U6563" s="36"/>
      <c r="V6563" s="37"/>
    </row>
    <row r="6564" spans="13:22" x14ac:dyDescent="0.2">
      <c r="M6564" s="33"/>
      <c r="N6564" s="29"/>
      <c r="O6564" s="29"/>
      <c r="P6564" s="29"/>
      <c r="Q6564" s="38"/>
      <c r="R6564" s="35"/>
      <c r="S6564" s="36"/>
      <c r="T6564" s="36"/>
      <c r="U6564" s="36"/>
      <c r="V6564" s="37"/>
    </row>
    <row r="6565" spans="13:22" x14ac:dyDescent="0.2">
      <c r="M6565" s="33"/>
      <c r="N6565" s="29"/>
      <c r="O6565" s="29"/>
      <c r="P6565" s="29"/>
      <c r="Q6565" s="34"/>
      <c r="R6565" s="35"/>
      <c r="S6565" s="36"/>
      <c r="T6565" s="36"/>
      <c r="U6565" s="36"/>
      <c r="V6565" s="37"/>
    </row>
    <row r="6566" spans="13:22" x14ac:dyDescent="0.2">
      <c r="M6566" s="33"/>
      <c r="N6566" s="29"/>
      <c r="O6566" s="29"/>
      <c r="P6566" s="29"/>
      <c r="Q6566" s="34"/>
      <c r="R6566" s="35"/>
      <c r="S6566" s="36"/>
      <c r="T6566" s="36"/>
      <c r="U6566" s="36"/>
      <c r="V6566" s="37"/>
    </row>
    <row r="6567" spans="13:22" x14ac:dyDescent="0.2">
      <c r="M6567" s="33"/>
      <c r="N6567" s="29"/>
      <c r="O6567" s="29"/>
      <c r="P6567" s="29"/>
      <c r="Q6567" s="34"/>
      <c r="R6567" s="35"/>
      <c r="S6567" s="36"/>
      <c r="T6567" s="36"/>
      <c r="U6567" s="36"/>
      <c r="V6567" s="37"/>
    </row>
    <row r="6568" spans="13:22" x14ac:dyDescent="0.2">
      <c r="M6568" s="33"/>
      <c r="N6568" s="29"/>
      <c r="O6568" s="29"/>
      <c r="P6568" s="29"/>
      <c r="Q6568" s="34"/>
      <c r="R6568" s="35"/>
      <c r="S6568" s="36"/>
      <c r="T6568" s="36"/>
      <c r="U6568" s="36"/>
      <c r="V6568" s="37"/>
    </row>
    <row r="6569" spans="13:22" x14ac:dyDescent="0.2">
      <c r="M6569" s="26"/>
      <c r="N6569" s="15"/>
      <c r="O6569" s="15"/>
      <c r="P6569" s="15"/>
      <c r="Q6569" s="39"/>
      <c r="R6569" s="35"/>
      <c r="S6569" s="36"/>
      <c r="T6569" s="36"/>
      <c r="U6569" s="36"/>
      <c r="V6569" s="37"/>
    </row>
    <row r="6570" spans="13:22" x14ac:dyDescent="0.2">
      <c r="M6570" s="26"/>
      <c r="N6570" s="15"/>
      <c r="O6570" s="15"/>
      <c r="P6570" s="15"/>
      <c r="Q6570" s="39"/>
      <c r="R6570" s="35"/>
      <c r="S6570" s="36"/>
      <c r="T6570" s="36"/>
      <c r="U6570" s="36"/>
      <c r="V6570" s="37"/>
    </row>
    <row r="6571" spans="13:22" x14ac:dyDescent="0.2">
      <c r="M6571" s="40"/>
      <c r="N6571" s="15"/>
      <c r="O6571" s="15"/>
      <c r="P6571" s="15"/>
      <c r="Q6571" s="39"/>
      <c r="R6571" s="35"/>
      <c r="S6571" s="36"/>
      <c r="T6571" s="36"/>
      <c r="U6571" s="36"/>
      <c r="V6571" s="37"/>
    </row>
    <row r="6572" spans="13:22" x14ac:dyDescent="0.2">
      <c r="M6572" s="40"/>
      <c r="N6572" s="15"/>
      <c r="O6572" s="15"/>
      <c r="P6572" s="15"/>
      <c r="Q6572" s="39"/>
      <c r="R6572" s="41"/>
      <c r="S6572" s="36"/>
      <c r="T6572" s="36"/>
      <c r="U6572" s="36"/>
      <c r="V6572" s="37"/>
    </row>
    <row r="6573" spans="13:22" x14ac:dyDescent="0.2">
      <c r="M6573" s="40"/>
      <c r="N6573" s="15"/>
      <c r="O6573" s="15"/>
      <c r="P6573" s="15"/>
      <c r="Q6573" s="39"/>
      <c r="R6573" s="41"/>
      <c r="S6573" s="36"/>
      <c r="T6573" s="36"/>
      <c r="U6573" s="36"/>
      <c r="V6573" s="37"/>
    </row>
    <row r="6574" spans="13:22" x14ac:dyDescent="0.2">
      <c r="M6574" s="40"/>
      <c r="N6574" s="15"/>
      <c r="O6574" s="15"/>
      <c r="P6574" s="15"/>
      <c r="Q6574" s="39"/>
      <c r="R6574" s="41"/>
      <c r="S6574" s="36"/>
      <c r="T6574" s="36"/>
      <c r="U6574" s="36"/>
      <c r="V6574" s="37"/>
    </row>
    <row r="6575" spans="13:22" x14ac:dyDescent="0.2">
      <c r="M6575" s="40"/>
      <c r="N6575" s="15"/>
      <c r="O6575" s="15"/>
      <c r="P6575" s="15"/>
      <c r="Q6575" s="39"/>
      <c r="R6575" s="41"/>
      <c r="S6575" s="36"/>
      <c r="T6575" s="36"/>
      <c r="U6575" s="36"/>
      <c r="V6575" s="37"/>
    </row>
    <row r="6576" spans="13:22" x14ac:dyDescent="0.2">
      <c r="M6576" s="40"/>
      <c r="N6576" s="15"/>
      <c r="O6576" s="15"/>
      <c r="P6576" s="15"/>
      <c r="Q6576" s="39"/>
      <c r="R6576" s="41"/>
      <c r="S6576" s="36"/>
      <c r="T6576" s="36"/>
      <c r="U6576" s="36"/>
      <c r="V6576" s="37"/>
    </row>
    <row r="6577" spans="13:22" x14ac:dyDescent="0.2">
      <c r="M6577" s="40"/>
      <c r="N6577" s="15"/>
      <c r="O6577" s="15"/>
      <c r="P6577" s="15"/>
      <c r="Q6577" s="39"/>
      <c r="R6577" s="41"/>
      <c r="S6577" s="36"/>
      <c r="T6577" s="36"/>
      <c r="U6577" s="36"/>
      <c r="V6577" s="37"/>
    </row>
    <row r="6578" spans="13:22" x14ac:dyDescent="0.2">
      <c r="M6578" s="40"/>
      <c r="N6578" s="15"/>
      <c r="O6578" s="15"/>
      <c r="P6578" s="15"/>
      <c r="Q6578" s="39"/>
      <c r="R6578" s="41"/>
      <c r="S6578" s="36"/>
      <c r="T6578" s="36"/>
      <c r="U6578" s="36"/>
      <c r="V6578" s="37"/>
    </row>
    <row r="6579" spans="13:22" x14ac:dyDescent="0.2">
      <c r="M6579" s="40"/>
      <c r="N6579" s="15"/>
      <c r="O6579" s="15"/>
      <c r="P6579" s="15"/>
      <c r="Q6579" s="39"/>
      <c r="R6579" s="41"/>
      <c r="S6579" s="36"/>
      <c r="T6579" s="36"/>
      <c r="U6579" s="36"/>
      <c r="V6579" s="37"/>
    </row>
    <row r="6580" spans="13:22" x14ac:dyDescent="0.2">
      <c r="M6580" s="40"/>
      <c r="N6580" s="15"/>
      <c r="O6580" s="15"/>
      <c r="P6580" s="15"/>
      <c r="Q6580" s="39"/>
      <c r="R6580" s="41"/>
      <c r="S6580" s="36"/>
      <c r="T6580" s="36"/>
      <c r="U6580" s="36"/>
      <c r="V6580" s="37"/>
    </row>
    <row r="6581" spans="13:22" ht="13.5" thickBot="1" x14ac:dyDescent="0.25">
      <c r="M6581" s="42"/>
      <c r="N6581" s="43"/>
      <c r="O6581" s="43"/>
      <c r="P6581" s="43"/>
      <c r="Q6581" s="44"/>
      <c r="R6581" s="41"/>
      <c r="S6581" s="46"/>
      <c r="T6581" s="46"/>
      <c r="U6581" s="46"/>
      <c r="V6581" s="47"/>
    </row>
    <row r="6582" spans="13:22" ht="13.5" thickBot="1" x14ac:dyDescent="0.25">
      <c r="M6582" s="48"/>
      <c r="N6582" s="49"/>
      <c r="O6582" s="49"/>
      <c r="P6582" s="49"/>
      <c r="Q6582" s="50"/>
      <c r="R6582" s="45"/>
      <c r="S6582" s="52"/>
      <c r="T6582" s="52"/>
      <c r="U6582" s="52"/>
      <c r="V6582" s="53"/>
    </row>
    <row r="6583" spans="13:22" x14ac:dyDescent="0.2">
      <c r="M6583" s="54"/>
      <c r="N6583" s="29"/>
      <c r="O6583" s="29"/>
      <c r="P6583" s="29"/>
      <c r="Q6583" s="34"/>
      <c r="R6583" s="51"/>
      <c r="S6583" s="36"/>
      <c r="T6583" s="36"/>
      <c r="U6583" s="36"/>
      <c r="V6583" s="37"/>
    </row>
    <row r="6584" spans="13:22" x14ac:dyDescent="0.2">
      <c r="M6584" s="33"/>
      <c r="N6584" s="29"/>
      <c r="O6584" s="29"/>
      <c r="P6584" s="29"/>
      <c r="Q6584" s="34"/>
      <c r="R6584" s="41"/>
      <c r="S6584" s="36"/>
      <c r="T6584" s="36"/>
      <c r="U6584" s="36"/>
      <c r="V6584" s="37"/>
    </row>
    <row r="6585" spans="13:22" x14ac:dyDescent="0.2">
      <c r="M6585" s="33"/>
      <c r="N6585" s="29"/>
      <c r="O6585" s="29"/>
      <c r="P6585" s="29"/>
      <c r="Q6585" s="34"/>
      <c r="R6585" s="35"/>
      <c r="S6585" s="36"/>
      <c r="T6585" s="36"/>
      <c r="U6585" s="36"/>
      <c r="V6585" s="37"/>
    </row>
    <row r="6586" spans="13:22" x14ac:dyDescent="0.2">
      <c r="M6586" s="33"/>
      <c r="N6586" s="29"/>
      <c r="O6586" s="29"/>
      <c r="P6586" s="29"/>
      <c r="Q6586" s="34"/>
      <c r="R6586" s="35"/>
      <c r="S6586" s="36"/>
      <c r="T6586" s="36"/>
      <c r="U6586" s="36"/>
      <c r="V6586" s="37"/>
    </row>
    <row r="6587" spans="13:22" x14ac:dyDescent="0.2">
      <c r="M6587" s="33"/>
      <c r="N6587" s="29"/>
      <c r="O6587" s="29"/>
      <c r="P6587" s="29"/>
      <c r="Q6587" s="34"/>
      <c r="R6587" s="35"/>
      <c r="S6587" s="36"/>
      <c r="T6587" s="36"/>
      <c r="U6587" s="36"/>
      <c r="V6587" s="37"/>
    </row>
    <row r="6588" spans="13:22" x14ac:dyDescent="0.2">
      <c r="M6588" s="33"/>
      <c r="N6588" s="29"/>
      <c r="O6588" s="29"/>
      <c r="P6588" s="29"/>
      <c r="Q6588" s="34"/>
      <c r="R6588" s="35"/>
      <c r="S6588" s="36"/>
      <c r="T6588" s="36"/>
      <c r="U6588" s="36"/>
      <c r="V6588" s="37"/>
    </row>
    <row r="6589" spans="13:22" x14ac:dyDescent="0.2">
      <c r="M6589" s="33"/>
      <c r="N6589" s="29"/>
      <c r="O6589" s="29"/>
      <c r="P6589" s="29"/>
      <c r="Q6589" s="38"/>
      <c r="R6589" s="35"/>
      <c r="S6589" s="36"/>
      <c r="T6589" s="36"/>
      <c r="U6589" s="36"/>
      <c r="V6589" s="37"/>
    </row>
    <row r="6590" spans="13:22" x14ac:dyDescent="0.2">
      <c r="M6590" s="33"/>
      <c r="N6590" s="29"/>
      <c r="O6590" s="29"/>
      <c r="P6590" s="29"/>
      <c r="Q6590" s="34"/>
      <c r="R6590" s="35"/>
      <c r="S6590" s="36"/>
      <c r="T6590" s="36"/>
      <c r="U6590" s="36"/>
      <c r="V6590" s="37"/>
    </row>
    <row r="6591" spans="13:22" x14ac:dyDescent="0.2">
      <c r="M6591" s="33"/>
      <c r="N6591" s="29"/>
      <c r="O6591" s="29"/>
      <c r="P6591" s="29"/>
      <c r="Q6591" s="34"/>
      <c r="R6591" s="35"/>
      <c r="S6591" s="36"/>
      <c r="T6591" s="36"/>
      <c r="U6591" s="36"/>
      <c r="V6591" s="37"/>
    </row>
    <row r="6592" spans="13:22" x14ac:dyDescent="0.2">
      <c r="M6592" s="33"/>
      <c r="N6592" s="29"/>
      <c r="O6592" s="29"/>
      <c r="P6592" s="29"/>
      <c r="Q6592" s="34"/>
      <c r="R6592" s="35"/>
      <c r="S6592" s="36"/>
      <c r="T6592" s="36"/>
      <c r="U6592" s="36"/>
      <c r="V6592" s="37"/>
    </row>
    <row r="6593" spans="13:22" x14ac:dyDescent="0.2">
      <c r="M6593" s="33"/>
      <c r="N6593" s="29"/>
      <c r="O6593" s="29"/>
      <c r="P6593" s="29"/>
      <c r="Q6593" s="34"/>
      <c r="R6593" s="35"/>
      <c r="S6593" s="36"/>
      <c r="T6593" s="36"/>
      <c r="U6593" s="36"/>
      <c r="V6593" s="37"/>
    </row>
    <row r="6594" spans="13:22" x14ac:dyDescent="0.2">
      <c r="M6594" s="26"/>
      <c r="N6594" s="15"/>
      <c r="O6594" s="15"/>
      <c r="P6594" s="15"/>
      <c r="Q6594" s="39"/>
      <c r="R6594" s="35"/>
      <c r="S6594" s="36"/>
      <c r="T6594" s="36"/>
      <c r="U6594" s="36"/>
      <c r="V6594" s="37"/>
    </row>
    <row r="6595" spans="13:22" x14ac:dyDescent="0.2">
      <c r="M6595" s="26"/>
      <c r="N6595" s="15"/>
      <c r="O6595" s="15"/>
      <c r="P6595" s="15"/>
      <c r="Q6595" s="39"/>
      <c r="R6595" s="35"/>
      <c r="S6595" s="36"/>
      <c r="T6595" s="36"/>
      <c r="U6595" s="36"/>
      <c r="V6595" s="37"/>
    </row>
    <row r="6596" spans="13:22" x14ac:dyDescent="0.2">
      <c r="M6596" s="40"/>
      <c r="N6596" s="15"/>
      <c r="O6596" s="15"/>
      <c r="P6596" s="15"/>
      <c r="Q6596" s="39"/>
      <c r="R6596" s="35"/>
      <c r="S6596" s="36"/>
      <c r="T6596" s="36"/>
      <c r="U6596" s="36"/>
      <c r="V6596" s="37"/>
    </row>
    <row r="6597" spans="13:22" x14ac:dyDescent="0.2">
      <c r="M6597" s="40"/>
      <c r="N6597" s="15"/>
      <c r="O6597" s="15"/>
      <c r="P6597" s="15"/>
      <c r="Q6597" s="39"/>
      <c r="R6597" s="41"/>
      <c r="S6597" s="36"/>
      <c r="T6597" s="36"/>
      <c r="U6597" s="36"/>
      <c r="V6597" s="37"/>
    </row>
    <row r="6598" spans="13:22" x14ac:dyDescent="0.2">
      <c r="M6598" s="40"/>
      <c r="N6598" s="15"/>
      <c r="O6598" s="15"/>
      <c r="P6598" s="15"/>
      <c r="Q6598" s="39"/>
      <c r="R6598" s="41"/>
      <c r="S6598" s="36"/>
      <c r="T6598" s="36"/>
      <c r="U6598" s="36"/>
      <c r="V6598" s="37"/>
    </row>
    <row r="6599" spans="13:22" x14ac:dyDescent="0.2">
      <c r="M6599" s="40"/>
      <c r="N6599" s="15"/>
      <c r="O6599" s="15"/>
      <c r="P6599" s="15"/>
      <c r="Q6599" s="39"/>
      <c r="R6599" s="41"/>
      <c r="S6599" s="36"/>
      <c r="T6599" s="36"/>
      <c r="U6599" s="36"/>
      <c r="V6599" s="37"/>
    </row>
    <row r="6600" spans="13:22" x14ac:dyDescent="0.2">
      <c r="M6600" s="40"/>
      <c r="N6600" s="15"/>
      <c r="O6600" s="15"/>
      <c r="P6600" s="15"/>
      <c r="Q6600" s="39"/>
      <c r="R6600" s="41"/>
      <c r="S6600" s="36"/>
      <c r="T6600" s="36"/>
      <c r="U6600" s="36"/>
      <c r="V6600" s="37"/>
    </row>
    <row r="6601" spans="13:22" x14ac:dyDescent="0.2">
      <c r="M6601" s="40"/>
      <c r="N6601" s="15"/>
      <c r="O6601" s="15"/>
      <c r="P6601" s="15"/>
      <c r="Q6601" s="39"/>
      <c r="R6601" s="41"/>
      <c r="S6601" s="36"/>
      <c r="T6601" s="36"/>
      <c r="U6601" s="36"/>
      <c r="V6601" s="37"/>
    </row>
    <row r="6602" spans="13:22" x14ac:dyDescent="0.2">
      <c r="M6602" s="40"/>
      <c r="N6602" s="15"/>
      <c r="O6602" s="15"/>
      <c r="P6602" s="15"/>
      <c r="Q6602" s="39"/>
      <c r="R6602" s="41"/>
      <c r="S6602" s="36"/>
      <c r="T6602" s="36"/>
      <c r="U6602" s="36"/>
      <c r="V6602" s="37"/>
    </row>
    <row r="6603" spans="13:22" x14ac:dyDescent="0.2">
      <c r="M6603" s="40"/>
      <c r="N6603" s="15"/>
      <c r="O6603" s="15"/>
      <c r="P6603" s="15"/>
      <c r="Q6603" s="39"/>
      <c r="R6603" s="41"/>
      <c r="S6603" s="36"/>
      <c r="T6603" s="36"/>
      <c r="U6603" s="36"/>
      <c r="V6603" s="37"/>
    </row>
    <row r="6604" spans="13:22" x14ac:dyDescent="0.2">
      <c r="M6604" s="40"/>
      <c r="N6604" s="15"/>
      <c r="O6604" s="15"/>
      <c r="P6604" s="15"/>
      <c r="Q6604" s="39"/>
      <c r="R6604" s="41"/>
      <c r="S6604" s="36"/>
      <c r="T6604" s="36"/>
      <c r="U6604" s="36"/>
      <c r="V6604" s="37"/>
    </row>
    <row r="6605" spans="13:22" x14ac:dyDescent="0.2">
      <c r="M6605" s="40"/>
      <c r="N6605" s="15"/>
      <c r="O6605" s="15"/>
      <c r="P6605" s="15"/>
      <c r="Q6605" s="39"/>
      <c r="R6605" s="41"/>
      <c r="S6605" s="36"/>
      <c r="T6605" s="36"/>
      <c r="U6605" s="36"/>
      <c r="V6605" s="37"/>
    </row>
    <row r="6606" spans="13:22" ht="13.5" thickBot="1" x14ac:dyDescent="0.25">
      <c r="M6606" s="42"/>
      <c r="N6606" s="43"/>
      <c r="O6606" s="43"/>
      <c r="P6606" s="43"/>
      <c r="Q6606" s="44"/>
      <c r="R6606" s="41"/>
      <c r="S6606" s="46"/>
      <c r="T6606" s="46"/>
      <c r="U6606" s="46"/>
      <c r="V6606" s="47"/>
    </row>
    <row r="6607" spans="13:22" ht="13.5" thickBot="1" x14ac:dyDescent="0.25">
      <c r="M6607" s="48"/>
      <c r="N6607" s="49"/>
      <c r="O6607" s="49"/>
      <c r="P6607" s="49"/>
      <c r="Q6607" s="50"/>
      <c r="R6607" s="45"/>
      <c r="S6607" s="52"/>
      <c r="T6607" s="52"/>
      <c r="U6607" s="52"/>
      <c r="V6607" s="53"/>
    </row>
    <row r="6608" spans="13:22" x14ac:dyDescent="0.2">
      <c r="M6608" s="54"/>
      <c r="N6608" s="29"/>
      <c r="O6608" s="29"/>
      <c r="P6608" s="29"/>
      <c r="Q6608" s="34"/>
      <c r="R6608" s="51"/>
      <c r="S6608" s="36"/>
      <c r="T6608" s="36"/>
      <c r="U6608" s="36"/>
      <c r="V6608" s="37"/>
    </row>
    <row r="6609" spans="13:22" x14ac:dyDescent="0.2">
      <c r="M6609" s="33"/>
      <c r="N6609" s="29"/>
      <c r="O6609" s="29"/>
      <c r="P6609" s="29"/>
      <c r="Q6609" s="34"/>
      <c r="R6609" s="41"/>
      <c r="S6609" s="36"/>
      <c r="T6609" s="36"/>
      <c r="U6609" s="36"/>
      <c r="V6609" s="37"/>
    </row>
    <row r="6610" spans="13:22" x14ac:dyDescent="0.2">
      <c r="M6610" s="33"/>
      <c r="N6610" s="29"/>
      <c r="O6610" s="29"/>
      <c r="P6610" s="29"/>
      <c r="Q6610" s="34"/>
      <c r="R6610" s="35"/>
      <c r="S6610" s="36"/>
      <c r="T6610" s="36"/>
      <c r="U6610" s="36"/>
      <c r="V6610" s="37"/>
    </row>
    <row r="6611" spans="13:22" x14ac:dyDescent="0.2">
      <c r="M6611" s="33"/>
      <c r="N6611" s="29"/>
      <c r="O6611" s="29"/>
      <c r="P6611" s="29"/>
      <c r="Q6611" s="34"/>
      <c r="R6611" s="35"/>
      <c r="S6611" s="36"/>
      <c r="T6611" s="36"/>
      <c r="U6611" s="36"/>
      <c r="V6611" s="37"/>
    </row>
    <row r="6612" spans="13:22" x14ac:dyDescent="0.2">
      <c r="M6612" s="33"/>
      <c r="N6612" s="29"/>
      <c r="O6612" s="29"/>
      <c r="P6612" s="29"/>
      <c r="Q6612" s="34"/>
      <c r="R6612" s="35"/>
      <c r="S6612" s="36"/>
      <c r="T6612" s="36"/>
      <c r="U6612" s="36"/>
      <c r="V6612" s="37"/>
    </row>
    <row r="6613" spans="13:22" x14ac:dyDescent="0.2">
      <c r="M6613" s="33"/>
      <c r="N6613" s="29"/>
      <c r="O6613" s="29"/>
      <c r="P6613" s="29"/>
      <c r="Q6613" s="34"/>
      <c r="R6613" s="35"/>
      <c r="S6613" s="36"/>
      <c r="T6613" s="36"/>
      <c r="U6613" s="36"/>
      <c r="V6613" s="37"/>
    </row>
    <row r="6614" spans="13:22" x14ac:dyDescent="0.2">
      <c r="M6614" s="33"/>
      <c r="N6614" s="29"/>
      <c r="O6614" s="29"/>
      <c r="P6614" s="29"/>
      <c r="Q6614" s="38"/>
      <c r="R6614" s="35"/>
      <c r="S6614" s="36"/>
      <c r="T6614" s="36"/>
      <c r="U6614" s="36"/>
      <c r="V6614" s="37"/>
    </row>
    <row r="6615" spans="13:22" x14ac:dyDescent="0.2">
      <c r="M6615" s="33"/>
      <c r="N6615" s="29"/>
      <c r="O6615" s="29"/>
      <c r="P6615" s="29"/>
      <c r="Q6615" s="34"/>
      <c r="R6615" s="35"/>
      <c r="S6615" s="36"/>
      <c r="T6615" s="36"/>
      <c r="U6615" s="36"/>
      <c r="V6615" s="37"/>
    </row>
    <row r="6616" spans="13:22" x14ac:dyDescent="0.2">
      <c r="M6616" s="33"/>
      <c r="N6616" s="29"/>
      <c r="O6616" s="29"/>
      <c r="P6616" s="29"/>
      <c r="Q6616" s="34"/>
      <c r="R6616" s="35"/>
      <c r="S6616" s="36"/>
      <c r="T6616" s="36"/>
      <c r="U6616" s="36"/>
      <c r="V6616" s="37"/>
    </row>
    <row r="6617" spans="13:22" x14ac:dyDescent="0.2">
      <c r="M6617" s="33"/>
      <c r="N6617" s="29"/>
      <c r="O6617" s="29"/>
      <c r="P6617" s="29"/>
      <c r="Q6617" s="34"/>
      <c r="R6617" s="35"/>
      <c r="S6617" s="36"/>
      <c r="T6617" s="36"/>
      <c r="U6617" s="36"/>
      <c r="V6617" s="37"/>
    </row>
    <row r="6618" spans="13:22" x14ac:dyDescent="0.2">
      <c r="M6618" s="33"/>
      <c r="N6618" s="29"/>
      <c r="O6618" s="29"/>
      <c r="P6618" s="29"/>
      <c r="Q6618" s="34"/>
      <c r="R6618" s="35"/>
      <c r="S6618" s="36"/>
      <c r="T6618" s="36"/>
      <c r="U6618" s="36"/>
      <c r="V6618" s="37"/>
    </row>
    <row r="6619" spans="13:22" x14ac:dyDescent="0.2">
      <c r="M6619" s="26"/>
      <c r="N6619" s="15"/>
      <c r="O6619" s="15"/>
      <c r="P6619" s="15"/>
      <c r="Q6619" s="39"/>
      <c r="R6619" s="35"/>
      <c r="S6619" s="36"/>
      <c r="T6619" s="36"/>
      <c r="U6619" s="36"/>
      <c r="V6619" s="37"/>
    </row>
    <row r="6620" spans="13:22" x14ac:dyDescent="0.2">
      <c r="M6620" s="26"/>
      <c r="N6620" s="15"/>
      <c r="O6620" s="15"/>
      <c r="P6620" s="15"/>
      <c r="Q6620" s="39"/>
      <c r="R6620" s="35"/>
      <c r="S6620" s="36"/>
      <c r="T6620" s="36"/>
      <c r="U6620" s="36"/>
      <c r="V6620" s="37"/>
    </row>
    <row r="6621" spans="13:22" x14ac:dyDescent="0.2">
      <c r="M6621" s="40"/>
      <c r="N6621" s="15"/>
      <c r="O6621" s="15"/>
      <c r="P6621" s="15"/>
      <c r="Q6621" s="39"/>
      <c r="R6621" s="35"/>
      <c r="S6621" s="36"/>
      <c r="T6621" s="36"/>
      <c r="U6621" s="36"/>
      <c r="V6621" s="37"/>
    </row>
    <row r="6622" spans="13:22" x14ac:dyDescent="0.2">
      <c r="M6622" s="40"/>
      <c r="N6622" s="15"/>
      <c r="O6622" s="15"/>
      <c r="P6622" s="15"/>
      <c r="Q6622" s="39"/>
      <c r="R6622" s="41"/>
      <c r="S6622" s="36"/>
      <c r="T6622" s="36"/>
      <c r="U6622" s="36"/>
      <c r="V6622" s="37"/>
    </row>
    <row r="6623" spans="13:22" x14ac:dyDescent="0.2">
      <c r="M6623" s="40"/>
      <c r="N6623" s="15"/>
      <c r="O6623" s="15"/>
      <c r="P6623" s="15"/>
      <c r="Q6623" s="39"/>
      <c r="R6623" s="41"/>
      <c r="S6623" s="36"/>
      <c r="T6623" s="36"/>
      <c r="U6623" s="36"/>
      <c r="V6623" s="37"/>
    </row>
    <row r="6624" spans="13:22" x14ac:dyDescent="0.2">
      <c r="M6624" s="40"/>
      <c r="N6624" s="15"/>
      <c r="O6624" s="15"/>
      <c r="P6624" s="15"/>
      <c r="Q6624" s="39"/>
      <c r="R6624" s="41"/>
      <c r="S6624" s="36"/>
      <c r="T6624" s="36"/>
      <c r="U6624" s="36"/>
      <c r="V6624" s="37"/>
    </row>
    <row r="6625" spans="13:22" x14ac:dyDescent="0.2">
      <c r="M6625" s="40"/>
      <c r="N6625" s="15"/>
      <c r="O6625" s="15"/>
      <c r="P6625" s="15"/>
      <c r="Q6625" s="39"/>
      <c r="R6625" s="41"/>
      <c r="S6625" s="36"/>
      <c r="T6625" s="36"/>
      <c r="U6625" s="36"/>
      <c r="V6625" s="37"/>
    </row>
    <row r="6626" spans="13:22" x14ac:dyDescent="0.2">
      <c r="M6626" s="40"/>
      <c r="N6626" s="15"/>
      <c r="O6626" s="15"/>
      <c r="P6626" s="15"/>
      <c r="Q6626" s="39"/>
      <c r="R6626" s="41"/>
      <c r="S6626" s="36"/>
      <c r="T6626" s="36"/>
      <c r="U6626" s="36"/>
      <c r="V6626" s="37"/>
    </row>
    <row r="6627" spans="13:22" x14ac:dyDescent="0.2">
      <c r="M6627" s="40"/>
      <c r="N6627" s="15"/>
      <c r="O6627" s="15"/>
      <c r="P6627" s="15"/>
      <c r="Q6627" s="39"/>
      <c r="R6627" s="41"/>
      <c r="S6627" s="36"/>
      <c r="T6627" s="36"/>
      <c r="U6627" s="36"/>
      <c r="V6627" s="37"/>
    </row>
    <row r="6628" spans="13:22" x14ac:dyDescent="0.2">
      <c r="M6628" s="40"/>
      <c r="N6628" s="15"/>
      <c r="O6628" s="15"/>
      <c r="P6628" s="15"/>
      <c r="Q6628" s="39"/>
      <c r="R6628" s="41"/>
      <c r="S6628" s="36"/>
      <c r="T6628" s="36"/>
      <c r="U6628" s="36"/>
      <c r="V6628" s="37"/>
    </row>
    <row r="6629" spans="13:22" x14ac:dyDescent="0.2">
      <c r="M6629" s="40"/>
      <c r="N6629" s="15"/>
      <c r="O6629" s="15"/>
      <c r="P6629" s="15"/>
      <c r="Q6629" s="39"/>
      <c r="R6629" s="41"/>
      <c r="S6629" s="36"/>
      <c r="T6629" s="36"/>
      <c r="U6629" s="36"/>
      <c r="V6629" s="37"/>
    </row>
    <row r="6630" spans="13:22" x14ac:dyDescent="0.2">
      <c r="M6630" s="40"/>
      <c r="N6630" s="15"/>
      <c r="O6630" s="15"/>
      <c r="P6630" s="15"/>
      <c r="Q6630" s="39"/>
      <c r="R6630" s="41"/>
      <c r="S6630" s="36"/>
      <c r="T6630" s="36"/>
      <c r="U6630" s="36"/>
      <c r="V6630" s="37"/>
    </row>
    <row r="6631" spans="13:22" ht="13.5" thickBot="1" x14ac:dyDescent="0.25">
      <c r="M6631" s="42"/>
      <c r="N6631" s="43"/>
      <c r="O6631" s="43"/>
      <c r="P6631" s="43"/>
      <c r="Q6631" s="44"/>
      <c r="R6631" s="41"/>
      <c r="S6631" s="46"/>
      <c r="T6631" s="46"/>
      <c r="U6631" s="46"/>
      <c r="V6631" s="47"/>
    </row>
    <row r="6632" spans="13:22" ht="13.5" thickBot="1" x14ac:dyDescent="0.25">
      <c r="M6632" s="48"/>
      <c r="N6632" s="49"/>
      <c r="O6632" s="49"/>
      <c r="P6632" s="49"/>
      <c r="Q6632" s="50"/>
      <c r="R6632" s="45"/>
      <c r="S6632" s="52"/>
      <c r="T6632" s="52"/>
      <c r="U6632" s="52"/>
      <c r="V6632" s="53"/>
    </row>
    <row r="6633" spans="13:22" x14ac:dyDescent="0.2">
      <c r="M6633" s="54"/>
      <c r="N6633" s="29"/>
      <c r="O6633" s="29"/>
      <c r="P6633" s="29"/>
      <c r="Q6633" s="34"/>
      <c r="R6633" s="51"/>
      <c r="S6633" s="36"/>
      <c r="T6633" s="36"/>
      <c r="U6633" s="36"/>
      <c r="V6633" s="37"/>
    </row>
    <row r="6634" spans="13:22" x14ac:dyDescent="0.2">
      <c r="M6634" s="33"/>
      <c r="N6634" s="29"/>
      <c r="O6634" s="29"/>
      <c r="P6634" s="29"/>
      <c r="Q6634" s="34"/>
      <c r="R6634" s="41"/>
      <c r="S6634" s="36"/>
      <c r="T6634" s="36"/>
      <c r="U6634" s="36"/>
      <c r="V6634" s="37"/>
    </row>
    <row r="6635" spans="13:22" x14ac:dyDescent="0.2">
      <c r="M6635" s="33"/>
      <c r="N6635" s="29"/>
      <c r="O6635" s="29"/>
      <c r="P6635" s="29"/>
      <c r="Q6635" s="34"/>
      <c r="R6635" s="35"/>
      <c r="S6635" s="36"/>
      <c r="T6635" s="36"/>
      <c r="U6635" s="36"/>
      <c r="V6635" s="37"/>
    </row>
    <row r="6636" spans="13:22" x14ac:dyDescent="0.2">
      <c r="M6636" s="33"/>
      <c r="N6636" s="29"/>
      <c r="O6636" s="29"/>
      <c r="P6636" s="29"/>
      <c r="Q6636" s="34"/>
      <c r="R6636" s="35"/>
      <c r="S6636" s="36"/>
      <c r="T6636" s="36"/>
      <c r="U6636" s="36"/>
      <c r="V6636" s="37"/>
    </row>
    <row r="6637" spans="13:22" x14ac:dyDescent="0.2">
      <c r="M6637" s="33"/>
      <c r="N6637" s="29"/>
      <c r="O6637" s="29"/>
      <c r="P6637" s="29"/>
      <c r="Q6637" s="34"/>
      <c r="R6637" s="35"/>
      <c r="S6637" s="36"/>
      <c r="T6637" s="36"/>
      <c r="U6637" s="36"/>
      <c r="V6637" s="37"/>
    </row>
    <row r="6638" spans="13:22" x14ac:dyDescent="0.2">
      <c r="M6638" s="33"/>
      <c r="N6638" s="29"/>
      <c r="O6638" s="29"/>
      <c r="P6638" s="29"/>
      <c r="Q6638" s="34"/>
      <c r="R6638" s="35"/>
      <c r="S6638" s="36"/>
      <c r="T6638" s="36"/>
      <c r="U6638" s="36"/>
      <c r="V6638" s="37"/>
    </row>
    <row r="6639" spans="13:22" x14ac:dyDescent="0.2">
      <c r="M6639" s="33"/>
      <c r="N6639" s="29"/>
      <c r="O6639" s="29"/>
      <c r="P6639" s="29"/>
      <c r="Q6639" s="38"/>
      <c r="R6639" s="35"/>
      <c r="S6639" s="36"/>
      <c r="T6639" s="36"/>
      <c r="U6639" s="36"/>
      <c r="V6639" s="37"/>
    </row>
    <row r="6640" spans="13:22" x14ac:dyDescent="0.2">
      <c r="M6640" s="33"/>
      <c r="N6640" s="29"/>
      <c r="O6640" s="29"/>
      <c r="P6640" s="29"/>
      <c r="Q6640" s="34"/>
      <c r="R6640" s="35"/>
      <c r="S6640" s="36"/>
      <c r="T6640" s="36"/>
      <c r="U6640" s="36"/>
      <c r="V6640" s="37"/>
    </row>
    <row r="6641" spans="13:22" x14ac:dyDescent="0.2">
      <c r="M6641" s="33"/>
      <c r="N6641" s="29"/>
      <c r="O6641" s="29"/>
      <c r="P6641" s="29"/>
      <c r="Q6641" s="34"/>
      <c r="R6641" s="35"/>
      <c r="S6641" s="36"/>
      <c r="T6641" s="36"/>
      <c r="U6641" s="36"/>
      <c r="V6641" s="37"/>
    </row>
    <row r="6642" spans="13:22" x14ac:dyDescent="0.2">
      <c r="M6642" s="33"/>
      <c r="N6642" s="29"/>
      <c r="O6642" s="29"/>
      <c r="P6642" s="29"/>
      <c r="Q6642" s="34"/>
      <c r="R6642" s="35"/>
      <c r="S6642" s="36"/>
      <c r="T6642" s="36"/>
      <c r="U6642" s="36"/>
      <c r="V6642" s="37"/>
    </row>
    <row r="6643" spans="13:22" x14ac:dyDescent="0.2">
      <c r="M6643" s="33"/>
      <c r="N6643" s="29"/>
      <c r="O6643" s="29"/>
      <c r="P6643" s="29"/>
      <c r="Q6643" s="34"/>
      <c r="R6643" s="35"/>
      <c r="S6643" s="36"/>
      <c r="T6643" s="36"/>
      <c r="U6643" s="36"/>
      <c r="V6643" s="37"/>
    </row>
    <row r="6644" spans="13:22" x14ac:dyDescent="0.2">
      <c r="M6644" s="26"/>
      <c r="N6644" s="15"/>
      <c r="O6644" s="15"/>
      <c r="P6644" s="15"/>
      <c r="Q6644" s="39"/>
      <c r="R6644" s="35"/>
      <c r="S6644" s="36"/>
      <c r="T6644" s="36"/>
      <c r="U6644" s="36"/>
      <c r="V6644" s="37"/>
    </row>
    <row r="6645" spans="13:22" x14ac:dyDescent="0.2">
      <c r="M6645" s="26"/>
      <c r="N6645" s="15"/>
      <c r="O6645" s="15"/>
      <c r="P6645" s="15"/>
      <c r="Q6645" s="39"/>
      <c r="R6645" s="35"/>
      <c r="S6645" s="36"/>
      <c r="T6645" s="36"/>
      <c r="U6645" s="36"/>
      <c r="V6645" s="37"/>
    </row>
    <row r="6646" spans="13:22" x14ac:dyDescent="0.2">
      <c r="M6646" s="40"/>
      <c r="N6646" s="15"/>
      <c r="O6646" s="15"/>
      <c r="P6646" s="15"/>
      <c r="Q6646" s="39"/>
      <c r="R6646" s="35"/>
      <c r="S6646" s="36"/>
      <c r="T6646" s="36"/>
      <c r="U6646" s="36"/>
      <c r="V6646" s="37"/>
    </row>
    <row r="6647" spans="13:22" x14ac:dyDescent="0.2">
      <c r="M6647" s="40"/>
      <c r="N6647" s="15"/>
      <c r="O6647" s="15"/>
      <c r="P6647" s="15"/>
      <c r="Q6647" s="39"/>
      <c r="R6647" s="41"/>
      <c r="S6647" s="36"/>
      <c r="T6647" s="36"/>
      <c r="U6647" s="36"/>
      <c r="V6647" s="37"/>
    </row>
    <row r="6648" spans="13:22" x14ac:dyDescent="0.2">
      <c r="M6648" s="40"/>
      <c r="N6648" s="15"/>
      <c r="O6648" s="15"/>
      <c r="P6648" s="15"/>
      <c r="Q6648" s="39"/>
      <c r="R6648" s="41"/>
      <c r="S6648" s="36"/>
      <c r="T6648" s="36"/>
      <c r="U6648" s="36"/>
      <c r="V6648" s="37"/>
    </row>
    <row r="6649" spans="13:22" x14ac:dyDescent="0.2">
      <c r="M6649" s="40"/>
      <c r="N6649" s="15"/>
      <c r="O6649" s="15"/>
      <c r="P6649" s="15"/>
      <c r="Q6649" s="39"/>
      <c r="R6649" s="41"/>
      <c r="S6649" s="36"/>
      <c r="T6649" s="36"/>
      <c r="U6649" s="36"/>
      <c r="V6649" s="37"/>
    </row>
    <row r="6650" spans="13:22" x14ac:dyDescent="0.2">
      <c r="M6650" s="40"/>
      <c r="N6650" s="15"/>
      <c r="O6650" s="15"/>
      <c r="P6650" s="15"/>
      <c r="Q6650" s="39"/>
      <c r="R6650" s="41"/>
      <c r="S6650" s="36"/>
      <c r="T6650" s="36"/>
      <c r="U6650" s="36"/>
      <c r="V6650" s="37"/>
    </row>
    <row r="6651" spans="13:22" x14ac:dyDescent="0.2">
      <c r="M6651" s="40"/>
      <c r="N6651" s="15"/>
      <c r="O6651" s="15"/>
      <c r="P6651" s="15"/>
      <c r="Q6651" s="39"/>
      <c r="R6651" s="41"/>
      <c r="S6651" s="36"/>
      <c r="T6651" s="36"/>
      <c r="U6651" s="36"/>
      <c r="V6651" s="37"/>
    </row>
    <row r="6652" spans="13:22" x14ac:dyDescent="0.2">
      <c r="M6652" s="40"/>
      <c r="N6652" s="15"/>
      <c r="O6652" s="15"/>
      <c r="P6652" s="15"/>
      <c r="Q6652" s="39"/>
      <c r="R6652" s="41"/>
      <c r="S6652" s="36"/>
      <c r="T6652" s="36"/>
      <c r="U6652" s="36"/>
      <c r="V6652" s="37"/>
    </row>
    <row r="6653" spans="13:22" x14ac:dyDescent="0.2">
      <c r="M6653" s="40"/>
      <c r="N6653" s="15"/>
      <c r="O6653" s="15"/>
      <c r="P6653" s="15"/>
      <c r="Q6653" s="39"/>
      <c r="R6653" s="41"/>
      <c r="S6653" s="36"/>
      <c r="T6653" s="36"/>
      <c r="U6653" s="36"/>
      <c r="V6653" s="37"/>
    </row>
    <row r="6654" spans="13:22" x14ac:dyDescent="0.2">
      <c r="M6654" s="40"/>
      <c r="N6654" s="15"/>
      <c r="O6654" s="15"/>
      <c r="P6654" s="15"/>
      <c r="Q6654" s="39"/>
      <c r="R6654" s="41"/>
      <c r="S6654" s="36"/>
      <c r="T6654" s="36"/>
      <c r="U6654" s="36"/>
      <c r="V6654" s="37"/>
    </row>
    <row r="6655" spans="13:22" x14ac:dyDescent="0.2">
      <c r="M6655" s="40"/>
      <c r="N6655" s="15"/>
      <c r="O6655" s="15"/>
      <c r="P6655" s="15"/>
      <c r="Q6655" s="39"/>
      <c r="R6655" s="41"/>
      <c r="S6655" s="36"/>
      <c r="T6655" s="36"/>
      <c r="U6655" s="36"/>
      <c r="V6655" s="37"/>
    </row>
    <row r="6656" spans="13:22" ht="13.5" thickBot="1" x14ac:dyDescent="0.25">
      <c r="M6656" s="42"/>
      <c r="N6656" s="43"/>
      <c r="O6656" s="43"/>
      <c r="P6656" s="43"/>
      <c r="Q6656" s="44"/>
      <c r="R6656" s="41"/>
      <c r="S6656" s="46"/>
      <c r="T6656" s="46"/>
      <c r="U6656" s="46"/>
      <c r="V6656" s="47"/>
    </row>
    <row r="6657" spans="13:22" ht="13.5" thickBot="1" x14ac:dyDescent="0.25">
      <c r="M6657" s="48"/>
      <c r="N6657" s="49"/>
      <c r="O6657" s="49"/>
      <c r="P6657" s="49"/>
      <c r="Q6657" s="50"/>
      <c r="R6657" s="45"/>
      <c r="S6657" s="52"/>
      <c r="T6657" s="52"/>
      <c r="U6657" s="52"/>
      <c r="V6657" s="53"/>
    </row>
    <row r="6658" spans="13:22" x14ac:dyDescent="0.2">
      <c r="M6658" s="54"/>
      <c r="N6658" s="29"/>
      <c r="O6658" s="29"/>
      <c r="P6658" s="29"/>
      <c r="Q6658" s="34"/>
      <c r="R6658" s="51"/>
      <c r="S6658" s="36"/>
      <c r="T6658" s="36"/>
      <c r="U6658" s="36"/>
      <c r="V6658" s="37"/>
    </row>
    <row r="6659" spans="13:22" x14ac:dyDescent="0.2">
      <c r="M6659" s="33"/>
      <c r="N6659" s="29"/>
      <c r="O6659" s="29"/>
      <c r="P6659" s="29"/>
      <c r="Q6659" s="34"/>
      <c r="R6659" s="41"/>
      <c r="S6659" s="36"/>
      <c r="T6659" s="36"/>
      <c r="U6659" s="36"/>
      <c r="V6659" s="37"/>
    </row>
    <row r="6660" spans="13:22" x14ac:dyDescent="0.2">
      <c r="M6660" s="33"/>
      <c r="N6660" s="29"/>
      <c r="O6660" s="29"/>
      <c r="P6660" s="29"/>
      <c r="Q6660" s="34"/>
      <c r="R6660" s="35"/>
      <c r="S6660" s="36"/>
      <c r="T6660" s="36"/>
      <c r="U6660" s="36"/>
      <c r="V6660" s="37"/>
    </row>
    <row r="6661" spans="13:22" x14ac:dyDescent="0.2">
      <c r="M6661" s="33"/>
      <c r="N6661" s="29"/>
      <c r="O6661" s="29"/>
      <c r="P6661" s="29"/>
      <c r="Q6661" s="34"/>
      <c r="R6661" s="35"/>
      <c r="S6661" s="36"/>
      <c r="T6661" s="36"/>
      <c r="U6661" s="36"/>
      <c r="V6661" s="37"/>
    </row>
    <row r="6662" spans="13:22" x14ac:dyDescent="0.2">
      <c r="M6662" s="33"/>
      <c r="N6662" s="29"/>
      <c r="O6662" s="29"/>
      <c r="P6662" s="29"/>
      <c r="Q6662" s="34"/>
      <c r="R6662" s="35"/>
      <c r="S6662" s="36"/>
      <c r="T6662" s="36"/>
      <c r="U6662" s="36"/>
      <c r="V6662" s="37"/>
    </row>
    <row r="6663" spans="13:22" x14ac:dyDescent="0.2">
      <c r="M6663" s="33"/>
      <c r="N6663" s="29"/>
      <c r="O6663" s="29"/>
      <c r="P6663" s="29"/>
      <c r="Q6663" s="34"/>
      <c r="R6663" s="35"/>
      <c r="S6663" s="36"/>
      <c r="T6663" s="36"/>
      <c r="U6663" s="36"/>
      <c r="V6663" s="37"/>
    </row>
    <row r="6664" spans="13:22" x14ac:dyDescent="0.2">
      <c r="M6664" s="33"/>
      <c r="N6664" s="29"/>
      <c r="O6664" s="29"/>
      <c r="P6664" s="29"/>
      <c r="Q6664" s="38"/>
      <c r="R6664" s="35"/>
      <c r="S6664" s="36"/>
      <c r="T6664" s="36"/>
      <c r="U6664" s="36"/>
      <c r="V6664" s="37"/>
    </row>
    <row r="6665" spans="13:22" x14ac:dyDescent="0.2">
      <c r="M6665" s="33"/>
      <c r="N6665" s="29"/>
      <c r="O6665" s="29"/>
      <c r="P6665" s="29"/>
      <c r="Q6665" s="34"/>
      <c r="R6665" s="35"/>
      <c r="S6665" s="36"/>
      <c r="T6665" s="36"/>
      <c r="U6665" s="36"/>
      <c r="V6665" s="37"/>
    </row>
    <row r="6666" spans="13:22" x14ac:dyDescent="0.2">
      <c r="M6666" s="33"/>
      <c r="N6666" s="29"/>
      <c r="O6666" s="29"/>
      <c r="P6666" s="29"/>
      <c r="Q6666" s="34"/>
      <c r="R6666" s="35"/>
      <c r="S6666" s="36"/>
      <c r="T6666" s="36"/>
      <c r="U6666" s="36"/>
      <c r="V6666" s="37"/>
    </row>
    <row r="6667" spans="13:22" x14ac:dyDescent="0.2">
      <c r="M6667" s="33"/>
      <c r="N6667" s="29"/>
      <c r="O6667" s="29"/>
      <c r="P6667" s="29"/>
      <c r="Q6667" s="34"/>
      <c r="R6667" s="35"/>
      <c r="S6667" s="36"/>
      <c r="T6667" s="36"/>
      <c r="U6667" s="36"/>
      <c r="V6667" s="37"/>
    </row>
    <row r="6668" spans="13:22" x14ac:dyDescent="0.2">
      <c r="M6668" s="33"/>
      <c r="N6668" s="29"/>
      <c r="O6668" s="29"/>
      <c r="P6668" s="29"/>
      <c r="Q6668" s="34"/>
      <c r="R6668" s="35"/>
      <c r="S6668" s="36"/>
      <c r="T6668" s="36"/>
      <c r="U6668" s="36"/>
      <c r="V6668" s="37"/>
    </row>
    <row r="6669" spans="13:22" x14ac:dyDescent="0.2">
      <c r="M6669" s="26"/>
      <c r="N6669" s="15"/>
      <c r="O6669" s="15"/>
      <c r="P6669" s="15"/>
      <c r="Q6669" s="39"/>
      <c r="R6669" s="35"/>
      <c r="S6669" s="36"/>
      <c r="T6669" s="36"/>
      <c r="U6669" s="36"/>
      <c r="V6669" s="37"/>
    </row>
    <row r="6670" spans="13:22" x14ac:dyDescent="0.2">
      <c r="M6670" s="26"/>
      <c r="N6670" s="15"/>
      <c r="O6670" s="15"/>
      <c r="P6670" s="15"/>
      <c r="Q6670" s="39"/>
      <c r="R6670" s="35"/>
      <c r="S6670" s="36"/>
      <c r="T6670" s="36"/>
      <c r="U6670" s="36"/>
      <c r="V6670" s="37"/>
    </row>
    <row r="6671" spans="13:22" x14ac:dyDescent="0.2">
      <c r="M6671" s="40"/>
      <c r="N6671" s="15"/>
      <c r="O6671" s="15"/>
      <c r="P6671" s="15"/>
      <c r="Q6671" s="39"/>
      <c r="R6671" s="35"/>
      <c r="S6671" s="36"/>
      <c r="T6671" s="36"/>
      <c r="U6671" s="36"/>
      <c r="V6671" s="37"/>
    </row>
    <row r="6672" spans="13:22" x14ac:dyDescent="0.2">
      <c r="M6672" s="40"/>
      <c r="N6672" s="15"/>
      <c r="O6672" s="15"/>
      <c r="P6672" s="15"/>
      <c r="Q6672" s="39"/>
      <c r="R6672" s="41"/>
      <c r="S6672" s="36"/>
      <c r="T6672" s="36"/>
      <c r="U6672" s="36"/>
      <c r="V6672" s="37"/>
    </row>
    <row r="6673" spans="13:22" x14ac:dyDescent="0.2">
      <c r="M6673" s="40"/>
      <c r="N6673" s="15"/>
      <c r="O6673" s="15"/>
      <c r="P6673" s="15"/>
      <c r="Q6673" s="39"/>
      <c r="R6673" s="41"/>
      <c r="S6673" s="36"/>
      <c r="T6673" s="36"/>
      <c r="U6673" s="36"/>
      <c r="V6673" s="37"/>
    </row>
    <row r="6674" spans="13:22" x14ac:dyDescent="0.2">
      <c r="M6674" s="40"/>
      <c r="N6674" s="15"/>
      <c r="O6674" s="15"/>
      <c r="P6674" s="15"/>
      <c r="Q6674" s="39"/>
      <c r="R6674" s="41"/>
      <c r="S6674" s="36"/>
      <c r="T6674" s="36"/>
      <c r="U6674" s="36"/>
      <c r="V6674" s="37"/>
    </row>
    <row r="6675" spans="13:22" x14ac:dyDescent="0.2">
      <c r="M6675" s="40"/>
      <c r="N6675" s="15"/>
      <c r="O6675" s="15"/>
      <c r="P6675" s="15"/>
      <c r="Q6675" s="39"/>
      <c r="R6675" s="41"/>
      <c r="S6675" s="36"/>
      <c r="T6675" s="36"/>
      <c r="U6675" s="36"/>
      <c r="V6675" s="37"/>
    </row>
    <row r="6676" spans="13:22" x14ac:dyDescent="0.2">
      <c r="M6676" s="40"/>
      <c r="N6676" s="15"/>
      <c r="O6676" s="15"/>
      <c r="P6676" s="15"/>
      <c r="Q6676" s="39"/>
      <c r="R6676" s="41"/>
      <c r="S6676" s="36"/>
      <c r="T6676" s="36"/>
      <c r="U6676" s="36"/>
      <c r="V6676" s="37"/>
    </row>
    <row r="6677" spans="13:22" x14ac:dyDescent="0.2">
      <c r="M6677" s="40"/>
      <c r="N6677" s="15"/>
      <c r="O6677" s="15"/>
      <c r="P6677" s="15"/>
      <c r="Q6677" s="39"/>
      <c r="R6677" s="41"/>
      <c r="S6677" s="36"/>
      <c r="T6677" s="36"/>
      <c r="U6677" s="36"/>
      <c r="V6677" s="37"/>
    </row>
    <row r="6678" spans="13:22" x14ac:dyDescent="0.2">
      <c r="M6678" s="40"/>
      <c r="N6678" s="15"/>
      <c r="O6678" s="15"/>
      <c r="P6678" s="15"/>
      <c r="Q6678" s="39"/>
      <c r="R6678" s="41"/>
      <c r="S6678" s="36"/>
      <c r="T6678" s="36"/>
      <c r="U6678" s="36"/>
      <c r="V6678" s="37"/>
    </row>
    <row r="6679" spans="13:22" x14ac:dyDescent="0.2">
      <c r="M6679" s="40"/>
      <c r="N6679" s="15"/>
      <c r="O6679" s="15"/>
      <c r="P6679" s="15"/>
      <c r="Q6679" s="39"/>
      <c r="R6679" s="41"/>
      <c r="S6679" s="36"/>
      <c r="T6679" s="36"/>
      <c r="U6679" s="36"/>
      <c r="V6679" s="37"/>
    </row>
    <row r="6680" spans="13:22" x14ac:dyDescent="0.2">
      <c r="M6680" s="40"/>
      <c r="N6680" s="15"/>
      <c r="O6680" s="15"/>
      <c r="P6680" s="15"/>
      <c r="Q6680" s="39"/>
      <c r="R6680" s="41"/>
      <c r="S6680" s="36"/>
      <c r="T6680" s="36"/>
      <c r="U6680" s="36"/>
      <c r="V6680" s="37"/>
    </row>
    <row r="6681" spans="13:22" ht="13.5" thickBot="1" x14ac:dyDescent="0.25">
      <c r="M6681" s="42"/>
      <c r="N6681" s="43"/>
      <c r="O6681" s="43"/>
      <c r="P6681" s="43"/>
      <c r="Q6681" s="44"/>
      <c r="R6681" s="41"/>
      <c r="S6681" s="46"/>
      <c r="T6681" s="46"/>
      <c r="U6681" s="46"/>
      <c r="V6681" s="47"/>
    </row>
    <row r="6682" spans="13:22" ht="13.5" thickBot="1" x14ac:dyDescent="0.25">
      <c r="M6682" s="48"/>
      <c r="N6682" s="49"/>
      <c r="O6682" s="49"/>
      <c r="P6682" s="49"/>
      <c r="Q6682" s="50"/>
      <c r="R6682" s="45"/>
      <c r="S6682" s="52"/>
      <c r="T6682" s="52"/>
      <c r="U6682" s="52"/>
      <c r="V6682" s="53"/>
    </row>
    <row r="6683" spans="13:22" x14ac:dyDescent="0.2">
      <c r="M6683" s="54"/>
      <c r="N6683" s="29"/>
      <c r="O6683" s="29"/>
      <c r="P6683" s="29"/>
      <c r="Q6683" s="34"/>
      <c r="R6683" s="51"/>
      <c r="S6683" s="36"/>
      <c r="T6683" s="36"/>
      <c r="U6683" s="36"/>
      <c r="V6683" s="37"/>
    </row>
    <row r="6684" spans="13:22" x14ac:dyDescent="0.2">
      <c r="M6684" s="33"/>
      <c r="N6684" s="29"/>
      <c r="O6684" s="29"/>
      <c r="P6684" s="29"/>
      <c r="Q6684" s="34"/>
      <c r="R6684" s="41"/>
      <c r="S6684" s="36"/>
      <c r="T6684" s="36"/>
      <c r="U6684" s="36"/>
      <c r="V6684" s="37"/>
    </row>
    <row r="6685" spans="13:22" x14ac:dyDescent="0.2">
      <c r="M6685" s="33"/>
      <c r="N6685" s="29"/>
      <c r="O6685" s="29"/>
      <c r="P6685" s="29"/>
      <c r="Q6685" s="34"/>
      <c r="R6685" s="35"/>
      <c r="S6685" s="36"/>
      <c r="T6685" s="36"/>
      <c r="U6685" s="36"/>
      <c r="V6685" s="37"/>
    </row>
    <row r="6686" spans="13:22" x14ac:dyDescent="0.2">
      <c r="M6686" s="33"/>
      <c r="N6686" s="29"/>
      <c r="O6686" s="29"/>
      <c r="P6686" s="29"/>
      <c r="Q6686" s="34"/>
      <c r="R6686" s="35"/>
      <c r="S6686" s="36"/>
      <c r="T6686" s="36"/>
      <c r="U6686" s="36"/>
      <c r="V6686" s="37"/>
    </row>
    <row r="6687" spans="13:22" x14ac:dyDescent="0.2">
      <c r="M6687" s="33"/>
      <c r="N6687" s="29"/>
      <c r="O6687" s="29"/>
      <c r="P6687" s="29"/>
      <c r="Q6687" s="34"/>
      <c r="R6687" s="35"/>
      <c r="S6687" s="36"/>
      <c r="T6687" s="36"/>
      <c r="U6687" s="36"/>
      <c r="V6687" s="37"/>
    </row>
    <row r="6688" spans="13:22" x14ac:dyDescent="0.2">
      <c r="M6688" s="33"/>
      <c r="N6688" s="29"/>
      <c r="O6688" s="29"/>
      <c r="P6688" s="29"/>
      <c r="Q6688" s="34"/>
      <c r="R6688" s="35"/>
      <c r="S6688" s="36"/>
      <c r="T6688" s="36"/>
      <c r="U6688" s="36"/>
      <c r="V6688" s="37"/>
    </row>
    <row r="6689" spans="13:22" x14ac:dyDescent="0.2">
      <c r="M6689" s="33"/>
      <c r="N6689" s="29"/>
      <c r="O6689" s="29"/>
      <c r="P6689" s="29"/>
      <c r="Q6689" s="38"/>
      <c r="R6689" s="35"/>
      <c r="S6689" s="36"/>
      <c r="T6689" s="36"/>
      <c r="U6689" s="36"/>
      <c r="V6689" s="37"/>
    </row>
    <row r="6690" spans="13:22" x14ac:dyDescent="0.2">
      <c r="M6690" s="33"/>
      <c r="N6690" s="29"/>
      <c r="O6690" s="29"/>
      <c r="P6690" s="29"/>
      <c r="Q6690" s="34"/>
      <c r="R6690" s="35"/>
      <c r="S6690" s="36"/>
      <c r="T6690" s="36"/>
      <c r="U6690" s="36"/>
      <c r="V6690" s="37"/>
    </row>
    <row r="6691" spans="13:22" x14ac:dyDescent="0.2">
      <c r="M6691" s="33"/>
      <c r="N6691" s="29"/>
      <c r="O6691" s="29"/>
      <c r="P6691" s="29"/>
      <c r="Q6691" s="34"/>
      <c r="R6691" s="35"/>
      <c r="S6691" s="36"/>
      <c r="T6691" s="36"/>
      <c r="U6691" s="36"/>
      <c r="V6691" s="37"/>
    </row>
    <row r="6692" spans="13:22" x14ac:dyDescent="0.2">
      <c r="M6692" s="33"/>
      <c r="N6692" s="29"/>
      <c r="O6692" s="29"/>
      <c r="P6692" s="29"/>
      <c r="Q6692" s="34"/>
      <c r="R6692" s="35"/>
      <c r="S6692" s="36"/>
      <c r="T6692" s="36"/>
      <c r="U6692" s="36"/>
      <c r="V6692" s="37"/>
    </row>
    <row r="6693" spans="13:22" x14ac:dyDescent="0.2">
      <c r="M6693" s="33"/>
      <c r="N6693" s="29"/>
      <c r="O6693" s="29"/>
      <c r="P6693" s="29"/>
      <c r="Q6693" s="34"/>
      <c r="R6693" s="35"/>
      <c r="S6693" s="36"/>
      <c r="T6693" s="36"/>
      <c r="U6693" s="36"/>
      <c r="V6693" s="37"/>
    </row>
    <row r="6694" spans="13:22" x14ac:dyDescent="0.2">
      <c r="M6694" s="26"/>
      <c r="N6694" s="15"/>
      <c r="O6694" s="15"/>
      <c r="P6694" s="15"/>
      <c r="Q6694" s="39"/>
      <c r="R6694" s="35"/>
      <c r="S6694" s="36"/>
      <c r="T6694" s="36"/>
      <c r="U6694" s="36"/>
      <c r="V6694" s="37"/>
    </row>
    <row r="6695" spans="13:22" x14ac:dyDescent="0.2">
      <c r="M6695" s="26"/>
      <c r="N6695" s="15"/>
      <c r="O6695" s="15"/>
      <c r="P6695" s="15"/>
      <c r="Q6695" s="39"/>
      <c r="R6695" s="35"/>
      <c r="S6695" s="36"/>
      <c r="T6695" s="36"/>
      <c r="U6695" s="36"/>
      <c r="V6695" s="37"/>
    </row>
    <row r="6696" spans="13:22" x14ac:dyDescent="0.2">
      <c r="M6696" s="40"/>
      <c r="N6696" s="15"/>
      <c r="O6696" s="15"/>
      <c r="P6696" s="15"/>
      <c r="Q6696" s="39"/>
      <c r="R6696" s="35"/>
      <c r="S6696" s="36"/>
      <c r="T6696" s="36"/>
      <c r="U6696" s="36"/>
      <c r="V6696" s="37"/>
    </row>
    <row r="6697" spans="13:22" x14ac:dyDescent="0.2">
      <c r="M6697" s="40"/>
      <c r="N6697" s="15"/>
      <c r="O6697" s="15"/>
      <c r="P6697" s="15"/>
      <c r="Q6697" s="39"/>
      <c r="R6697" s="41"/>
      <c r="S6697" s="36"/>
      <c r="T6697" s="36"/>
      <c r="U6697" s="36"/>
      <c r="V6697" s="37"/>
    </row>
    <row r="6698" spans="13:22" x14ac:dyDescent="0.2">
      <c r="M6698" s="40"/>
      <c r="N6698" s="15"/>
      <c r="O6698" s="15"/>
      <c r="P6698" s="15"/>
      <c r="Q6698" s="39"/>
      <c r="R6698" s="41"/>
      <c r="S6698" s="36"/>
      <c r="T6698" s="36"/>
      <c r="U6698" s="36"/>
      <c r="V6698" s="37"/>
    </row>
    <row r="6699" spans="13:22" x14ac:dyDescent="0.2">
      <c r="M6699" s="40"/>
      <c r="N6699" s="15"/>
      <c r="O6699" s="15"/>
      <c r="P6699" s="15"/>
      <c r="Q6699" s="39"/>
      <c r="R6699" s="41"/>
      <c r="S6699" s="36"/>
      <c r="T6699" s="36"/>
      <c r="U6699" s="36"/>
      <c r="V6699" s="37"/>
    </row>
    <row r="6700" spans="13:22" x14ac:dyDescent="0.2">
      <c r="M6700" s="40"/>
      <c r="N6700" s="15"/>
      <c r="O6700" s="15"/>
      <c r="P6700" s="15"/>
      <c r="Q6700" s="39"/>
      <c r="R6700" s="41"/>
      <c r="S6700" s="36"/>
      <c r="T6700" s="36"/>
      <c r="U6700" s="36"/>
      <c r="V6700" s="37"/>
    </row>
    <row r="6701" spans="13:22" x14ac:dyDescent="0.2">
      <c r="M6701" s="40"/>
      <c r="N6701" s="15"/>
      <c r="O6701" s="15"/>
      <c r="P6701" s="15"/>
      <c r="Q6701" s="39"/>
      <c r="R6701" s="41"/>
      <c r="S6701" s="36"/>
      <c r="T6701" s="36"/>
      <c r="U6701" s="36"/>
      <c r="V6701" s="37"/>
    </row>
    <row r="6702" spans="13:22" x14ac:dyDescent="0.2">
      <c r="M6702" s="40"/>
      <c r="N6702" s="15"/>
      <c r="O6702" s="15"/>
      <c r="P6702" s="15"/>
      <c r="Q6702" s="39"/>
      <c r="R6702" s="41"/>
      <c r="S6702" s="36"/>
      <c r="T6702" s="36"/>
      <c r="U6702" s="36"/>
      <c r="V6702" s="37"/>
    </row>
    <row r="6703" spans="13:22" x14ac:dyDescent="0.2">
      <c r="M6703" s="40"/>
      <c r="N6703" s="15"/>
      <c r="O6703" s="15"/>
      <c r="P6703" s="15"/>
      <c r="Q6703" s="39"/>
      <c r="R6703" s="41"/>
      <c r="S6703" s="36"/>
      <c r="T6703" s="36"/>
      <c r="U6703" s="36"/>
      <c r="V6703" s="37"/>
    </row>
    <row r="6704" spans="13:22" x14ac:dyDescent="0.2">
      <c r="M6704" s="40"/>
      <c r="N6704" s="15"/>
      <c r="O6704" s="15"/>
      <c r="P6704" s="15"/>
      <c r="Q6704" s="39"/>
      <c r="R6704" s="41"/>
      <c r="S6704" s="36"/>
      <c r="T6704" s="36"/>
      <c r="U6704" s="36"/>
      <c r="V6704" s="37"/>
    </row>
    <row r="6705" spans="13:22" x14ac:dyDescent="0.2">
      <c r="M6705" s="40"/>
      <c r="N6705" s="15"/>
      <c r="O6705" s="15"/>
      <c r="P6705" s="15"/>
      <c r="Q6705" s="39"/>
      <c r="R6705" s="41"/>
      <c r="S6705" s="36"/>
      <c r="T6705" s="36"/>
      <c r="U6705" s="36"/>
      <c r="V6705" s="37"/>
    </row>
    <row r="6706" spans="13:22" ht="13.5" thickBot="1" x14ac:dyDescent="0.25">
      <c r="M6706" s="42"/>
      <c r="N6706" s="43"/>
      <c r="O6706" s="43"/>
      <c r="P6706" s="43"/>
      <c r="Q6706" s="44"/>
      <c r="R6706" s="41"/>
      <c r="S6706" s="46"/>
      <c r="T6706" s="46"/>
      <c r="U6706" s="46"/>
      <c r="V6706" s="47"/>
    </row>
    <row r="6707" spans="13:22" ht="13.5" thickBot="1" x14ac:dyDescent="0.25">
      <c r="M6707" s="48"/>
      <c r="N6707" s="49"/>
      <c r="O6707" s="49"/>
      <c r="P6707" s="49"/>
      <c r="Q6707" s="50"/>
      <c r="R6707" s="45"/>
      <c r="S6707" s="52"/>
      <c r="T6707" s="52"/>
      <c r="U6707" s="52"/>
      <c r="V6707" s="53"/>
    </row>
    <row r="6708" spans="13:22" x14ac:dyDescent="0.2">
      <c r="M6708" s="54"/>
      <c r="N6708" s="29"/>
      <c r="O6708" s="29"/>
      <c r="P6708" s="29"/>
      <c r="Q6708" s="34"/>
      <c r="R6708" s="51"/>
      <c r="S6708" s="36"/>
      <c r="T6708" s="36"/>
      <c r="U6708" s="36"/>
      <c r="V6708" s="37"/>
    </row>
    <row r="6709" spans="13:22" x14ac:dyDescent="0.2">
      <c r="M6709" s="33"/>
      <c r="N6709" s="29"/>
      <c r="O6709" s="29"/>
      <c r="P6709" s="29"/>
      <c r="Q6709" s="34"/>
      <c r="R6709" s="41"/>
      <c r="S6709" s="36"/>
      <c r="T6709" s="36"/>
      <c r="U6709" s="36"/>
      <c r="V6709" s="37"/>
    </row>
    <row r="6710" spans="13:22" x14ac:dyDescent="0.2">
      <c r="M6710" s="33"/>
      <c r="N6710" s="29"/>
      <c r="O6710" s="29"/>
      <c r="P6710" s="29"/>
      <c r="Q6710" s="34"/>
      <c r="R6710" s="35"/>
      <c r="S6710" s="36"/>
      <c r="T6710" s="36"/>
      <c r="U6710" s="36"/>
      <c r="V6710" s="37"/>
    </row>
    <row r="6711" spans="13:22" x14ac:dyDescent="0.2">
      <c r="M6711" s="33"/>
      <c r="N6711" s="29"/>
      <c r="O6711" s="29"/>
      <c r="P6711" s="29"/>
      <c r="Q6711" s="34"/>
      <c r="R6711" s="35"/>
      <c r="S6711" s="36"/>
      <c r="T6711" s="36"/>
      <c r="U6711" s="36"/>
      <c r="V6711" s="37"/>
    </row>
    <row r="6712" spans="13:22" x14ac:dyDescent="0.2">
      <c r="M6712" s="33"/>
      <c r="N6712" s="29"/>
      <c r="O6712" s="29"/>
      <c r="P6712" s="29"/>
      <c r="Q6712" s="34"/>
      <c r="R6712" s="35"/>
      <c r="S6712" s="36"/>
      <c r="T6712" s="36"/>
      <c r="U6712" s="36"/>
      <c r="V6712" s="37"/>
    </row>
    <row r="6713" spans="13:22" x14ac:dyDescent="0.2">
      <c r="M6713" s="33"/>
      <c r="N6713" s="29"/>
      <c r="O6713" s="29"/>
      <c r="P6713" s="29"/>
      <c r="Q6713" s="34"/>
      <c r="R6713" s="35"/>
      <c r="S6713" s="36"/>
      <c r="T6713" s="36"/>
      <c r="U6713" s="36"/>
      <c r="V6713" s="37"/>
    </row>
    <row r="6714" spans="13:22" x14ac:dyDescent="0.2">
      <c r="M6714" s="33"/>
      <c r="N6714" s="29"/>
      <c r="O6714" s="29"/>
      <c r="P6714" s="29"/>
      <c r="Q6714" s="38"/>
      <c r="R6714" s="35"/>
      <c r="S6714" s="36"/>
      <c r="T6714" s="36"/>
      <c r="U6714" s="36"/>
      <c r="V6714" s="37"/>
    </row>
    <row r="6715" spans="13:22" x14ac:dyDescent="0.2">
      <c r="M6715" s="33"/>
      <c r="N6715" s="29"/>
      <c r="O6715" s="29"/>
      <c r="P6715" s="29"/>
      <c r="Q6715" s="34"/>
      <c r="R6715" s="35"/>
      <c r="S6715" s="36"/>
      <c r="T6715" s="36"/>
      <c r="U6715" s="36"/>
      <c r="V6715" s="37"/>
    </row>
    <row r="6716" spans="13:22" x14ac:dyDescent="0.2">
      <c r="M6716" s="33"/>
      <c r="N6716" s="29"/>
      <c r="O6716" s="29"/>
      <c r="P6716" s="29"/>
      <c r="Q6716" s="34"/>
      <c r="R6716" s="35"/>
      <c r="S6716" s="36"/>
      <c r="T6716" s="36"/>
      <c r="U6716" s="36"/>
      <c r="V6716" s="37"/>
    </row>
    <row r="6717" spans="13:22" x14ac:dyDescent="0.2">
      <c r="M6717" s="33"/>
      <c r="N6717" s="29"/>
      <c r="O6717" s="29"/>
      <c r="P6717" s="29"/>
      <c r="Q6717" s="34"/>
      <c r="R6717" s="35"/>
      <c r="S6717" s="36"/>
      <c r="T6717" s="36"/>
      <c r="U6717" s="36"/>
      <c r="V6717" s="37"/>
    </row>
    <row r="6718" spans="13:22" x14ac:dyDescent="0.2">
      <c r="M6718" s="33"/>
      <c r="N6718" s="29"/>
      <c r="O6718" s="29"/>
      <c r="P6718" s="29"/>
      <c r="Q6718" s="34"/>
      <c r="R6718" s="35"/>
      <c r="S6718" s="36"/>
      <c r="T6718" s="36"/>
      <c r="U6718" s="36"/>
      <c r="V6718" s="37"/>
    </row>
    <row r="6719" spans="13:22" x14ac:dyDescent="0.2">
      <c r="M6719" s="26"/>
      <c r="N6719" s="15"/>
      <c r="O6719" s="15"/>
      <c r="P6719" s="15"/>
      <c r="Q6719" s="39"/>
      <c r="R6719" s="35"/>
      <c r="S6719" s="36"/>
      <c r="T6719" s="36"/>
      <c r="U6719" s="36"/>
      <c r="V6719" s="37"/>
    </row>
    <row r="6720" spans="13:22" x14ac:dyDescent="0.2">
      <c r="M6720" s="26"/>
      <c r="N6720" s="15"/>
      <c r="O6720" s="15"/>
      <c r="P6720" s="15"/>
      <c r="Q6720" s="39"/>
      <c r="R6720" s="35"/>
      <c r="S6720" s="36"/>
      <c r="T6720" s="36"/>
      <c r="U6720" s="36"/>
      <c r="V6720" s="37"/>
    </row>
    <row r="6721" spans="13:22" x14ac:dyDescent="0.2">
      <c r="M6721" s="40"/>
      <c r="N6721" s="15"/>
      <c r="O6721" s="15"/>
      <c r="P6721" s="15"/>
      <c r="Q6721" s="39"/>
      <c r="R6721" s="35"/>
      <c r="S6721" s="36"/>
      <c r="T6721" s="36"/>
      <c r="U6721" s="36"/>
      <c r="V6721" s="37"/>
    </row>
    <row r="6722" spans="13:22" x14ac:dyDescent="0.2">
      <c r="M6722" s="40"/>
      <c r="N6722" s="15"/>
      <c r="O6722" s="15"/>
      <c r="P6722" s="15"/>
      <c r="Q6722" s="39"/>
      <c r="R6722" s="41"/>
      <c r="S6722" s="36"/>
      <c r="T6722" s="36"/>
      <c r="U6722" s="36"/>
      <c r="V6722" s="37"/>
    </row>
    <row r="6723" spans="13:22" x14ac:dyDescent="0.2">
      <c r="M6723" s="40"/>
      <c r="N6723" s="15"/>
      <c r="O6723" s="15"/>
      <c r="P6723" s="15"/>
      <c r="Q6723" s="39"/>
      <c r="R6723" s="41"/>
      <c r="S6723" s="36"/>
      <c r="T6723" s="36"/>
      <c r="U6723" s="36"/>
      <c r="V6723" s="37"/>
    </row>
    <row r="6724" spans="13:22" x14ac:dyDescent="0.2">
      <c r="M6724" s="40"/>
      <c r="N6724" s="15"/>
      <c r="O6724" s="15"/>
      <c r="P6724" s="15"/>
      <c r="Q6724" s="39"/>
      <c r="R6724" s="41"/>
      <c r="S6724" s="36"/>
      <c r="T6724" s="36"/>
      <c r="U6724" s="36"/>
      <c r="V6724" s="37"/>
    </row>
    <row r="6725" spans="13:22" x14ac:dyDescent="0.2">
      <c r="M6725" s="40"/>
      <c r="N6725" s="15"/>
      <c r="O6725" s="15"/>
      <c r="P6725" s="15"/>
      <c r="Q6725" s="39"/>
      <c r="R6725" s="41"/>
      <c r="S6725" s="36"/>
      <c r="T6725" s="36"/>
      <c r="U6725" s="36"/>
      <c r="V6725" s="37"/>
    </row>
    <row r="6726" spans="13:22" x14ac:dyDescent="0.2">
      <c r="M6726" s="40"/>
      <c r="N6726" s="15"/>
      <c r="O6726" s="15"/>
      <c r="P6726" s="15"/>
      <c r="Q6726" s="39"/>
      <c r="R6726" s="41"/>
      <c r="S6726" s="36"/>
      <c r="T6726" s="36"/>
      <c r="U6726" s="36"/>
      <c r="V6726" s="37"/>
    </row>
    <row r="6727" spans="13:22" x14ac:dyDescent="0.2">
      <c r="M6727" s="40"/>
      <c r="N6727" s="15"/>
      <c r="O6727" s="15"/>
      <c r="P6727" s="15"/>
      <c r="Q6727" s="39"/>
      <c r="R6727" s="41"/>
      <c r="S6727" s="36"/>
      <c r="T6727" s="36"/>
      <c r="U6727" s="36"/>
      <c r="V6727" s="37"/>
    </row>
    <row r="6728" spans="13:22" x14ac:dyDescent="0.2">
      <c r="M6728" s="40"/>
      <c r="N6728" s="15"/>
      <c r="O6728" s="15"/>
      <c r="P6728" s="15"/>
      <c r="Q6728" s="39"/>
      <c r="R6728" s="41"/>
      <c r="S6728" s="36"/>
      <c r="T6728" s="36"/>
      <c r="U6728" s="36"/>
      <c r="V6728" s="37"/>
    </row>
    <row r="6729" spans="13:22" x14ac:dyDescent="0.2">
      <c r="M6729" s="40"/>
      <c r="N6729" s="15"/>
      <c r="O6729" s="15"/>
      <c r="P6729" s="15"/>
      <c r="Q6729" s="39"/>
      <c r="R6729" s="41"/>
      <c r="S6729" s="36"/>
      <c r="T6729" s="36"/>
      <c r="U6729" s="36"/>
      <c r="V6729" s="37"/>
    </row>
    <row r="6730" spans="13:22" x14ac:dyDescent="0.2">
      <c r="M6730" s="40"/>
      <c r="N6730" s="15"/>
      <c r="O6730" s="15"/>
      <c r="P6730" s="15"/>
      <c r="Q6730" s="39"/>
      <c r="R6730" s="41"/>
      <c r="S6730" s="36"/>
      <c r="T6730" s="36"/>
      <c r="U6730" s="36"/>
      <c r="V6730" s="37"/>
    </row>
    <row r="6731" spans="13:22" ht="13.5" thickBot="1" x14ac:dyDescent="0.25">
      <c r="M6731" s="42"/>
      <c r="N6731" s="43"/>
      <c r="O6731" s="43"/>
      <c r="P6731" s="43"/>
      <c r="Q6731" s="44"/>
      <c r="R6731" s="41"/>
      <c r="S6731" s="46"/>
      <c r="T6731" s="46"/>
      <c r="U6731" s="46"/>
      <c r="V6731" s="47"/>
    </row>
    <row r="6732" spans="13:22" ht="13.5" thickBot="1" x14ac:dyDescent="0.25">
      <c r="M6732" s="48"/>
      <c r="N6732" s="49"/>
      <c r="O6732" s="49"/>
      <c r="P6732" s="49"/>
      <c r="Q6732" s="50"/>
      <c r="R6732" s="45"/>
      <c r="S6732" s="52"/>
      <c r="T6732" s="52"/>
      <c r="U6732" s="52"/>
      <c r="V6732" s="53"/>
    </row>
    <row r="6733" spans="13:22" x14ac:dyDescent="0.2">
      <c r="M6733" s="54"/>
      <c r="N6733" s="29"/>
      <c r="O6733" s="29"/>
      <c r="P6733" s="29"/>
      <c r="Q6733" s="34"/>
      <c r="R6733" s="51"/>
      <c r="S6733" s="36"/>
      <c r="T6733" s="36"/>
      <c r="U6733" s="36"/>
      <c r="V6733" s="37"/>
    </row>
    <row r="6734" spans="13:22" x14ac:dyDescent="0.2">
      <c r="M6734" s="33"/>
      <c r="N6734" s="29"/>
      <c r="O6734" s="29"/>
      <c r="P6734" s="29"/>
      <c r="Q6734" s="34"/>
      <c r="R6734" s="41"/>
      <c r="S6734" s="36"/>
      <c r="T6734" s="36"/>
      <c r="U6734" s="36"/>
      <c r="V6734" s="37"/>
    </row>
    <row r="6735" spans="13:22" x14ac:dyDescent="0.2">
      <c r="M6735" s="33"/>
      <c r="N6735" s="29"/>
      <c r="O6735" s="29"/>
      <c r="P6735" s="29"/>
      <c r="Q6735" s="34"/>
      <c r="R6735" s="35"/>
      <c r="S6735" s="36"/>
      <c r="T6735" s="36"/>
      <c r="U6735" s="36"/>
      <c r="V6735" s="37"/>
    </row>
    <row r="6736" spans="13:22" x14ac:dyDescent="0.2">
      <c r="M6736" s="33"/>
      <c r="N6736" s="29"/>
      <c r="O6736" s="29"/>
      <c r="P6736" s="29"/>
      <c r="Q6736" s="34"/>
      <c r="R6736" s="35"/>
      <c r="S6736" s="36"/>
      <c r="T6736" s="36"/>
      <c r="U6736" s="36"/>
      <c r="V6736" s="37"/>
    </row>
    <row r="6737" spans="13:22" x14ac:dyDescent="0.2">
      <c r="M6737" s="33"/>
      <c r="N6737" s="29"/>
      <c r="O6737" s="29"/>
      <c r="P6737" s="29"/>
      <c r="Q6737" s="34"/>
      <c r="R6737" s="35"/>
      <c r="S6737" s="36"/>
      <c r="T6737" s="36"/>
      <c r="U6737" s="36"/>
      <c r="V6737" s="37"/>
    </row>
    <row r="6738" spans="13:22" x14ac:dyDescent="0.2">
      <c r="M6738" s="33"/>
      <c r="N6738" s="29"/>
      <c r="O6738" s="29"/>
      <c r="P6738" s="29"/>
      <c r="Q6738" s="34"/>
      <c r="R6738" s="35"/>
      <c r="S6738" s="36"/>
      <c r="T6738" s="36"/>
      <c r="U6738" s="36"/>
      <c r="V6738" s="37"/>
    </row>
    <row r="6739" spans="13:22" x14ac:dyDescent="0.2">
      <c r="M6739" s="33"/>
      <c r="N6739" s="29"/>
      <c r="O6739" s="29"/>
      <c r="P6739" s="29"/>
      <c r="Q6739" s="38"/>
      <c r="R6739" s="35"/>
      <c r="S6739" s="36"/>
      <c r="T6739" s="36"/>
      <c r="U6739" s="36"/>
      <c r="V6739" s="37"/>
    </row>
    <row r="6740" spans="13:22" x14ac:dyDescent="0.2">
      <c r="M6740" s="33"/>
      <c r="N6740" s="29"/>
      <c r="O6740" s="29"/>
      <c r="P6740" s="29"/>
      <c r="Q6740" s="34"/>
      <c r="R6740" s="35"/>
      <c r="S6740" s="36"/>
      <c r="T6740" s="36"/>
      <c r="U6740" s="36"/>
      <c r="V6740" s="37"/>
    </row>
    <row r="6741" spans="13:22" x14ac:dyDescent="0.2">
      <c r="M6741" s="33"/>
      <c r="N6741" s="29"/>
      <c r="O6741" s="29"/>
      <c r="P6741" s="29"/>
      <c r="Q6741" s="34"/>
      <c r="R6741" s="35"/>
      <c r="S6741" s="36"/>
      <c r="T6741" s="36"/>
      <c r="U6741" s="36"/>
      <c r="V6741" s="37"/>
    </row>
    <row r="6742" spans="13:22" x14ac:dyDescent="0.2">
      <c r="M6742" s="33"/>
      <c r="N6742" s="29"/>
      <c r="O6742" s="29"/>
      <c r="P6742" s="29"/>
      <c r="Q6742" s="34"/>
      <c r="R6742" s="35"/>
      <c r="S6742" s="36"/>
      <c r="T6742" s="36"/>
      <c r="U6742" s="36"/>
      <c r="V6742" s="37"/>
    </row>
    <row r="6743" spans="13:22" x14ac:dyDescent="0.2">
      <c r="M6743" s="33"/>
      <c r="N6743" s="29"/>
      <c r="O6743" s="29"/>
      <c r="P6743" s="29"/>
      <c r="Q6743" s="34"/>
      <c r="R6743" s="35"/>
      <c r="S6743" s="36"/>
      <c r="T6743" s="36"/>
      <c r="U6743" s="36"/>
      <c r="V6743" s="37"/>
    </row>
    <row r="6744" spans="13:22" x14ac:dyDescent="0.2">
      <c r="M6744" s="26"/>
      <c r="N6744" s="15"/>
      <c r="O6744" s="15"/>
      <c r="P6744" s="15"/>
      <c r="Q6744" s="39"/>
      <c r="R6744" s="35"/>
      <c r="S6744" s="36"/>
      <c r="T6744" s="36"/>
      <c r="U6744" s="36"/>
      <c r="V6744" s="37"/>
    </row>
    <row r="6745" spans="13:22" x14ac:dyDescent="0.2">
      <c r="M6745" s="26"/>
      <c r="N6745" s="15"/>
      <c r="O6745" s="15"/>
      <c r="P6745" s="15"/>
      <c r="Q6745" s="39"/>
      <c r="R6745" s="35"/>
      <c r="S6745" s="36"/>
      <c r="T6745" s="36"/>
      <c r="U6745" s="36"/>
      <c r="V6745" s="37"/>
    </row>
    <row r="6746" spans="13:22" x14ac:dyDescent="0.2">
      <c r="M6746" s="40"/>
      <c r="N6746" s="15"/>
      <c r="O6746" s="15"/>
      <c r="P6746" s="15"/>
      <c r="Q6746" s="39"/>
      <c r="R6746" s="35"/>
      <c r="S6746" s="36"/>
      <c r="T6746" s="36"/>
      <c r="U6746" s="36"/>
      <c r="V6746" s="37"/>
    </row>
    <row r="6747" spans="13:22" x14ac:dyDescent="0.2">
      <c r="M6747" s="40"/>
      <c r="N6747" s="15"/>
      <c r="O6747" s="15"/>
      <c r="P6747" s="15"/>
      <c r="Q6747" s="39"/>
      <c r="R6747" s="41"/>
      <c r="S6747" s="36"/>
      <c r="T6747" s="36"/>
      <c r="U6747" s="36"/>
      <c r="V6747" s="37"/>
    </row>
    <row r="6748" spans="13:22" x14ac:dyDescent="0.2">
      <c r="M6748" s="40"/>
      <c r="N6748" s="15"/>
      <c r="O6748" s="15"/>
      <c r="P6748" s="15"/>
      <c r="Q6748" s="39"/>
      <c r="R6748" s="41"/>
      <c r="S6748" s="36"/>
      <c r="T6748" s="36"/>
      <c r="U6748" s="36"/>
      <c r="V6748" s="37"/>
    </row>
    <row r="6749" spans="13:22" x14ac:dyDescent="0.2">
      <c r="M6749" s="40"/>
      <c r="N6749" s="15"/>
      <c r="O6749" s="15"/>
      <c r="P6749" s="15"/>
      <c r="Q6749" s="39"/>
      <c r="R6749" s="41"/>
      <c r="S6749" s="36"/>
      <c r="T6749" s="36"/>
      <c r="U6749" s="36"/>
      <c r="V6749" s="37"/>
    </row>
    <row r="6750" spans="13:22" x14ac:dyDescent="0.2">
      <c r="M6750" s="40"/>
      <c r="N6750" s="15"/>
      <c r="O6750" s="15"/>
      <c r="P6750" s="15"/>
      <c r="Q6750" s="39"/>
      <c r="R6750" s="41"/>
      <c r="S6750" s="36"/>
      <c r="T6750" s="36"/>
      <c r="U6750" s="36"/>
      <c r="V6750" s="37"/>
    </row>
    <row r="6751" spans="13:22" x14ac:dyDescent="0.2">
      <c r="M6751" s="40"/>
      <c r="N6751" s="15"/>
      <c r="O6751" s="15"/>
      <c r="P6751" s="15"/>
      <c r="Q6751" s="39"/>
      <c r="R6751" s="41"/>
      <c r="S6751" s="36"/>
      <c r="T6751" s="36"/>
      <c r="U6751" s="36"/>
      <c r="V6751" s="37"/>
    </row>
    <row r="6752" spans="13:22" x14ac:dyDescent="0.2">
      <c r="M6752" s="40"/>
      <c r="N6752" s="15"/>
      <c r="O6752" s="15"/>
      <c r="P6752" s="15"/>
      <c r="Q6752" s="39"/>
      <c r="R6752" s="41"/>
      <c r="S6752" s="36"/>
      <c r="T6752" s="36"/>
      <c r="U6752" s="36"/>
      <c r="V6752" s="37"/>
    </row>
    <row r="6753" spans="13:22" x14ac:dyDescent="0.2">
      <c r="M6753" s="40"/>
      <c r="N6753" s="15"/>
      <c r="O6753" s="15"/>
      <c r="P6753" s="15"/>
      <c r="Q6753" s="39"/>
      <c r="R6753" s="41"/>
      <c r="S6753" s="36"/>
      <c r="T6753" s="36"/>
      <c r="U6753" s="36"/>
      <c r="V6753" s="37"/>
    </row>
    <row r="6754" spans="13:22" x14ac:dyDescent="0.2">
      <c r="M6754" s="40"/>
      <c r="N6754" s="15"/>
      <c r="O6754" s="15"/>
      <c r="P6754" s="15"/>
      <c r="Q6754" s="39"/>
      <c r="R6754" s="41"/>
      <c r="S6754" s="36"/>
      <c r="T6754" s="36"/>
      <c r="U6754" s="36"/>
      <c r="V6754" s="37"/>
    </row>
    <row r="6755" spans="13:22" x14ac:dyDescent="0.2">
      <c r="M6755" s="40"/>
      <c r="N6755" s="15"/>
      <c r="O6755" s="15"/>
      <c r="P6755" s="15"/>
      <c r="Q6755" s="39"/>
      <c r="R6755" s="41"/>
      <c r="S6755" s="36"/>
      <c r="T6755" s="36"/>
      <c r="U6755" s="36"/>
      <c r="V6755" s="37"/>
    </row>
    <row r="6756" spans="13:22" ht="13.5" thickBot="1" x14ac:dyDescent="0.25">
      <c r="M6756" s="42"/>
      <c r="N6756" s="43"/>
      <c r="O6756" s="43"/>
      <c r="P6756" s="43"/>
      <c r="Q6756" s="44"/>
      <c r="R6756" s="41"/>
      <c r="S6756" s="46"/>
      <c r="T6756" s="46"/>
      <c r="U6756" s="46"/>
      <c r="V6756" s="47"/>
    </row>
    <row r="6757" spans="13:22" ht="13.5" thickBot="1" x14ac:dyDescent="0.25">
      <c r="M6757" s="48"/>
      <c r="N6757" s="49"/>
      <c r="O6757" s="49"/>
      <c r="P6757" s="49"/>
      <c r="Q6757" s="50"/>
      <c r="R6757" s="45"/>
      <c r="S6757" s="52"/>
      <c r="T6757" s="52"/>
      <c r="U6757" s="52"/>
      <c r="V6757" s="53"/>
    </row>
    <row r="6758" spans="13:22" x14ac:dyDescent="0.2">
      <c r="M6758" s="54"/>
      <c r="N6758" s="29"/>
      <c r="O6758" s="29"/>
      <c r="P6758" s="29"/>
      <c r="Q6758" s="34"/>
      <c r="R6758" s="51"/>
      <c r="S6758" s="36"/>
      <c r="T6758" s="36"/>
      <c r="U6758" s="36"/>
      <c r="V6758" s="37"/>
    </row>
    <row r="6759" spans="13:22" x14ac:dyDescent="0.2">
      <c r="M6759" s="33"/>
      <c r="N6759" s="29"/>
      <c r="O6759" s="29"/>
      <c r="P6759" s="29"/>
      <c r="Q6759" s="34"/>
      <c r="R6759" s="41"/>
      <c r="S6759" s="36"/>
      <c r="T6759" s="36"/>
      <c r="U6759" s="36"/>
      <c r="V6759" s="37"/>
    </row>
    <row r="6760" spans="13:22" x14ac:dyDescent="0.2">
      <c r="M6760" s="33"/>
      <c r="N6760" s="29"/>
      <c r="O6760" s="29"/>
      <c r="P6760" s="29"/>
      <c r="Q6760" s="34"/>
      <c r="R6760" s="35"/>
      <c r="S6760" s="36"/>
      <c r="T6760" s="36"/>
      <c r="U6760" s="36"/>
      <c r="V6760" s="37"/>
    </row>
    <row r="6761" spans="13:22" x14ac:dyDescent="0.2">
      <c r="M6761" s="33"/>
      <c r="N6761" s="29"/>
      <c r="O6761" s="29"/>
      <c r="P6761" s="29"/>
      <c r="Q6761" s="34"/>
      <c r="R6761" s="35"/>
      <c r="S6761" s="36"/>
      <c r="T6761" s="36"/>
      <c r="U6761" s="36"/>
      <c r="V6761" s="37"/>
    </row>
    <row r="6762" spans="13:22" x14ac:dyDescent="0.2">
      <c r="M6762" s="33"/>
      <c r="N6762" s="29"/>
      <c r="O6762" s="29"/>
      <c r="P6762" s="29"/>
      <c r="Q6762" s="34"/>
      <c r="R6762" s="35"/>
      <c r="S6762" s="36"/>
      <c r="T6762" s="36"/>
      <c r="U6762" s="36"/>
      <c r="V6762" s="37"/>
    </row>
    <row r="6763" spans="13:22" x14ac:dyDescent="0.2">
      <c r="M6763" s="33"/>
      <c r="N6763" s="29"/>
      <c r="O6763" s="29"/>
      <c r="P6763" s="29"/>
      <c r="Q6763" s="34"/>
      <c r="R6763" s="35"/>
      <c r="S6763" s="36"/>
      <c r="T6763" s="36"/>
      <c r="U6763" s="36"/>
      <c r="V6763" s="37"/>
    </row>
    <row r="6764" spans="13:22" x14ac:dyDescent="0.2">
      <c r="M6764" s="33"/>
      <c r="N6764" s="29"/>
      <c r="O6764" s="29"/>
      <c r="P6764" s="29"/>
      <c r="Q6764" s="38"/>
      <c r="R6764" s="35"/>
      <c r="S6764" s="36"/>
      <c r="T6764" s="36"/>
      <c r="U6764" s="36"/>
      <c r="V6764" s="37"/>
    </row>
    <row r="6765" spans="13:22" x14ac:dyDescent="0.2">
      <c r="M6765" s="33"/>
      <c r="N6765" s="29"/>
      <c r="O6765" s="29"/>
      <c r="P6765" s="29"/>
      <c r="Q6765" s="34"/>
      <c r="R6765" s="35"/>
      <c r="S6765" s="36"/>
      <c r="T6765" s="36"/>
      <c r="U6765" s="36"/>
      <c r="V6765" s="37"/>
    </row>
    <row r="6766" spans="13:22" x14ac:dyDescent="0.2">
      <c r="M6766" s="33"/>
      <c r="N6766" s="29"/>
      <c r="O6766" s="29"/>
      <c r="P6766" s="29"/>
      <c r="Q6766" s="34"/>
      <c r="R6766" s="35"/>
      <c r="S6766" s="36"/>
      <c r="T6766" s="36"/>
      <c r="U6766" s="36"/>
      <c r="V6766" s="37"/>
    </row>
    <row r="6767" spans="13:22" x14ac:dyDescent="0.2">
      <c r="M6767" s="33"/>
      <c r="N6767" s="29"/>
      <c r="O6767" s="29"/>
      <c r="P6767" s="29"/>
      <c r="Q6767" s="34"/>
      <c r="R6767" s="35"/>
      <c r="S6767" s="36"/>
      <c r="T6767" s="36"/>
      <c r="U6767" s="36"/>
      <c r="V6767" s="37"/>
    </row>
    <row r="6768" spans="13:22" x14ac:dyDescent="0.2">
      <c r="M6768" s="33"/>
      <c r="N6768" s="29"/>
      <c r="O6768" s="29"/>
      <c r="P6768" s="29"/>
      <c r="Q6768" s="34"/>
      <c r="R6768" s="35"/>
      <c r="S6768" s="36"/>
      <c r="T6768" s="36"/>
      <c r="U6768" s="36"/>
      <c r="V6768" s="37"/>
    </row>
    <row r="6769" spans="13:22" x14ac:dyDescent="0.2">
      <c r="M6769" s="26"/>
      <c r="N6769" s="15"/>
      <c r="O6769" s="15"/>
      <c r="P6769" s="15"/>
      <c r="Q6769" s="39"/>
      <c r="R6769" s="35"/>
      <c r="S6769" s="36"/>
      <c r="T6769" s="36"/>
      <c r="U6769" s="36"/>
      <c r="V6769" s="37"/>
    </row>
    <row r="6770" spans="13:22" x14ac:dyDescent="0.2">
      <c r="M6770" s="26"/>
      <c r="N6770" s="15"/>
      <c r="O6770" s="15"/>
      <c r="P6770" s="15"/>
      <c r="Q6770" s="39"/>
      <c r="R6770" s="35"/>
      <c r="S6770" s="36"/>
      <c r="T6770" s="36"/>
      <c r="U6770" s="36"/>
      <c r="V6770" s="37"/>
    </row>
    <row r="6771" spans="13:22" x14ac:dyDescent="0.2">
      <c r="M6771" s="40"/>
      <c r="N6771" s="15"/>
      <c r="O6771" s="15"/>
      <c r="P6771" s="15"/>
      <c r="Q6771" s="39"/>
      <c r="R6771" s="35"/>
      <c r="S6771" s="36"/>
      <c r="T6771" s="36"/>
      <c r="U6771" s="36"/>
      <c r="V6771" s="37"/>
    </row>
    <row r="6772" spans="13:22" x14ac:dyDescent="0.2">
      <c r="M6772" s="40"/>
      <c r="N6772" s="15"/>
      <c r="O6772" s="15"/>
      <c r="P6772" s="15"/>
      <c r="Q6772" s="39"/>
      <c r="R6772" s="41"/>
      <c r="S6772" s="36"/>
      <c r="T6772" s="36"/>
      <c r="U6772" s="36"/>
      <c r="V6772" s="37"/>
    </row>
    <row r="6773" spans="13:22" x14ac:dyDescent="0.2">
      <c r="M6773" s="40"/>
      <c r="N6773" s="15"/>
      <c r="O6773" s="15"/>
      <c r="P6773" s="15"/>
      <c r="Q6773" s="39"/>
      <c r="R6773" s="41"/>
      <c r="S6773" s="36"/>
      <c r="T6773" s="36"/>
      <c r="U6773" s="36"/>
      <c r="V6773" s="37"/>
    </row>
    <row r="6774" spans="13:22" x14ac:dyDescent="0.2">
      <c r="M6774" s="40"/>
      <c r="N6774" s="15"/>
      <c r="O6774" s="15"/>
      <c r="P6774" s="15"/>
      <c r="Q6774" s="39"/>
      <c r="R6774" s="41"/>
      <c r="S6774" s="36"/>
      <c r="T6774" s="36"/>
      <c r="U6774" s="36"/>
      <c r="V6774" s="37"/>
    </row>
    <row r="6775" spans="13:22" x14ac:dyDescent="0.2">
      <c r="M6775" s="40"/>
      <c r="N6775" s="15"/>
      <c r="O6775" s="15"/>
      <c r="P6775" s="15"/>
      <c r="Q6775" s="39"/>
      <c r="R6775" s="41"/>
      <c r="S6775" s="36"/>
      <c r="T6775" s="36"/>
      <c r="U6775" s="36"/>
      <c r="V6775" s="37"/>
    </row>
    <row r="6776" spans="13:22" x14ac:dyDescent="0.2">
      <c r="M6776" s="40"/>
      <c r="N6776" s="15"/>
      <c r="O6776" s="15"/>
      <c r="P6776" s="15"/>
      <c r="Q6776" s="39"/>
      <c r="R6776" s="41"/>
      <c r="S6776" s="36"/>
      <c r="T6776" s="36"/>
      <c r="U6776" s="36"/>
      <c r="V6776" s="37"/>
    </row>
    <row r="6777" spans="13:22" x14ac:dyDescent="0.2">
      <c r="M6777" s="40"/>
      <c r="N6777" s="15"/>
      <c r="O6777" s="15"/>
      <c r="P6777" s="15"/>
      <c r="Q6777" s="39"/>
      <c r="R6777" s="41"/>
      <c r="S6777" s="36"/>
      <c r="T6777" s="36"/>
      <c r="U6777" s="36"/>
      <c r="V6777" s="37"/>
    </row>
    <row r="6778" spans="13:22" x14ac:dyDescent="0.2">
      <c r="M6778" s="40"/>
      <c r="N6778" s="15"/>
      <c r="O6778" s="15"/>
      <c r="P6778" s="15"/>
      <c r="Q6778" s="39"/>
      <c r="R6778" s="41"/>
      <c r="S6778" s="36"/>
      <c r="T6778" s="36"/>
      <c r="U6778" s="36"/>
      <c r="V6778" s="37"/>
    </row>
    <row r="6779" spans="13:22" x14ac:dyDescent="0.2">
      <c r="M6779" s="40"/>
      <c r="N6779" s="15"/>
      <c r="O6779" s="15"/>
      <c r="P6779" s="15"/>
      <c r="Q6779" s="39"/>
      <c r="R6779" s="41"/>
      <c r="S6779" s="36"/>
      <c r="T6779" s="36"/>
      <c r="U6779" s="36"/>
      <c r="V6779" s="37"/>
    </row>
    <row r="6780" spans="13:22" x14ac:dyDescent="0.2">
      <c r="M6780" s="40"/>
      <c r="N6780" s="15"/>
      <c r="O6780" s="15"/>
      <c r="P6780" s="15"/>
      <c r="Q6780" s="39"/>
      <c r="R6780" s="41"/>
      <c r="S6780" s="36"/>
      <c r="T6780" s="36"/>
      <c r="U6780" s="36"/>
      <c r="V6780" s="37"/>
    </row>
    <row r="6781" spans="13:22" ht="13.5" thickBot="1" x14ac:dyDescent="0.25">
      <c r="M6781" s="42"/>
      <c r="N6781" s="43"/>
      <c r="O6781" s="43"/>
      <c r="P6781" s="43"/>
      <c r="Q6781" s="44"/>
      <c r="R6781" s="41"/>
      <c r="S6781" s="46"/>
      <c r="T6781" s="46"/>
      <c r="U6781" s="46"/>
      <c r="V6781" s="47"/>
    </row>
    <row r="6782" spans="13:22" ht="13.5" thickBot="1" x14ac:dyDescent="0.25">
      <c r="M6782" s="48"/>
      <c r="N6782" s="49"/>
      <c r="O6782" s="49"/>
      <c r="P6782" s="49"/>
      <c r="Q6782" s="50"/>
      <c r="R6782" s="45"/>
      <c r="S6782" s="52"/>
      <c r="T6782" s="52"/>
      <c r="U6782" s="52"/>
      <c r="V6782" s="53"/>
    </row>
    <row r="6783" spans="13:22" x14ac:dyDescent="0.2">
      <c r="M6783" s="54"/>
      <c r="N6783" s="29"/>
      <c r="O6783" s="29"/>
      <c r="P6783" s="29"/>
      <c r="Q6783" s="34"/>
      <c r="R6783" s="51"/>
      <c r="S6783" s="36"/>
      <c r="T6783" s="36"/>
      <c r="U6783" s="36"/>
      <c r="V6783" s="37"/>
    </row>
    <row r="6784" spans="13:22" x14ac:dyDescent="0.2">
      <c r="M6784" s="33"/>
      <c r="N6784" s="29"/>
      <c r="O6784" s="29"/>
      <c r="P6784" s="29"/>
      <c r="Q6784" s="34"/>
      <c r="R6784" s="41"/>
      <c r="S6784" s="36"/>
      <c r="T6784" s="36"/>
      <c r="U6784" s="36"/>
      <c r="V6784" s="37"/>
    </row>
    <row r="6785" spans="13:22" x14ac:dyDescent="0.2">
      <c r="M6785" s="33"/>
      <c r="N6785" s="29"/>
      <c r="O6785" s="29"/>
      <c r="P6785" s="29"/>
      <c r="Q6785" s="34"/>
      <c r="R6785" s="35"/>
      <c r="S6785" s="36"/>
      <c r="T6785" s="36"/>
      <c r="U6785" s="36"/>
      <c r="V6785" s="37"/>
    </row>
    <row r="6786" spans="13:22" x14ac:dyDescent="0.2">
      <c r="M6786" s="33"/>
      <c r="N6786" s="29"/>
      <c r="O6786" s="29"/>
      <c r="P6786" s="29"/>
      <c r="Q6786" s="34"/>
      <c r="R6786" s="35"/>
      <c r="S6786" s="36"/>
      <c r="T6786" s="36"/>
      <c r="U6786" s="36"/>
      <c r="V6786" s="37"/>
    </row>
    <row r="6787" spans="13:22" x14ac:dyDescent="0.2">
      <c r="M6787" s="33"/>
      <c r="N6787" s="29"/>
      <c r="O6787" s="29"/>
      <c r="P6787" s="29"/>
      <c r="Q6787" s="34"/>
      <c r="R6787" s="35"/>
      <c r="S6787" s="36"/>
      <c r="T6787" s="36"/>
      <c r="U6787" s="36"/>
      <c r="V6787" s="37"/>
    </row>
    <row r="6788" spans="13:22" x14ac:dyDescent="0.2">
      <c r="M6788" s="33"/>
      <c r="N6788" s="29"/>
      <c r="O6788" s="29"/>
      <c r="P6788" s="29"/>
      <c r="Q6788" s="34"/>
      <c r="R6788" s="35"/>
      <c r="S6788" s="36"/>
      <c r="T6788" s="36"/>
      <c r="U6788" s="36"/>
      <c r="V6788" s="37"/>
    </row>
    <row r="6789" spans="13:22" x14ac:dyDescent="0.2">
      <c r="M6789" s="33"/>
      <c r="N6789" s="29"/>
      <c r="O6789" s="29"/>
      <c r="P6789" s="29"/>
      <c r="Q6789" s="38"/>
      <c r="R6789" s="35"/>
      <c r="S6789" s="36"/>
      <c r="T6789" s="36"/>
      <c r="U6789" s="36"/>
      <c r="V6789" s="37"/>
    </row>
    <row r="6790" spans="13:22" x14ac:dyDescent="0.2">
      <c r="M6790" s="33"/>
      <c r="N6790" s="29"/>
      <c r="O6790" s="29"/>
      <c r="P6790" s="29"/>
      <c r="Q6790" s="34"/>
      <c r="R6790" s="35"/>
      <c r="S6790" s="36"/>
      <c r="T6790" s="36"/>
      <c r="U6790" s="36"/>
      <c r="V6790" s="37"/>
    </row>
    <row r="6791" spans="13:22" x14ac:dyDescent="0.2">
      <c r="M6791" s="33"/>
      <c r="N6791" s="29"/>
      <c r="O6791" s="29"/>
      <c r="P6791" s="29"/>
      <c r="Q6791" s="34"/>
      <c r="R6791" s="35"/>
      <c r="S6791" s="36"/>
      <c r="T6791" s="36"/>
      <c r="U6791" s="36"/>
      <c r="V6791" s="37"/>
    </row>
    <row r="6792" spans="13:22" x14ac:dyDescent="0.2">
      <c r="M6792" s="33"/>
      <c r="N6792" s="29"/>
      <c r="O6792" s="29"/>
      <c r="P6792" s="29"/>
      <c r="Q6792" s="34"/>
      <c r="R6792" s="35"/>
      <c r="S6792" s="36"/>
      <c r="T6792" s="36"/>
      <c r="U6792" s="36"/>
      <c r="V6792" s="37"/>
    </row>
    <row r="6793" spans="13:22" x14ac:dyDescent="0.2">
      <c r="M6793" s="33"/>
      <c r="N6793" s="29"/>
      <c r="O6793" s="29"/>
      <c r="P6793" s="29"/>
      <c r="Q6793" s="34"/>
      <c r="R6793" s="35"/>
      <c r="S6793" s="36"/>
      <c r="T6793" s="36"/>
      <c r="U6793" s="36"/>
      <c r="V6793" s="37"/>
    </row>
    <row r="6794" spans="13:22" x14ac:dyDescent="0.2">
      <c r="M6794" s="26"/>
      <c r="N6794" s="15"/>
      <c r="O6794" s="15"/>
      <c r="P6794" s="15"/>
      <c r="Q6794" s="39"/>
      <c r="R6794" s="35"/>
      <c r="S6794" s="36"/>
      <c r="T6794" s="36"/>
      <c r="U6794" s="36"/>
      <c r="V6794" s="37"/>
    </row>
    <row r="6795" spans="13:22" x14ac:dyDescent="0.2">
      <c r="M6795" s="26"/>
      <c r="N6795" s="15"/>
      <c r="O6795" s="15"/>
      <c r="P6795" s="15"/>
      <c r="Q6795" s="39"/>
      <c r="R6795" s="35"/>
      <c r="S6795" s="36"/>
      <c r="T6795" s="36"/>
      <c r="U6795" s="36"/>
      <c r="V6795" s="37"/>
    </row>
    <row r="6796" spans="13:22" x14ac:dyDescent="0.2">
      <c r="M6796" s="40"/>
      <c r="N6796" s="15"/>
      <c r="O6796" s="15"/>
      <c r="P6796" s="15"/>
      <c r="Q6796" s="39"/>
      <c r="R6796" s="35"/>
      <c r="S6796" s="36"/>
      <c r="T6796" s="36"/>
      <c r="U6796" s="36"/>
      <c r="V6796" s="37"/>
    </row>
    <row r="6797" spans="13:22" x14ac:dyDescent="0.2">
      <c r="M6797" s="40"/>
      <c r="N6797" s="15"/>
      <c r="O6797" s="15"/>
      <c r="P6797" s="15"/>
      <c r="Q6797" s="39"/>
      <c r="R6797" s="41"/>
      <c r="S6797" s="36"/>
      <c r="T6797" s="36"/>
      <c r="U6797" s="36"/>
      <c r="V6797" s="37"/>
    </row>
    <row r="6798" spans="13:22" x14ac:dyDescent="0.2">
      <c r="M6798" s="40"/>
      <c r="N6798" s="15"/>
      <c r="O6798" s="15"/>
      <c r="P6798" s="15"/>
      <c r="Q6798" s="39"/>
      <c r="R6798" s="41"/>
      <c r="S6798" s="36"/>
      <c r="T6798" s="36"/>
      <c r="U6798" s="36"/>
      <c r="V6798" s="37"/>
    </row>
    <row r="6799" spans="13:22" x14ac:dyDescent="0.2">
      <c r="M6799" s="40"/>
      <c r="N6799" s="15"/>
      <c r="O6799" s="15"/>
      <c r="P6799" s="15"/>
      <c r="Q6799" s="39"/>
      <c r="R6799" s="41"/>
      <c r="S6799" s="36"/>
      <c r="T6799" s="36"/>
      <c r="U6799" s="36"/>
      <c r="V6799" s="37"/>
    </row>
    <row r="6800" spans="13:22" x14ac:dyDescent="0.2">
      <c r="M6800" s="40"/>
      <c r="N6800" s="15"/>
      <c r="O6800" s="15"/>
      <c r="P6800" s="15"/>
      <c r="Q6800" s="39"/>
      <c r="R6800" s="41"/>
      <c r="S6800" s="36"/>
      <c r="T6800" s="36"/>
      <c r="U6800" s="36"/>
      <c r="V6800" s="37"/>
    </row>
    <row r="6801" spans="13:22" x14ac:dyDescent="0.2">
      <c r="M6801" s="40"/>
      <c r="N6801" s="15"/>
      <c r="O6801" s="15"/>
      <c r="P6801" s="15"/>
      <c r="Q6801" s="39"/>
      <c r="R6801" s="41"/>
      <c r="S6801" s="36"/>
      <c r="T6801" s="36"/>
      <c r="U6801" s="36"/>
      <c r="V6801" s="37"/>
    </row>
    <row r="6802" spans="13:22" x14ac:dyDescent="0.2">
      <c r="M6802" s="40"/>
      <c r="N6802" s="15"/>
      <c r="O6802" s="15"/>
      <c r="P6802" s="15"/>
      <c r="Q6802" s="39"/>
      <c r="R6802" s="41"/>
      <c r="S6802" s="36"/>
      <c r="T6802" s="36"/>
      <c r="U6802" s="36"/>
      <c r="V6802" s="37"/>
    </row>
    <row r="6803" spans="13:22" x14ac:dyDescent="0.2">
      <c r="M6803" s="40"/>
      <c r="N6803" s="15"/>
      <c r="O6803" s="15"/>
      <c r="P6803" s="15"/>
      <c r="Q6803" s="39"/>
      <c r="R6803" s="41"/>
      <c r="S6803" s="36"/>
      <c r="T6803" s="36"/>
      <c r="U6803" s="36"/>
      <c r="V6803" s="37"/>
    </row>
    <row r="6804" spans="13:22" x14ac:dyDescent="0.2">
      <c r="M6804" s="40"/>
      <c r="N6804" s="15"/>
      <c r="O6804" s="15"/>
      <c r="P6804" s="15"/>
      <c r="Q6804" s="39"/>
      <c r="R6804" s="41"/>
      <c r="S6804" s="36"/>
      <c r="T6804" s="36"/>
      <c r="U6804" s="36"/>
      <c r="V6804" s="37"/>
    </row>
    <row r="6805" spans="13:22" x14ac:dyDescent="0.2">
      <c r="M6805" s="40"/>
      <c r="N6805" s="15"/>
      <c r="O6805" s="15"/>
      <c r="P6805" s="15"/>
      <c r="Q6805" s="39"/>
      <c r="R6805" s="41"/>
      <c r="S6805" s="36"/>
      <c r="T6805" s="36"/>
      <c r="U6805" s="36"/>
      <c r="V6805" s="37"/>
    </row>
    <row r="6806" spans="13:22" ht="13.5" thickBot="1" x14ac:dyDescent="0.25">
      <c r="M6806" s="42"/>
      <c r="N6806" s="43"/>
      <c r="O6806" s="43"/>
      <c r="P6806" s="43"/>
      <c r="Q6806" s="44"/>
      <c r="R6806" s="41"/>
      <c r="S6806" s="46"/>
      <c r="T6806" s="46"/>
      <c r="U6806" s="46"/>
      <c r="V6806" s="47"/>
    </row>
    <row r="6807" spans="13:22" ht="13.5" thickBot="1" x14ac:dyDescent="0.25">
      <c r="M6807" s="48"/>
      <c r="N6807" s="49"/>
      <c r="O6807" s="49"/>
      <c r="P6807" s="49"/>
      <c r="Q6807" s="50"/>
      <c r="R6807" s="45"/>
      <c r="S6807" s="52"/>
      <c r="T6807" s="52"/>
      <c r="U6807" s="52"/>
      <c r="V6807" s="53"/>
    </row>
    <row r="6808" spans="13:22" x14ac:dyDescent="0.2">
      <c r="M6808" s="54"/>
      <c r="N6808" s="29"/>
      <c r="O6808" s="29"/>
      <c r="P6808" s="29"/>
      <c r="Q6808" s="34"/>
      <c r="R6808" s="51"/>
      <c r="S6808" s="36"/>
      <c r="T6808" s="36"/>
      <c r="U6808" s="36"/>
      <c r="V6808" s="37"/>
    </row>
    <row r="6809" spans="13:22" x14ac:dyDescent="0.2">
      <c r="M6809" s="33"/>
      <c r="N6809" s="29"/>
      <c r="O6809" s="29"/>
      <c r="P6809" s="29"/>
      <c r="Q6809" s="34"/>
      <c r="R6809" s="41"/>
      <c r="S6809" s="36"/>
      <c r="T6809" s="36"/>
      <c r="U6809" s="36"/>
      <c r="V6809" s="37"/>
    </row>
    <row r="6810" spans="13:22" x14ac:dyDescent="0.2">
      <c r="M6810" s="33"/>
      <c r="N6810" s="29"/>
      <c r="O6810" s="29"/>
      <c r="P6810" s="29"/>
      <c r="Q6810" s="34"/>
      <c r="R6810" s="35"/>
      <c r="S6810" s="36"/>
      <c r="T6810" s="36"/>
      <c r="U6810" s="36"/>
      <c r="V6810" s="37"/>
    </row>
    <row r="6811" spans="13:22" x14ac:dyDescent="0.2">
      <c r="M6811" s="33"/>
      <c r="N6811" s="29"/>
      <c r="O6811" s="29"/>
      <c r="P6811" s="29"/>
      <c r="Q6811" s="34"/>
      <c r="R6811" s="35"/>
      <c r="S6811" s="36"/>
      <c r="T6811" s="36"/>
      <c r="U6811" s="36"/>
      <c r="V6811" s="37"/>
    </row>
    <row r="6812" spans="13:22" x14ac:dyDescent="0.2">
      <c r="M6812" s="33"/>
      <c r="N6812" s="29"/>
      <c r="O6812" s="29"/>
      <c r="P6812" s="29"/>
      <c r="Q6812" s="34"/>
      <c r="R6812" s="35"/>
      <c r="S6812" s="36"/>
      <c r="T6812" s="36"/>
      <c r="U6812" s="36"/>
      <c r="V6812" s="37"/>
    </row>
    <row r="6813" spans="13:22" x14ac:dyDescent="0.2">
      <c r="M6813" s="33"/>
      <c r="N6813" s="29"/>
      <c r="O6813" s="29"/>
      <c r="P6813" s="29"/>
      <c r="Q6813" s="34"/>
      <c r="R6813" s="35"/>
      <c r="S6813" s="36"/>
      <c r="T6813" s="36"/>
      <c r="U6813" s="36"/>
      <c r="V6813" s="37"/>
    </row>
    <row r="6814" spans="13:22" x14ac:dyDescent="0.2">
      <c r="M6814" s="33"/>
      <c r="N6814" s="29"/>
      <c r="O6814" s="29"/>
      <c r="P6814" s="29"/>
      <c r="Q6814" s="38"/>
      <c r="R6814" s="35"/>
      <c r="S6814" s="36"/>
      <c r="T6814" s="36"/>
      <c r="U6814" s="36"/>
      <c r="V6814" s="37"/>
    </row>
    <row r="6815" spans="13:22" x14ac:dyDescent="0.2">
      <c r="M6815" s="33"/>
      <c r="N6815" s="29"/>
      <c r="O6815" s="29"/>
      <c r="P6815" s="29"/>
      <c r="Q6815" s="34"/>
      <c r="R6815" s="35"/>
      <c r="S6815" s="36"/>
      <c r="T6815" s="36"/>
      <c r="U6815" s="36"/>
      <c r="V6815" s="37"/>
    </row>
    <row r="6816" spans="13:22" x14ac:dyDescent="0.2">
      <c r="M6816" s="33"/>
      <c r="N6816" s="29"/>
      <c r="O6816" s="29"/>
      <c r="P6816" s="29"/>
      <c r="Q6816" s="34"/>
      <c r="R6816" s="35"/>
      <c r="S6816" s="36"/>
      <c r="T6816" s="36"/>
      <c r="U6816" s="36"/>
      <c r="V6816" s="37"/>
    </row>
    <row r="6817" spans="13:22" x14ac:dyDescent="0.2">
      <c r="M6817" s="33"/>
      <c r="N6817" s="29"/>
      <c r="O6817" s="29"/>
      <c r="P6817" s="29"/>
      <c r="Q6817" s="34"/>
      <c r="R6817" s="35"/>
      <c r="S6817" s="36"/>
      <c r="T6817" s="36"/>
      <c r="U6817" s="36"/>
      <c r="V6817" s="37"/>
    </row>
    <row r="6818" spans="13:22" x14ac:dyDescent="0.2">
      <c r="M6818" s="33"/>
      <c r="N6818" s="29"/>
      <c r="O6818" s="29"/>
      <c r="P6818" s="29"/>
      <c r="Q6818" s="34"/>
      <c r="R6818" s="35"/>
      <c r="S6818" s="36"/>
      <c r="T6818" s="36"/>
      <c r="U6818" s="36"/>
      <c r="V6818" s="37"/>
    </row>
    <row r="6819" spans="13:22" x14ac:dyDescent="0.2">
      <c r="M6819" s="26"/>
      <c r="N6819" s="15"/>
      <c r="O6819" s="15"/>
      <c r="P6819" s="15"/>
      <c r="Q6819" s="39"/>
      <c r="R6819" s="35"/>
      <c r="S6819" s="36"/>
      <c r="T6819" s="36"/>
      <c r="U6819" s="36"/>
      <c r="V6819" s="37"/>
    </row>
    <row r="6820" spans="13:22" x14ac:dyDescent="0.2">
      <c r="M6820" s="26"/>
      <c r="N6820" s="15"/>
      <c r="O6820" s="15"/>
      <c r="P6820" s="15"/>
      <c r="Q6820" s="39"/>
      <c r="R6820" s="35"/>
      <c r="S6820" s="36"/>
      <c r="T6820" s="36"/>
      <c r="U6820" s="36"/>
      <c r="V6820" s="37"/>
    </row>
    <row r="6821" spans="13:22" x14ac:dyDescent="0.2">
      <c r="M6821" s="40"/>
      <c r="N6821" s="15"/>
      <c r="O6821" s="15"/>
      <c r="P6821" s="15"/>
      <c r="Q6821" s="39"/>
      <c r="R6821" s="35"/>
      <c r="S6821" s="36"/>
      <c r="T6821" s="36"/>
      <c r="U6821" s="36"/>
      <c r="V6821" s="37"/>
    </row>
    <row r="6822" spans="13:22" x14ac:dyDescent="0.2">
      <c r="M6822" s="40"/>
      <c r="N6822" s="15"/>
      <c r="O6822" s="15"/>
      <c r="P6822" s="15"/>
      <c r="Q6822" s="39"/>
      <c r="R6822" s="41"/>
      <c r="S6822" s="36"/>
      <c r="T6822" s="36"/>
      <c r="U6822" s="36"/>
      <c r="V6822" s="37"/>
    </row>
    <row r="6823" spans="13:22" x14ac:dyDescent="0.2">
      <c r="M6823" s="40"/>
      <c r="N6823" s="15"/>
      <c r="O6823" s="15"/>
      <c r="P6823" s="15"/>
      <c r="Q6823" s="39"/>
      <c r="R6823" s="41"/>
      <c r="S6823" s="36"/>
      <c r="T6823" s="36"/>
      <c r="U6823" s="36"/>
      <c r="V6823" s="37"/>
    </row>
    <row r="6824" spans="13:22" x14ac:dyDescent="0.2">
      <c r="M6824" s="40"/>
      <c r="N6824" s="15"/>
      <c r="O6824" s="15"/>
      <c r="P6824" s="15"/>
      <c r="Q6824" s="39"/>
      <c r="R6824" s="41"/>
      <c r="S6824" s="36"/>
      <c r="T6824" s="36"/>
      <c r="U6824" s="36"/>
      <c r="V6824" s="37"/>
    </row>
    <row r="6825" spans="13:22" x14ac:dyDescent="0.2">
      <c r="M6825" s="40"/>
      <c r="N6825" s="15"/>
      <c r="O6825" s="15"/>
      <c r="P6825" s="15"/>
      <c r="Q6825" s="39"/>
      <c r="R6825" s="41"/>
      <c r="S6825" s="36"/>
      <c r="T6825" s="36"/>
      <c r="U6825" s="36"/>
      <c r="V6825" s="37"/>
    </row>
    <row r="6826" spans="13:22" x14ac:dyDescent="0.2">
      <c r="M6826" s="40"/>
      <c r="N6826" s="15"/>
      <c r="O6826" s="15"/>
      <c r="P6826" s="15"/>
      <c r="Q6826" s="39"/>
      <c r="R6826" s="41"/>
      <c r="S6826" s="36"/>
      <c r="T6826" s="36"/>
      <c r="U6826" s="36"/>
      <c r="V6826" s="37"/>
    </row>
    <row r="6827" spans="13:22" x14ac:dyDescent="0.2">
      <c r="M6827" s="40"/>
      <c r="N6827" s="15"/>
      <c r="O6827" s="15"/>
      <c r="P6827" s="15"/>
      <c r="Q6827" s="39"/>
      <c r="R6827" s="41"/>
      <c r="S6827" s="36"/>
      <c r="T6827" s="36"/>
      <c r="U6827" s="36"/>
      <c r="V6827" s="37"/>
    </row>
    <row r="6828" spans="13:22" x14ac:dyDescent="0.2">
      <c r="M6828" s="40"/>
      <c r="N6828" s="15"/>
      <c r="O6828" s="15"/>
      <c r="P6828" s="15"/>
      <c r="Q6828" s="39"/>
      <c r="R6828" s="41"/>
      <c r="S6828" s="36"/>
      <c r="T6828" s="36"/>
      <c r="U6828" s="36"/>
      <c r="V6828" s="37"/>
    </row>
    <row r="6829" spans="13:22" x14ac:dyDescent="0.2">
      <c r="M6829" s="40"/>
      <c r="N6829" s="15"/>
      <c r="O6829" s="15"/>
      <c r="P6829" s="15"/>
      <c r="Q6829" s="39"/>
      <c r="R6829" s="41"/>
      <c r="S6829" s="36"/>
      <c r="T6829" s="36"/>
      <c r="U6829" s="36"/>
      <c r="V6829" s="37"/>
    </row>
    <row r="6830" spans="13:22" x14ac:dyDescent="0.2">
      <c r="M6830" s="40"/>
      <c r="N6830" s="15"/>
      <c r="O6830" s="15"/>
      <c r="P6830" s="15"/>
      <c r="Q6830" s="39"/>
      <c r="R6830" s="41"/>
      <c r="S6830" s="36"/>
      <c r="T6830" s="36"/>
      <c r="U6830" s="36"/>
      <c r="V6830" s="37"/>
    </row>
    <row r="6831" spans="13:22" ht="13.5" thickBot="1" x14ac:dyDescent="0.25">
      <c r="M6831" s="42"/>
      <c r="N6831" s="43"/>
      <c r="O6831" s="43"/>
      <c r="P6831" s="43"/>
      <c r="Q6831" s="44"/>
      <c r="R6831" s="41"/>
      <c r="S6831" s="46"/>
      <c r="T6831" s="46"/>
      <c r="U6831" s="46"/>
      <c r="V6831" s="47"/>
    </row>
    <row r="6832" spans="13:22" ht="13.5" thickBot="1" x14ac:dyDescent="0.25">
      <c r="M6832" s="48"/>
      <c r="N6832" s="49"/>
      <c r="O6832" s="49"/>
      <c r="P6832" s="49"/>
      <c r="Q6832" s="50"/>
      <c r="R6832" s="45"/>
      <c r="S6832" s="52"/>
      <c r="T6832" s="52"/>
      <c r="U6832" s="52"/>
      <c r="V6832" s="53"/>
    </row>
    <row r="6833" spans="13:22" x14ac:dyDescent="0.2">
      <c r="M6833" s="54"/>
      <c r="N6833" s="29"/>
      <c r="O6833" s="29"/>
      <c r="P6833" s="29"/>
      <c r="Q6833" s="34"/>
      <c r="R6833" s="51"/>
      <c r="S6833" s="36"/>
      <c r="T6833" s="36"/>
      <c r="U6833" s="36"/>
      <c r="V6833" s="37"/>
    </row>
    <row r="6834" spans="13:22" x14ac:dyDescent="0.2">
      <c r="M6834" s="33"/>
      <c r="N6834" s="29"/>
      <c r="O6834" s="29"/>
      <c r="P6834" s="29"/>
      <c r="Q6834" s="34"/>
      <c r="R6834" s="41"/>
      <c r="S6834" s="36"/>
      <c r="T6834" s="36"/>
      <c r="U6834" s="36"/>
      <c r="V6834" s="37"/>
    </row>
    <row r="6835" spans="13:22" x14ac:dyDescent="0.2">
      <c r="M6835" s="33"/>
      <c r="N6835" s="29"/>
      <c r="O6835" s="29"/>
      <c r="P6835" s="29"/>
      <c r="Q6835" s="34"/>
      <c r="R6835" s="35"/>
      <c r="S6835" s="36"/>
      <c r="T6835" s="36"/>
      <c r="U6835" s="36"/>
      <c r="V6835" s="37"/>
    </row>
    <row r="6836" spans="13:22" x14ac:dyDescent="0.2">
      <c r="M6836" s="33"/>
      <c r="N6836" s="29"/>
      <c r="O6836" s="29"/>
      <c r="P6836" s="29"/>
      <c r="Q6836" s="34"/>
      <c r="R6836" s="35"/>
      <c r="S6836" s="36"/>
      <c r="T6836" s="36"/>
      <c r="U6836" s="36"/>
      <c r="V6836" s="37"/>
    </row>
    <row r="6837" spans="13:22" x14ac:dyDescent="0.2">
      <c r="M6837" s="33"/>
      <c r="N6837" s="29"/>
      <c r="O6837" s="29"/>
      <c r="P6837" s="29"/>
      <c r="Q6837" s="34"/>
      <c r="R6837" s="35"/>
      <c r="S6837" s="36"/>
      <c r="T6837" s="36"/>
      <c r="U6837" s="36"/>
      <c r="V6837" s="37"/>
    </row>
    <row r="6838" spans="13:22" x14ac:dyDescent="0.2">
      <c r="M6838" s="33"/>
      <c r="N6838" s="29"/>
      <c r="O6838" s="29"/>
      <c r="P6838" s="29"/>
      <c r="Q6838" s="34"/>
      <c r="R6838" s="35"/>
      <c r="S6838" s="36"/>
      <c r="T6838" s="36"/>
      <c r="U6838" s="36"/>
      <c r="V6838" s="37"/>
    </row>
    <row r="6839" spans="13:22" x14ac:dyDescent="0.2">
      <c r="M6839" s="33"/>
      <c r="N6839" s="29"/>
      <c r="O6839" s="29"/>
      <c r="P6839" s="29"/>
      <c r="Q6839" s="38"/>
      <c r="R6839" s="35"/>
      <c r="S6839" s="36"/>
      <c r="T6839" s="36"/>
      <c r="U6839" s="36"/>
      <c r="V6839" s="37"/>
    </row>
    <row r="6840" spans="13:22" x14ac:dyDescent="0.2">
      <c r="M6840" s="33"/>
      <c r="N6840" s="29"/>
      <c r="O6840" s="29"/>
      <c r="P6840" s="29"/>
      <c r="Q6840" s="34"/>
      <c r="R6840" s="35"/>
      <c r="S6840" s="36"/>
      <c r="T6840" s="36"/>
      <c r="U6840" s="36"/>
      <c r="V6840" s="37"/>
    </row>
    <row r="6841" spans="13:22" x14ac:dyDescent="0.2">
      <c r="M6841" s="33"/>
      <c r="N6841" s="29"/>
      <c r="O6841" s="29"/>
      <c r="P6841" s="29"/>
      <c r="Q6841" s="34"/>
      <c r="R6841" s="35"/>
      <c r="S6841" s="36"/>
      <c r="T6841" s="36"/>
      <c r="U6841" s="36"/>
      <c r="V6841" s="37"/>
    </row>
    <row r="6842" spans="13:22" x14ac:dyDescent="0.2">
      <c r="M6842" s="33"/>
      <c r="N6842" s="29"/>
      <c r="O6842" s="29"/>
      <c r="P6842" s="29"/>
      <c r="Q6842" s="34"/>
      <c r="R6842" s="35"/>
      <c r="S6842" s="36"/>
      <c r="T6842" s="36"/>
      <c r="U6842" s="36"/>
      <c r="V6842" s="37"/>
    </row>
    <row r="6843" spans="13:22" x14ac:dyDescent="0.2">
      <c r="M6843" s="33"/>
      <c r="N6843" s="29"/>
      <c r="O6843" s="29"/>
      <c r="P6843" s="29"/>
      <c r="Q6843" s="34"/>
      <c r="R6843" s="35"/>
      <c r="S6843" s="36"/>
      <c r="T6843" s="36"/>
      <c r="U6843" s="36"/>
      <c r="V6843" s="37"/>
    </row>
    <row r="6844" spans="13:22" x14ac:dyDescent="0.2">
      <c r="M6844" s="26"/>
      <c r="N6844" s="15"/>
      <c r="O6844" s="15"/>
      <c r="P6844" s="15"/>
      <c r="Q6844" s="39"/>
      <c r="R6844" s="35"/>
      <c r="S6844" s="36"/>
      <c r="T6844" s="36"/>
      <c r="U6844" s="36"/>
      <c r="V6844" s="37"/>
    </row>
    <row r="6845" spans="13:22" x14ac:dyDescent="0.2">
      <c r="M6845" s="26"/>
      <c r="N6845" s="15"/>
      <c r="O6845" s="15"/>
      <c r="P6845" s="15"/>
      <c r="Q6845" s="39"/>
      <c r="R6845" s="35"/>
      <c r="S6845" s="36"/>
      <c r="T6845" s="36"/>
      <c r="U6845" s="36"/>
      <c r="V6845" s="37"/>
    </row>
    <row r="6846" spans="13:22" x14ac:dyDescent="0.2">
      <c r="M6846" s="40"/>
      <c r="N6846" s="15"/>
      <c r="O6846" s="15"/>
      <c r="P6846" s="15"/>
      <c r="Q6846" s="39"/>
      <c r="R6846" s="35"/>
      <c r="S6846" s="36"/>
      <c r="T6846" s="36"/>
      <c r="U6846" s="36"/>
      <c r="V6846" s="37"/>
    </row>
    <row r="6847" spans="13:22" x14ac:dyDescent="0.2">
      <c r="M6847" s="40"/>
      <c r="N6847" s="15"/>
      <c r="O6847" s="15"/>
      <c r="P6847" s="15"/>
      <c r="Q6847" s="39"/>
      <c r="R6847" s="41"/>
      <c r="S6847" s="36"/>
      <c r="T6847" s="36"/>
      <c r="U6847" s="36"/>
      <c r="V6847" s="37"/>
    </row>
    <row r="6848" spans="13:22" x14ac:dyDescent="0.2">
      <c r="M6848" s="40"/>
      <c r="N6848" s="15"/>
      <c r="O6848" s="15"/>
      <c r="P6848" s="15"/>
      <c r="Q6848" s="39"/>
      <c r="R6848" s="41"/>
      <c r="S6848" s="36"/>
      <c r="T6848" s="36"/>
      <c r="U6848" s="36"/>
      <c r="V6848" s="37"/>
    </row>
    <row r="6849" spans="13:22" x14ac:dyDescent="0.2">
      <c r="M6849" s="40"/>
      <c r="N6849" s="15"/>
      <c r="O6849" s="15"/>
      <c r="P6849" s="15"/>
      <c r="Q6849" s="39"/>
      <c r="R6849" s="41"/>
      <c r="S6849" s="36"/>
      <c r="T6849" s="36"/>
      <c r="U6849" s="36"/>
      <c r="V6849" s="37"/>
    </row>
    <row r="6850" spans="13:22" x14ac:dyDescent="0.2">
      <c r="M6850" s="40"/>
      <c r="N6850" s="15"/>
      <c r="O6850" s="15"/>
      <c r="P6850" s="15"/>
      <c r="Q6850" s="39"/>
      <c r="R6850" s="41"/>
      <c r="S6850" s="36"/>
      <c r="T6850" s="36"/>
      <c r="U6850" s="36"/>
      <c r="V6850" s="37"/>
    </row>
    <row r="6851" spans="13:22" x14ac:dyDescent="0.2">
      <c r="M6851" s="40"/>
      <c r="N6851" s="15"/>
      <c r="O6851" s="15"/>
      <c r="P6851" s="15"/>
      <c r="Q6851" s="39"/>
      <c r="R6851" s="41"/>
      <c r="S6851" s="36"/>
      <c r="T6851" s="36"/>
      <c r="U6851" s="36"/>
      <c r="V6851" s="37"/>
    </row>
    <row r="6852" spans="13:22" x14ac:dyDescent="0.2">
      <c r="M6852" s="40"/>
      <c r="N6852" s="15"/>
      <c r="O6852" s="15"/>
      <c r="P6852" s="15"/>
      <c r="Q6852" s="39"/>
      <c r="R6852" s="41"/>
      <c r="S6852" s="36"/>
      <c r="T6852" s="36"/>
      <c r="U6852" s="36"/>
      <c r="V6852" s="37"/>
    </row>
    <row r="6853" spans="13:22" x14ac:dyDescent="0.2">
      <c r="M6853" s="40"/>
      <c r="N6853" s="15"/>
      <c r="O6853" s="15"/>
      <c r="P6853" s="15"/>
      <c r="Q6853" s="39"/>
      <c r="R6853" s="41"/>
      <c r="S6853" s="36"/>
      <c r="T6853" s="36"/>
      <c r="U6853" s="36"/>
      <c r="V6853" s="37"/>
    </row>
    <row r="6854" spans="13:22" x14ac:dyDescent="0.2">
      <c r="M6854" s="40"/>
      <c r="N6854" s="15"/>
      <c r="O6854" s="15"/>
      <c r="P6854" s="15"/>
      <c r="Q6854" s="39"/>
      <c r="R6854" s="41"/>
      <c r="S6854" s="36"/>
      <c r="T6854" s="36"/>
      <c r="U6854" s="36"/>
      <c r="V6854" s="37"/>
    </row>
    <row r="6855" spans="13:22" x14ac:dyDescent="0.2">
      <c r="M6855" s="40"/>
      <c r="N6855" s="15"/>
      <c r="O6855" s="15"/>
      <c r="P6855" s="15"/>
      <c r="Q6855" s="39"/>
      <c r="R6855" s="41"/>
      <c r="S6855" s="36"/>
      <c r="T6855" s="36"/>
      <c r="U6855" s="36"/>
      <c r="V6855" s="37"/>
    </row>
    <row r="6856" spans="13:22" ht="13.5" thickBot="1" x14ac:dyDescent="0.25">
      <c r="M6856" s="42"/>
      <c r="N6856" s="43"/>
      <c r="O6856" s="43"/>
      <c r="P6856" s="43"/>
      <c r="Q6856" s="44"/>
      <c r="R6856" s="41"/>
      <c r="S6856" s="46"/>
      <c r="T6856" s="46"/>
      <c r="U6856" s="46"/>
      <c r="V6856" s="47"/>
    </row>
    <row r="6857" spans="13:22" ht="13.5" thickBot="1" x14ac:dyDescent="0.25">
      <c r="M6857" s="48"/>
      <c r="N6857" s="49"/>
      <c r="O6857" s="49"/>
      <c r="P6857" s="49"/>
      <c r="Q6857" s="50"/>
      <c r="R6857" s="45"/>
      <c r="S6857" s="52"/>
      <c r="T6857" s="52"/>
      <c r="U6857" s="52"/>
      <c r="V6857" s="53"/>
    </row>
    <row r="6858" spans="13:22" x14ac:dyDescent="0.2">
      <c r="M6858" s="54"/>
      <c r="N6858" s="29"/>
      <c r="O6858" s="29"/>
      <c r="P6858" s="29"/>
      <c r="Q6858" s="34"/>
      <c r="R6858" s="51"/>
      <c r="S6858" s="36"/>
      <c r="T6858" s="36"/>
      <c r="U6858" s="36"/>
      <c r="V6858" s="37"/>
    </row>
    <row r="6859" spans="13:22" x14ac:dyDescent="0.2">
      <c r="M6859" s="33"/>
      <c r="N6859" s="29"/>
      <c r="O6859" s="29"/>
      <c r="P6859" s="29"/>
      <c r="Q6859" s="34"/>
      <c r="R6859" s="41"/>
      <c r="S6859" s="36"/>
      <c r="T6859" s="36"/>
      <c r="U6859" s="36"/>
      <c r="V6859" s="37"/>
    </row>
    <row r="6860" spans="13:22" x14ac:dyDescent="0.2">
      <c r="M6860" s="33"/>
      <c r="N6860" s="29"/>
      <c r="O6860" s="29"/>
      <c r="P6860" s="29"/>
      <c r="Q6860" s="34"/>
      <c r="R6860" s="35"/>
      <c r="S6860" s="36"/>
      <c r="T6860" s="36"/>
      <c r="U6860" s="36"/>
      <c r="V6860" s="37"/>
    </row>
    <row r="6861" spans="13:22" x14ac:dyDescent="0.2">
      <c r="M6861" s="33"/>
      <c r="N6861" s="29"/>
      <c r="O6861" s="29"/>
      <c r="P6861" s="29"/>
      <c r="Q6861" s="34"/>
      <c r="R6861" s="35"/>
      <c r="S6861" s="36"/>
      <c r="T6861" s="36"/>
      <c r="U6861" s="36"/>
      <c r="V6861" s="37"/>
    </row>
    <row r="6862" spans="13:22" x14ac:dyDescent="0.2">
      <c r="M6862" s="33"/>
      <c r="N6862" s="29"/>
      <c r="O6862" s="29"/>
      <c r="P6862" s="29"/>
      <c r="Q6862" s="34"/>
      <c r="R6862" s="35"/>
      <c r="S6862" s="36"/>
      <c r="T6862" s="36"/>
      <c r="U6862" s="36"/>
      <c r="V6862" s="37"/>
    </row>
    <row r="6863" spans="13:22" x14ac:dyDescent="0.2">
      <c r="M6863" s="33"/>
      <c r="N6863" s="29"/>
      <c r="O6863" s="29"/>
      <c r="P6863" s="29"/>
      <c r="Q6863" s="34"/>
      <c r="R6863" s="35"/>
      <c r="S6863" s="36"/>
      <c r="T6863" s="36"/>
      <c r="U6863" s="36"/>
      <c r="V6863" s="37"/>
    </row>
    <row r="6864" spans="13:22" x14ac:dyDescent="0.2">
      <c r="M6864" s="33"/>
      <c r="N6864" s="29"/>
      <c r="O6864" s="29"/>
      <c r="P6864" s="29"/>
      <c r="Q6864" s="38"/>
      <c r="R6864" s="35"/>
      <c r="S6864" s="36"/>
      <c r="T6864" s="36"/>
      <c r="U6864" s="36"/>
      <c r="V6864" s="37"/>
    </row>
    <row r="6865" spans="13:22" x14ac:dyDescent="0.2">
      <c r="M6865" s="33"/>
      <c r="N6865" s="29"/>
      <c r="O6865" s="29"/>
      <c r="P6865" s="29"/>
      <c r="Q6865" s="34"/>
      <c r="R6865" s="35"/>
      <c r="S6865" s="36"/>
      <c r="T6865" s="36"/>
      <c r="U6865" s="36"/>
      <c r="V6865" s="37"/>
    </row>
    <row r="6866" spans="13:22" x14ac:dyDescent="0.2">
      <c r="M6866" s="33"/>
      <c r="N6866" s="29"/>
      <c r="O6866" s="29"/>
      <c r="P6866" s="29"/>
      <c r="Q6866" s="34"/>
      <c r="R6866" s="35"/>
      <c r="S6866" s="36"/>
      <c r="T6866" s="36"/>
      <c r="U6866" s="36"/>
      <c r="V6866" s="37"/>
    </row>
    <row r="6867" spans="13:22" x14ac:dyDescent="0.2">
      <c r="M6867" s="33"/>
      <c r="N6867" s="29"/>
      <c r="O6867" s="29"/>
      <c r="P6867" s="29"/>
      <c r="Q6867" s="34"/>
      <c r="R6867" s="35"/>
      <c r="S6867" s="36"/>
      <c r="T6867" s="36"/>
      <c r="U6867" s="36"/>
      <c r="V6867" s="37"/>
    </row>
    <row r="6868" spans="13:22" x14ac:dyDescent="0.2">
      <c r="M6868" s="33"/>
      <c r="N6868" s="29"/>
      <c r="O6868" s="29"/>
      <c r="P6868" s="29"/>
      <c r="Q6868" s="34"/>
      <c r="R6868" s="35"/>
      <c r="S6868" s="36"/>
      <c r="T6868" s="36"/>
      <c r="U6868" s="36"/>
      <c r="V6868" s="37"/>
    </row>
    <row r="6869" spans="13:22" x14ac:dyDescent="0.2">
      <c r="M6869" s="26"/>
      <c r="N6869" s="15"/>
      <c r="O6869" s="15"/>
      <c r="P6869" s="15"/>
      <c r="Q6869" s="39"/>
      <c r="R6869" s="35"/>
      <c r="S6869" s="36"/>
      <c r="T6869" s="36"/>
      <c r="U6869" s="36"/>
      <c r="V6869" s="37"/>
    </row>
    <row r="6870" spans="13:22" x14ac:dyDescent="0.2">
      <c r="M6870" s="26"/>
      <c r="N6870" s="15"/>
      <c r="O6870" s="15"/>
      <c r="P6870" s="15"/>
      <c r="Q6870" s="39"/>
      <c r="R6870" s="35"/>
      <c r="S6870" s="36"/>
      <c r="T6870" s="36"/>
      <c r="U6870" s="36"/>
      <c r="V6870" s="37"/>
    </row>
    <row r="6871" spans="13:22" x14ac:dyDescent="0.2">
      <c r="M6871" s="40"/>
      <c r="N6871" s="15"/>
      <c r="O6871" s="15"/>
      <c r="P6871" s="15"/>
      <c r="Q6871" s="39"/>
      <c r="R6871" s="35"/>
      <c r="S6871" s="36"/>
      <c r="T6871" s="36"/>
      <c r="U6871" s="36"/>
      <c r="V6871" s="37"/>
    </row>
    <row r="6872" spans="13:22" x14ac:dyDescent="0.2">
      <c r="M6872" s="40"/>
      <c r="N6872" s="15"/>
      <c r="O6872" s="15"/>
      <c r="P6872" s="15"/>
      <c r="Q6872" s="39"/>
      <c r="R6872" s="41"/>
      <c r="S6872" s="36"/>
      <c r="T6872" s="36"/>
      <c r="U6872" s="36"/>
      <c r="V6872" s="37"/>
    </row>
    <row r="6873" spans="13:22" x14ac:dyDescent="0.2">
      <c r="M6873" s="40"/>
      <c r="N6873" s="15"/>
      <c r="O6873" s="15"/>
      <c r="P6873" s="15"/>
      <c r="Q6873" s="39"/>
      <c r="R6873" s="41"/>
      <c r="S6873" s="36"/>
      <c r="T6873" s="36"/>
      <c r="U6873" s="36"/>
      <c r="V6873" s="37"/>
    </row>
    <row r="6874" spans="13:22" x14ac:dyDescent="0.2">
      <c r="M6874" s="40"/>
      <c r="N6874" s="15"/>
      <c r="O6874" s="15"/>
      <c r="P6874" s="15"/>
      <c r="Q6874" s="39"/>
      <c r="R6874" s="41"/>
      <c r="S6874" s="36"/>
      <c r="T6874" s="36"/>
      <c r="U6874" s="36"/>
      <c r="V6874" s="37"/>
    </row>
    <row r="6875" spans="13:22" x14ac:dyDescent="0.2">
      <c r="M6875" s="40"/>
      <c r="N6875" s="15"/>
      <c r="O6875" s="15"/>
      <c r="P6875" s="15"/>
      <c r="Q6875" s="39"/>
      <c r="R6875" s="41"/>
      <c r="S6875" s="36"/>
      <c r="T6875" s="36"/>
      <c r="U6875" s="36"/>
      <c r="V6875" s="37"/>
    </row>
    <row r="6876" spans="13:22" x14ac:dyDescent="0.2">
      <c r="M6876" s="40"/>
      <c r="N6876" s="15"/>
      <c r="O6876" s="15"/>
      <c r="P6876" s="15"/>
      <c r="Q6876" s="39"/>
      <c r="R6876" s="41"/>
      <c r="S6876" s="36"/>
      <c r="T6876" s="36"/>
      <c r="U6876" s="36"/>
      <c r="V6876" s="37"/>
    </row>
    <row r="6877" spans="13:22" x14ac:dyDescent="0.2">
      <c r="M6877" s="40"/>
      <c r="N6877" s="15"/>
      <c r="O6877" s="15"/>
      <c r="P6877" s="15"/>
      <c r="Q6877" s="39"/>
      <c r="R6877" s="41"/>
      <c r="S6877" s="36"/>
      <c r="T6877" s="36"/>
      <c r="U6877" s="36"/>
      <c r="V6877" s="37"/>
    </row>
    <row r="6878" spans="13:22" x14ac:dyDescent="0.2">
      <c r="M6878" s="40"/>
      <c r="N6878" s="15"/>
      <c r="O6878" s="15"/>
      <c r="P6878" s="15"/>
      <c r="Q6878" s="39"/>
      <c r="R6878" s="41"/>
      <c r="S6878" s="36"/>
      <c r="T6878" s="36"/>
      <c r="U6878" s="36"/>
      <c r="V6878" s="37"/>
    </row>
    <row r="6879" spans="13:22" x14ac:dyDescent="0.2">
      <c r="M6879" s="40"/>
      <c r="N6879" s="15"/>
      <c r="O6879" s="15"/>
      <c r="P6879" s="15"/>
      <c r="Q6879" s="39"/>
      <c r="R6879" s="41"/>
      <c r="S6879" s="36"/>
      <c r="T6879" s="36"/>
      <c r="U6879" s="36"/>
      <c r="V6879" s="37"/>
    </row>
    <row r="6880" spans="13:22" x14ac:dyDescent="0.2">
      <c r="M6880" s="40"/>
      <c r="N6880" s="15"/>
      <c r="O6880" s="15"/>
      <c r="P6880" s="15"/>
      <c r="Q6880" s="39"/>
      <c r="R6880" s="41"/>
      <c r="S6880" s="36"/>
      <c r="T6880" s="36"/>
      <c r="U6880" s="36"/>
      <c r="V6880" s="37"/>
    </row>
    <row r="6881" spans="13:22" ht="13.5" thickBot="1" x14ac:dyDescent="0.25">
      <c r="M6881" s="42"/>
      <c r="N6881" s="43"/>
      <c r="O6881" s="43"/>
      <c r="P6881" s="43"/>
      <c r="Q6881" s="44"/>
      <c r="R6881" s="41"/>
      <c r="S6881" s="46"/>
      <c r="T6881" s="46"/>
      <c r="U6881" s="46"/>
      <c r="V6881" s="47"/>
    </row>
    <row r="6882" spans="13:22" ht="13.5" thickBot="1" x14ac:dyDescent="0.25">
      <c r="M6882" s="48"/>
      <c r="N6882" s="49"/>
      <c r="O6882" s="49"/>
      <c r="P6882" s="49"/>
      <c r="Q6882" s="50"/>
      <c r="R6882" s="45"/>
      <c r="S6882" s="52"/>
      <c r="T6882" s="52"/>
      <c r="U6882" s="52"/>
      <c r="V6882" s="53"/>
    </row>
    <row r="6883" spans="13:22" x14ac:dyDescent="0.2">
      <c r="M6883" s="54"/>
      <c r="N6883" s="29"/>
      <c r="O6883" s="29"/>
      <c r="P6883" s="29"/>
      <c r="Q6883" s="34"/>
      <c r="R6883" s="51"/>
      <c r="S6883" s="36"/>
      <c r="T6883" s="36"/>
      <c r="U6883" s="36"/>
      <c r="V6883" s="37"/>
    </row>
    <row r="6884" spans="13:22" x14ac:dyDescent="0.2">
      <c r="M6884" s="33"/>
      <c r="N6884" s="29"/>
      <c r="O6884" s="29"/>
      <c r="P6884" s="29"/>
      <c r="Q6884" s="34"/>
      <c r="R6884" s="41"/>
      <c r="S6884" s="36"/>
      <c r="T6884" s="36"/>
      <c r="U6884" s="36"/>
      <c r="V6884" s="37"/>
    </row>
    <row r="6885" spans="13:22" x14ac:dyDescent="0.2">
      <c r="M6885" s="33"/>
      <c r="N6885" s="29"/>
      <c r="O6885" s="29"/>
      <c r="P6885" s="29"/>
      <c r="Q6885" s="34"/>
      <c r="R6885" s="35"/>
      <c r="S6885" s="36"/>
      <c r="T6885" s="36"/>
      <c r="U6885" s="36"/>
      <c r="V6885" s="37"/>
    </row>
    <row r="6886" spans="13:22" x14ac:dyDescent="0.2">
      <c r="M6886" s="33"/>
      <c r="N6886" s="29"/>
      <c r="O6886" s="29"/>
      <c r="P6886" s="29"/>
      <c r="Q6886" s="34"/>
      <c r="R6886" s="35"/>
      <c r="S6886" s="36"/>
      <c r="T6886" s="36"/>
      <c r="U6886" s="36"/>
      <c r="V6886" s="37"/>
    </row>
    <row r="6887" spans="13:22" x14ac:dyDescent="0.2">
      <c r="M6887" s="33"/>
      <c r="N6887" s="29"/>
      <c r="O6887" s="29"/>
      <c r="P6887" s="29"/>
      <c r="Q6887" s="34"/>
      <c r="R6887" s="35"/>
      <c r="S6887" s="36"/>
      <c r="T6887" s="36"/>
      <c r="U6887" s="36"/>
      <c r="V6887" s="37"/>
    </row>
    <row r="6888" spans="13:22" x14ac:dyDescent="0.2">
      <c r="M6888" s="33"/>
      <c r="N6888" s="29"/>
      <c r="O6888" s="29"/>
      <c r="P6888" s="29"/>
      <c r="Q6888" s="34"/>
      <c r="R6888" s="35"/>
      <c r="S6888" s="36"/>
      <c r="T6888" s="36"/>
      <c r="U6888" s="36"/>
      <c r="V6888" s="37"/>
    </row>
    <row r="6889" spans="13:22" x14ac:dyDescent="0.2">
      <c r="M6889" s="33"/>
      <c r="N6889" s="29"/>
      <c r="O6889" s="29"/>
      <c r="P6889" s="29"/>
      <c r="Q6889" s="38"/>
      <c r="R6889" s="35"/>
      <c r="S6889" s="36"/>
      <c r="T6889" s="36"/>
      <c r="U6889" s="36"/>
      <c r="V6889" s="37"/>
    </row>
    <row r="6890" spans="13:22" x14ac:dyDescent="0.2">
      <c r="M6890" s="33"/>
      <c r="N6890" s="29"/>
      <c r="O6890" s="29"/>
      <c r="P6890" s="29"/>
      <c r="Q6890" s="34"/>
      <c r="R6890" s="35"/>
      <c r="S6890" s="36"/>
      <c r="T6890" s="36"/>
      <c r="U6890" s="36"/>
      <c r="V6890" s="37"/>
    </row>
    <row r="6891" spans="13:22" x14ac:dyDescent="0.2">
      <c r="M6891" s="33"/>
      <c r="N6891" s="29"/>
      <c r="O6891" s="29"/>
      <c r="P6891" s="29"/>
      <c r="Q6891" s="34"/>
      <c r="R6891" s="35"/>
      <c r="S6891" s="36"/>
      <c r="T6891" s="36"/>
      <c r="U6891" s="36"/>
      <c r="V6891" s="37"/>
    </row>
    <row r="6892" spans="13:22" x14ac:dyDescent="0.2">
      <c r="M6892" s="33"/>
      <c r="N6892" s="29"/>
      <c r="O6892" s="29"/>
      <c r="P6892" s="29"/>
      <c r="Q6892" s="34"/>
      <c r="R6892" s="35"/>
      <c r="S6892" s="36"/>
      <c r="T6892" s="36"/>
      <c r="U6892" s="36"/>
      <c r="V6892" s="37"/>
    </row>
    <row r="6893" spans="13:22" x14ac:dyDescent="0.2">
      <c r="M6893" s="33"/>
      <c r="N6893" s="29"/>
      <c r="O6893" s="29"/>
      <c r="P6893" s="29"/>
      <c r="Q6893" s="34"/>
      <c r="R6893" s="35"/>
      <c r="S6893" s="36"/>
      <c r="T6893" s="36"/>
      <c r="U6893" s="36"/>
      <c r="V6893" s="37"/>
    </row>
    <row r="6894" spans="13:22" x14ac:dyDescent="0.2">
      <c r="M6894" s="26"/>
      <c r="N6894" s="15"/>
      <c r="O6894" s="15"/>
      <c r="P6894" s="15"/>
      <c r="Q6894" s="39"/>
      <c r="R6894" s="35"/>
      <c r="S6894" s="36"/>
      <c r="T6894" s="36"/>
      <c r="U6894" s="36"/>
      <c r="V6894" s="37"/>
    </row>
    <row r="6895" spans="13:22" x14ac:dyDescent="0.2">
      <c r="M6895" s="26"/>
      <c r="N6895" s="15"/>
      <c r="O6895" s="15"/>
      <c r="P6895" s="15"/>
      <c r="Q6895" s="39"/>
      <c r="R6895" s="35"/>
      <c r="S6895" s="36"/>
      <c r="T6895" s="36"/>
      <c r="U6895" s="36"/>
      <c r="V6895" s="37"/>
    </row>
    <row r="6896" spans="13:22" x14ac:dyDescent="0.2">
      <c r="M6896" s="40"/>
      <c r="N6896" s="15"/>
      <c r="O6896" s="15"/>
      <c r="P6896" s="15"/>
      <c r="Q6896" s="39"/>
      <c r="R6896" s="35"/>
      <c r="S6896" s="36"/>
      <c r="T6896" s="36"/>
      <c r="U6896" s="36"/>
      <c r="V6896" s="37"/>
    </row>
    <row r="6897" spans="13:22" x14ac:dyDescent="0.2">
      <c r="M6897" s="40"/>
      <c r="N6897" s="15"/>
      <c r="O6897" s="15"/>
      <c r="P6897" s="15"/>
      <c r="Q6897" s="39"/>
      <c r="R6897" s="41"/>
      <c r="S6897" s="36"/>
      <c r="T6897" s="36"/>
      <c r="U6897" s="36"/>
      <c r="V6897" s="37"/>
    </row>
    <row r="6898" spans="13:22" x14ac:dyDescent="0.2">
      <c r="M6898" s="40"/>
      <c r="N6898" s="15"/>
      <c r="O6898" s="15"/>
      <c r="P6898" s="15"/>
      <c r="Q6898" s="39"/>
      <c r="R6898" s="41"/>
      <c r="S6898" s="36"/>
      <c r="T6898" s="36"/>
      <c r="U6898" s="36"/>
      <c r="V6898" s="37"/>
    </row>
    <row r="6899" spans="13:22" x14ac:dyDescent="0.2">
      <c r="M6899" s="40"/>
      <c r="N6899" s="15"/>
      <c r="O6899" s="15"/>
      <c r="P6899" s="15"/>
      <c r="Q6899" s="39"/>
      <c r="R6899" s="41"/>
      <c r="S6899" s="36"/>
      <c r="T6899" s="36"/>
      <c r="U6899" s="36"/>
      <c r="V6899" s="37"/>
    </row>
    <row r="6900" spans="13:22" x14ac:dyDescent="0.2">
      <c r="M6900" s="40"/>
      <c r="N6900" s="15"/>
      <c r="O6900" s="15"/>
      <c r="P6900" s="15"/>
      <c r="Q6900" s="39"/>
      <c r="R6900" s="41"/>
      <c r="S6900" s="36"/>
      <c r="T6900" s="36"/>
      <c r="U6900" s="36"/>
      <c r="V6900" s="37"/>
    </row>
    <row r="6901" spans="13:22" x14ac:dyDescent="0.2">
      <c r="M6901" s="40"/>
      <c r="N6901" s="15"/>
      <c r="O6901" s="15"/>
      <c r="P6901" s="15"/>
      <c r="Q6901" s="39"/>
      <c r="R6901" s="41"/>
      <c r="S6901" s="36"/>
      <c r="T6901" s="36"/>
      <c r="U6901" s="36"/>
      <c r="V6901" s="37"/>
    </row>
    <row r="6902" spans="13:22" x14ac:dyDescent="0.2">
      <c r="M6902" s="40"/>
      <c r="N6902" s="15"/>
      <c r="O6902" s="15"/>
      <c r="P6902" s="15"/>
      <c r="Q6902" s="39"/>
      <c r="R6902" s="41"/>
      <c r="S6902" s="36"/>
      <c r="T6902" s="36"/>
      <c r="U6902" s="36"/>
      <c r="V6902" s="37"/>
    </row>
    <row r="6903" spans="13:22" x14ac:dyDescent="0.2">
      <c r="M6903" s="40"/>
      <c r="N6903" s="15"/>
      <c r="O6903" s="15"/>
      <c r="P6903" s="15"/>
      <c r="Q6903" s="39"/>
      <c r="R6903" s="41"/>
      <c r="S6903" s="36"/>
      <c r="T6903" s="36"/>
      <c r="U6903" s="36"/>
      <c r="V6903" s="37"/>
    </row>
    <row r="6904" spans="13:22" x14ac:dyDescent="0.2">
      <c r="M6904" s="40"/>
      <c r="N6904" s="15"/>
      <c r="O6904" s="15"/>
      <c r="P6904" s="15"/>
      <c r="Q6904" s="39"/>
      <c r="R6904" s="41"/>
      <c r="S6904" s="36"/>
      <c r="T6904" s="36"/>
      <c r="U6904" s="36"/>
      <c r="V6904" s="37"/>
    </row>
    <row r="6905" spans="13:22" x14ac:dyDescent="0.2">
      <c r="M6905" s="40"/>
      <c r="N6905" s="15"/>
      <c r="O6905" s="15"/>
      <c r="P6905" s="15"/>
      <c r="Q6905" s="39"/>
      <c r="R6905" s="41"/>
      <c r="S6905" s="36"/>
      <c r="T6905" s="36"/>
      <c r="U6905" s="36"/>
      <c r="V6905" s="37"/>
    </row>
    <row r="6906" spans="13:22" ht="13.5" thickBot="1" x14ac:dyDescent="0.25">
      <c r="M6906" s="42"/>
      <c r="N6906" s="43"/>
      <c r="O6906" s="43"/>
      <c r="P6906" s="43"/>
      <c r="Q6906" s="44"/>
      <c r="R6906" s="41"/>
      <c r="S6906" s="46"/>
      <c r="T6906" s="46"/>
      <c r="U6906" s="46"/>
      <c r="V6906" s="47"/>
    </row>
    <row r="6907" spans="13:22" ht="13.5" thickBot="1" x14ac:dyDescent="0.25">
      <c r="M6907" s="48"/>
      <c r="N6907" s="49"/>
      <c r="O6907" s="49"/>
      <c r="P6907" s="49"/>
      <c r="Q6907" s="50"/>
      <c r="R6907" s="45"/>
      <c r="S6907" s="52"/>
      <c r="T6907" s="52"/>
      <c r="U6907" s="52"/>
      <c r="V6907" s="53"/>
    </row>
    <row r="6908" spans="13:22" x14ac:dyDescent="0.2">
      <c r="M6908" s="54"/>
      <c r="N6908" s="29"/>
      <c r="O6908" s="29"/>
      <c r="P6908" s="29"/>
      <c r="Q6908" s="34"/>
      <c r="R6908" s="51"/>
      <c r="S6908" s="36"/>
      <c r="T6908" s="36"/>
      <c r="U6908" s="36"/>
      <c r="V6908" s="37"/>
    </row>
    <row r="6909" spans="13:22" x14ac:dyDescent="0.2">
      <c r="M6909" s="33"/>
      <c r="N6909" s="29"/>
      <c r="O6909" s="29"/>
      <c r="P6909" s="29"/>
      <c r="Q6909" s="34"/>
      <c r="R6909" s="41"/>
      <c r="S6909" s="36"/>
      <c r="T6909" s="36"/>
      <c r="U6909" s="36"/>
      <c r="V6909" s="37"/>
    </row>
    <row r="6910" spans="13:22" x14ac:dyDescent="0.2">
      <c r="M6910" s="33"/>
      <c r="N6910" s="29"/>
      <c r="O6910" s="29"/>
      <c r="P6910" s="29"/>
      <c r="Q6910" s="34"/>
      <c r="R6910" s="35"/>
      <c r="S6910" s="36"/>
      <c r="T6910" s="36"/>
      <c r="U6910" s="36"/>
      <c r="V6910" s="37"/>
    </row>
    <row r="6911" spans="13:22" x14ac:dyDescent="0.2">
      <c r="M6911" s="33"/>
      <c r="N6911" s="29"/>
      <c r="O6911" s="29"/>
      <c r="P6911" s="29"/>
      <c r="Q6911" s="34"/>
      <c r="R6911" s="35"/>
      <c r="S6911" s="36"/>
      <c r="T6911" s="36"/>
      <c r="U6911" s="36"/>
      <c r="V6911" s="37"/>
    </row>
    <row r="6912" spans="13:22" x14ac:dyDescent="0.2">
      <c r="M6912" s="33"/>
      <c r="N6912" s="29"/>
      <c r="O6912" s="29"/>
      <c r="P6912" s="29"/>
      <c r="Q6912" s="34"/>
      <c r="R6912" s="35"/>
      <c r="S6912" s="36"/>
      <c r="T6912" s="36"/>
      <c r="U6912" s="36"/>
      <c r="V6912" s="37"/>
    </row>
    <row r="6913" spans="13:22" x14ac:dyDescent="0.2">
      <c r="M6913" s="33"/>
      <c r="N6913" s="29"/>
      <c r="O6913" s="29"/>
      <c r="P6913" s="29"/>
      <c r="Q6913" s="34"/>
      <c r="R6913" s="35"/>
      <c r="S6913" s="36"/>
      <c r="T6913" s="36"/>
      <c r="U6913" s="36"/>
      <c r="V6913" s="37"/>
    </row>
    <row r="6914" spans="13:22" x14ac:dyDescent="0.2">
      <c r="M6914" s="33"/>
      <c r="N6914" s="29"/>
      <c r="O6914" s="29"/>
      <c r="P6914" s="29"/>
      <c r="Q6914" s="38"/>
      <c r="R6914" s="35"/>
      <c r="S6914" s="36"/>
      <c r="T6914" s="36"/>
      <c r="U6914" s="36"/>
      <c r="V6914" s="37"/>
    </row>
    <row r="6915" spans="13:22" x14ac:dyDescent="0.2">
      <c r="M6915" s="33"/>
      <c r="N6915" s="29"/>
      <c r="O6915" s="29"/>
      <c r="P6915" s="29"/>
      <c r="Q6915" s="34"/>
      <c r="R6915" s="35"/>
      <c r="S6915" s="36"/>
      <c r="T6915" s="36"/>
      <c r="U6915" s="36"/>
      <c r="V6915" s="37"/>
    </row>
    <row r="6916" spans="13:22" x14ac:dyDescent="0.2">
      <c r="M6916" s="33"/>
      <c r="N6916" s="29"/>
      <c r="O6916" s="29"/>
      <c r="P6916" s="29"/>
      <c r="Q6916" s="34"/>
      <c r="R6916" s="35"/>
      <c r="S6916" s="36"/>
      <c r="T6916" s="36"/>
      <c r="U6916" s="36"/>
      <c r="V6916" s="37"/>
    </row>
    <row r="6917" spans="13:22" x14ac:dyDescent="0.2">
      <c r="M6917" s="33"/>
      <c r="N6917" s="29"/>
      <c r="O6917" s="29"/>
      <c r="P6917" s="29"/>
      <c r="Q6917" s="34"/>
      <c r="R6917" s="35"/>
      <c r="S6917" s="36"/>
      <c r="T6917" s="36"/>
      <c r="U6917" s="36"/>
      <c r="V6917" s="37"/>
    </row>
    <row r="6918" spans="13:22" x14ac:dyDescent="0.2">
      <c r="M6918" s="33"/>
      <c r="N6918" s="29"/>
      <c r="O6918" s="29"/>
      <c r="P6918" s="29"/>
      <c r="Q6918" s="34"/>
      <c r="R6918" s="35"/>
      <c r="S6918" s="36"/>
      <c r="T6918" s="36"/>
      <c r="U6918" s="36"/>
      <c r="V6918" s="37"/>
    </row>
    <row r="6919" spans="13:22" x14ac:dyDescent="0.2">
      <c r="M6919" s="26"/>
      <c r="N6919" s="15"/>
      <c r="O6919" s="15"/>
      <c r="P6919" s="15"/>
      <c r="Q6919" s="39"/>
      <c r="R6919" s="35"/>
      <c r="S6919" s="36"/>
      <c r="T6919" s="36"/>
      <c r="U6919" s="36"/>
      <c r="V6919" s="37"/>
    </row>
    <row r="6920" spans="13:22" x14ac:dyDescent="0.2">
      <c r="M6920" s="26"/>
      <c r="N6920" s="15"/>
      <c r="O6920" s="15"/>
      <c r="P6920" s="15"/>
      <c r="Q6920" s="39"/>
      <c r="R6920" s="35"/>
      <c r="S6920" s="36"/>
      <c r="T6920" s="36"/>
      <c r="U6920" s="36"/>
      <c r="V6920" s="37"/>
    </row>
    <row r="6921" spans="13:22" x14ac:dyDescent="0.2">
      <c r="M6921" s="40"/>
      <c r="N6921" s="15"/>
      <c r="O6921" s="15"/>
      <c r="P6921" s="15"/>
      <c r="Q6921" s="39"/>
      <c r="R6921" s="35"/>
      <c r="S6921" s="36"/>
      <c r="T6921" s="36"/>
      <c r="U6921" s="36"/>
      <c r="V6921" s="37"/>
    </row>
    <row r="6922" spans="13:22" x14ac:dyDescent="0.2">
      <c r="M6922" s="40"/>
      <c r="N6922" s="15"/>
      <c r="O6922" s="15"/>
      <c r="P6922" s="15"/>
      <c r="Q6922" s="39"/>
      <c r="R6922" s="41"/>
      <c r="S6922" s="36"/>
      <c r="T6922" s="36"/>
      <c r="U6922" s="36"/>
      <c r="V6922" s="37"/>
    </row>
    <row r="6923" spans="13:22" x14ac:dyDescent="0.2">
      <c r="M6923" s="40"/>
      <c r="N6923" s="15"/>
      <c r="O6923" s="15"/>
      <c r="P6923" s="15"/>
      <c r="Q6923" s="39"/>
      <c r="R6923" s="41"/>
      <c r="S6923" s="36"/>
      <c r="T6923" s="36"/>
      <c r="U6923" s="36"/>
      <c r="V6923" s="37"/>
    </row>
    <row r="6924" spans="13:22" x14ac:dyDescent="0.2">
      <c r="M6924" s="40"/>
      <c r="N6924" s="15"/>
      <c r="O6924" s="15"/>
      <c r="P6924" s="15"/>
      <c r="Q6924" s="39"/>
      <c r="R6924" s="41"/>
      <c r="S6924" s="36"/>
      <c r="T6924" s="36"/>
      <c r="U6924" s="36"/>
      <c r="V6924" s="37"/>
    </row>
    <row r="6925" spans="13:22" x14ac:dyDescent="0.2">
      <c r="M6925" s="40"/>
      <c r="N6925" s="15"/>
      <c r="O6925" s="15"/>
      <c r="P6925" s="15"/>
      <c r="Q6925" s="39"/>
      <c r="R6925" s="41"/>
      <c r="S6925" s="36"/>
      <c r="T6925" s="36"/>
      <c r="U6925" s="36"/>
      <c r="V6925" s="37"/>
    </row>
    <row r="6926" spans="13:22" x14ac:dyDescent="0.2">
      <c r="M6926" s="40"/>
      <c r="N6926" s="15"/>
      <c r="O6926" s="15"/>
      <c r="P6926" s="15"/>
      <c r="Q6926" s="39"/>
      <c r="R6926" s="41"/>
      <c r="S6926" s="36"/>
      <c r="T6926" s="36"/>
      <c r="U6926" s="36"/>
      <c r="V6926" s="37"/>
    </row>
    <row r="6927" spans="13:22" x14ac:dyDescent="0.2">
      <c r="M6927" s="40"/>
      <c r="N6927" s="15"/>
      <c r="O6927" s="15"/>
      <c r="P6927" s="15"/>
      <c r="Q6927" s="39"/>
      <c r="R6927" s="41"/>
      <c r="S6927" s="36"/>
      <c r="T6927" s="36"/>
      <c r="U6927" s="36"/>
      <c r="V6927" s="37"/>
    </row>
    <row r="6928" spans="13:22" x14ac:dyDescent="0.2">
      <c r="M6928" s="40"/>
      <c r="N6928" s="15"/>
      <c r="O6928" s="15"/>
      <c r="P6928" s="15"/>
      <c r="Q6928" s="39"/>
      <c r="R6928" s="41"/>
      <c r="S6928" s="36"/>
      <c r="T6928" s="36"/>
      <c r="U6928" s="36"/>
      <c r="V6928" s="37"/>
    </row>
    <row r="6929" spans="13:22" x14ac:dyDescent="0.2">
      <c r="M6929" s="40"/>
      <c r="N6929" s="15"/>
      <c r="O6929" s="15"/>
      <c r="P6929" s="15"/>
      <c r="Q6929" s="39"/>
      <c r="R6929" s="41"/>
      <c r="S6929" s="36"/>
      <c r="T6929" s="36"/>
      <c r="U6929" s="36"/>
      <c r="V6929" s="37"/>
    </row>
    <row r="6930" spans="13:22" x14ac:dyDescent="0.2">
      <c r="M6930" s="40"/>
      <c r="N6930" s="15"/>
      <c r="O6930" s="15"/>
      <c r="P6930" s="15"/>
      <c r="Q6930" s="39"/>
      <c r="R6930" s="41"/>
      <c r="S6930" s="36"/>
      <c r="T6930" s="36"/>
      <c r="U6930" s="36"/>
      <c r="V6930" s="37"/>
    </row>
    <row r="6931" spans="13:22" ht="13.5" thickBot="1" x14ac:dyDescent="0.25">
      <c r="M6931" s="42"/>
      <c r="N6931" s="43"/>
      <c r="O6931" s="43"/>
      <c r="P6931" s="43"/>
      <c r="Q6931" s="44"/>
      <c r="R6931" s="41"/>
      <c r="S6931" s="46"/>
      <c r="T6931" s="46"/>
      <c r="U6931" s="46"/>
      <c r="V6931" s="47"/>
    </row>
    <row r="6932" spans="13:22" ht="13.5" thickBot="1" x14ac:dyDescent="0.25">
      <c r="M6932" s="48"/>
      <c r="N6932" s="49"/>
      <c r="O6932" s="49"/>
      <c r="P6932" s="49"/>
      <c r="Q6932" s="50"/>
      <c r="R6932" s="45"/>
      <c r="S6932" s="52"/>
      <c r="T6932" s="52"/>
      <c r="U6932" s="52"/>
      <c r="V6932" s="53"/>
    </row>
    <row r="6933" spans="13:22" x14ac:dyDescent="0.2">
      <c r="M6933" s="54"/>
      <c r="N6933" s="29"/>
      <c r="O6933" s="29"/>
      <c r="P6933" s="29"/>
      <c r="Q6933" s="34"/>
      <c r="R6933" s="51"/>
      <c r="S6933" s="36"/>
      <c r="T6933" s="36"/>
      <c r="U6933" s="36"/>
      <c r="V6933" s="37"/>
    </row>
    <row r="6934" spans="13:22" x14ac:dyDescent="0.2">
      <c r="M6934" s="33"/>
      <c r="N6934" s="29"/>
      <c r="O6934" s="29"/>
      <c r="P6934" s="29"/>
      <c r="Q6934" s="34"/>
      <c r="R6934" s="41"/>
      <c r="S6934" s="36"/>
      <c r="T6934" s="36"/>
      <c r="U6934" s="36"/>
      <c r="V6934" s="37"/>
    </row>
    <row r="6935" spans="13:22" x14ac:dyDescent="0.2">
      <c r="M6935" s="33"/>
      <c r="N6935" s="29"/>
      <c r="O6935" s="29"/>
      <c r="P6935" s="29"/>
      <c r="Q6935" s="34"/>
      <c r="R6935" s="35"/>
      <c r="S6935" s="36"/>
      <c r="T6935" s="36"/>
      <c r="U6935" s="36"/>
      <c r="V6935" s="37"/>
    </row>
    <row r="6936" spans="13:22" x14ac:dyDescent="0.2">
      <c r="M6936" s="33"/>
      <c r="N6936" s="29"/>
      <c r="O6936" s="29"/>
      <c r="P6936" s="29"/>
      <c r="Q6936" s="34"/>
      <c r="R6936" s="35"/>
      <c r="S6936" s="36"/>
      <c r="T6936" s="36"/>
      <c r="U6936" s="36"/>
      <c r="V6936" s="37"/>
    </row>
    <row r="6937" spans="13:22" x14ac:dyDescent="0.2">
      <c r="M6937" s="33"/>
      <c r="N6937" s="29"/>
      <c r="O6937" s="29"/>
      <c r="P6937" s="29"/>
      <c r="Q6937" s="34"/>
      <c r="R6937" s="35"/>
      <c r="S6937" s="36"/>
      <c r="T6937" s="36"/>
      <c r="U6937" s="36"/>
      <c r="V6937" s="37"/>
    </row>
    <row r="6938" spans="13:22" x14ac:dyDescent="0.2">
      <c r="M6938" s="33"/>
      <c r="N6938" s="29"/>
      <c r="O6938" s="29"/>
      <c r="P6938" s="29"/>
      <c r="Q6938" s="34"/>
      <c r="R6938" s="35"/>
      <c r="S6938" s="36"/>
      <c r="T6938" s="36"/>
      <c r="U6938" s="36"/>
      <c r="V6938" s="37"/>
    </row>
    <row r="6939" spans="13:22" x14ac:dyDescent="0.2">
      <c r="M6939" s="33"/>
      <c r="N6939" s="29"/>
      <c r="O6939" s="29"/>
      <c r="P6939" s="29"/>
      <c r="Q6939" s="38"/>
      <c r="R6939" s="35"/>
      <c r="S6939" s="36"/>
      <c r="T6939" s="36"/>
      <c r="U6939" s="36"/>
      <c r="V6939" s="37"/>
    </row>
    <row r="6940" spans="13:22" x14ac:dyDescent="0.2">
      <c r="M6940" s="33"/>
      <c r="N6940" s="29"/>
      <c r="O6940" s="29"/>
      <c r="P6940" s="29"/>
      <c r="Q6940" s="34"/>
      <c r="R6940" s="35"/>
      <c r="S6940" s="36"/>
      <c r="T6940" s="36"/>
      <c r="U6940" s="36"/>
      <c r="V6940" s="37"/>
    </row>
    <row r="6941" spans="13:22" x14ac:dyDescent="0.2">
      <c r="M6941" s="33"/>
      <c r="N6941" s="29"/>
      <c r="O6941" s="29"/>
      <c r="P6941" s="29"/>
      <c r="Q6941" s="34"/>
      <c r="R6941" s="35"/>
      <c r="S6941" s="36"/>
      <c r="T6941" s="36"/>
      <c r="U6941" s="36"/>
      <c r="V6941" s="37"/>
    </row>
    <row r="6942" spans="13:22" x14ac:dyDescent="0.2">
      <c r="M6942" s="33"/>
      <c r="N6942" s="29"/>
      <c r="O6942" s="29"/>
      <c r="P6942" s="29"/>
      <c r="Q6942" s="34"/>
      <c r="R6942" s="35"/>
      <c r="S6942" s="36"/>
      <c r="T6942" s="36"/>
      <c r="U6942" s="36"/>
      <c r="V6942" s="37"/>
    </row>
    <row r="6943" spans="13:22" x14ac:dyDescent="0.2">
      <c r="M6943" s="33"/>
      <c r="N6943" s="29"/>
      <c r="O6943" s="29"/>
      <c r="P6943" s="29"/>
      <c r="Q6943" s="34"/>
      <c r="R6943" s="35"/>
      <c r="S6943" s="36"/>
      <c r="T6943" s="36"/>
      <c r="U6943" s="36"/>
      <c r="V6943" s="37"/>
    </row>
    <row r="6944" spans="13:22" x14ac:dyDescent="0.2">
      <c r="M6944" s="26"/>
      <c r="N6944" s="15"/>
      <c r="O6944" s="15"/>
      <c r="P6944" s="15"/>
      <c r="Q6944" s="39"/>
      <c r="R6944" s="35"/>
      <c r="S6944" s="36"/>
      <c r="T6944" s="36"/>
      <c r="U6944" s="36"/>
      <c r="V6944" s="37"/>
    </row>
    <row r="6945" spans="13:22" x14ac:dyDescent="0.2">
      <c r="M6945" s="26"/>
      <c r="N6945" s="15"/>
      <c r="O6945" s="15"/>
      <c r="P6945" s="15"/>
      <c r="Q6945" s="39"/>
      <c r="R6945" s="35"/>
      <c r="S6945" s="36"/>
      <c r="T6945" s="36"/>
      <c r="U6945" s="36"/>
      <c r="V6945" s="37"/>
    </row>
    <row r="6946" spans="13:22" x14ac:dyDescent="0.2">
      <c r="M6946" s="40"/>
      <c r="N6946" s="15"/>
      <c r="O6946" s="15"/>
      <c r="P6946" s="15"/>
      <c r="Q6946" s="39"/>
      <c r="R6946" s="35"/>
      <c r="S6946" s="36"/>
      <c r="T6946" s="36"/>
      <c r="U6946" s="36"/>
      <c r="V6946" s="37"/>
    </row>
    <row r="6947" spans="13:22" x14ac:dyDescent="0.2">
      <c r="M6947" s="40"/>
      <c r="N6947" s="15"/>
      <c r="O6947" s="15"/>
      <c r="P6947" s="15"/>
      <c r="Q6947" s="39"/>
      <c r="R6947" s="41"/>
      <c r="S6947" s="36"/>
      <c r="T6947" s="36"/>
      <c r="U6947" s="36"/>
      <c r="V6947" s="37"/>
    </row>
    <row r="6948" spans="13:22" x14ac:dyDescent="0.2">
      <c r="M6948" s="40"/>
      <c r="N6948" s="15"/>
      <c r="O6948" s="15"/>
      <c r="P6948" s="15"/>
      <c r="Q6948" s="39"/>
      <c r="R6948" s="41"/>
      <c r="S6948" s="36"/>
      <c r="T6948" s="36"/>
      <c r="U6948" s="36"/>
      <c r="V6948" s="37"/>
    </row>
    <row r="6949" spans="13:22" x14ac:dyDescent="0.2">
      <c r="M6949" s="40"/>
      <c r="N6949" s="15"/>
      <c r="O6949" s="15"/>
      <c r="P6949" s="15"/>
      <c r="Q6949" s="39"/>
      <c r="R6949" s="41"/>
      <c r="S6949" s="36"/>
      <c r="T6949" s="36"/>
      <c r="U6949" s="36"/>
      <c r="V6949" s="37"/>
    </row>
    <row r="6950" spans="13:22" x14ac:dyDescent="0.2">
      <c r="M6950" s="40"/>
      <c r="N6950" s="15"/>
      <c r="O6950" s="15"/>
      <c r="P6950" s="15"/>
      <c r="Q6950" s="39"/>
      <c r="R6950" s="41"/>
      <c r="S6950" s="36"/>
      <c r="T6950" s="36"/>
      <c r="U6950" s="36"/>
      <c r="V6950" s="37"/>
    </row>
    <row r="6951" spans="13:22" x14ac:dyDescent="0.2">
      <c r="M6951" s="40"/>
      <c r="N6951" s="15"/>
      <c r="O6951" s="15"/>
      <c r="P6951" s="15"/>
      <c r="Q6951" s="39"/>
      <c r="R6951" s="41"/>
      <c r="S6951" s="36"/>
      <c r="T6951" s="36"/>
      <c r="U6951" s="36"/>
      <c r="V6951" s="37"/>
    </row>
    <row r="6952" spans="13:22" x14ac:dyDescent="0.2">
      <c r="M6952" s="40"/>
      <c r="N6952" s="15"/>
      <c r="O6952" s="15"/>
      <c r="P6952" s="15"/>
      <c r="Q6952" s="39"/>
      <c r="R6952" s="41"/>
      <c r="S6952" s="36"/>
      <c r="T6952" s="36"/>
      <c r="U6952" s="36"/>
      <c r="V6952" s="37"/>
    </row>
    <row r="6953" spans="13:22" x14ac:dyDescent="0.2">
      <c r="M6953" s="40"/>
      <c r="N6953" s="15"/>
      <c r="O6953" s="15"/>
      <c r="P6953" s="15"/>
      <c r="Q6953" s="39"/>
      <c r="R6953" s="41"/>
      <c r="S6953" s="36"/>
      <c r="T6953" s="36"/>
      <c r="U6953" s="36"/>
      <c r="V6953" s="37"/>
    </row>
    <row r="6954" spans="13:22" x14ac:dyDescent="0.2">
      <c r="M6954" s="40"/>
      <c r="N6954" s="15"/>
      <c r="O6954" s="15"/>
      <c r="P6954" s="15"/>
      <c r="Q6954" s="39"/>
      <c r="R6954" s="41"/>
      <c r="S6954" s="36"/>
      <c r="T6954" s="36"/>
      <c r="U6954" s="36"/>
      <c r="V6954" s="37"/>
    </row>
    <row r="6955" spans="13:22" x14ac:dyDescent="0.2">
      <c r="M6955" s="40"/>
      <c r="N6955" s="15"/>
      <c r="O6955" s="15"/>
      <c r="P6955" s="15"/>
      <c r="Q6955" s="39"/>
      <c r="R6955" s="41"/>
      <c r="S6955" s="36"/>
      <c r="T6955" s="36"/>
      <c r="U6955" s="36"/>
      <c r="V6955" s="37"/>
    </row>
    <row r="6956" spans="13:22" ht="13.5" thickBot="1" x14ac:dyDescent="0.25">
      <c r="M6956" s="42"/>
      <c r="N6956" s="43"/>
      <c r="O6956" s="43"/>
      <c r="P6956" s="43"/>
      <c r="Q6956" s="44"/>
      <c r="R6956" s="41"/>
      <c r="S6956" s="46"/>
      <c r="T6956" s="46"/>
      <c r="U6956" s="46"/>
      <c r="V6956" s="47"/>
    </row>
    <row r="6957" spans="13:22" ht="13.5" thickBot="1" x14ac:dyDescent="0.25">
      <c r="M6957" s="48"/>
      <c r="N6957" s="49"/>
      <c r="O6957" s="49"/>
      <c r="P6957" s="49"/>
      <c r="Q6957" s="50"/>
      <c r="R6957" s="45"/>
      <c r="S6957" s="52"/>
      <c r="T6957" s="52"/>
      <c r="U6957" s="52"/>
      <c r="V6957" s="53"/>
    </row>
    <row r="6958" spans="13:22" x14ac:dyDescent="0.2">
      <c r="M6958" s="54"/>
      <c r="N6958" s="29"/>
      <c r="O6958" s="29"/>
      <c r="P6958" s="29"/>
      <c r="Q6958" s="34"/>
      <c r="R6958" s="51"/>
      <c r="S6958" s="36"/>
      <c r="T6958" s="36"/>
      <c r="U6958" s="36"/>
      <c r="V6958" s="37"/>
    </row>
    <row r="6959" spans="13:22" x14ac:dyDescent="0.2">
      <c r="M6959" s="33"/>
      <c r="N6959" s="29"/>
      <c r="O6959" s="29"/>
      <c r="P6959" s="29"/>
      <c r="Q6959" s="34"/>
      <c r="R6959" s="41"/>
      <c r="S6959" s="36"/>
      <c r="T6959" s="36"/>
      <c r="U6959" s="36"/>
      <c r="V6959" s="37"/>
    </row>
    <row r="6960" spans="13:22" x14ac:dyDescent="0.2">
      <c r="M6960" s="33"/>
      <c r="N6960" s="29"/>
      <c r="O6960" s="29"/>
      <c r="P6960" s="29"/>
      <c r="Q6960" s="34"/>
      <c r="R6960" s="35"/>
      <c r="S6960" s="36"/>
      <c r="T6960" s="36"/>
      <c r="U6960" s="36"/>
      <c r="V6960" s="37"/>
    </row>
    <row r="6961" spans="13:22" x14ac:dyDescent="0.2">
      <c r="M6961" s="33"/>
      <c r="N6961" s="29"/>
      <c r="O6961" s="29"/>
      <c r="P6961" s="29"/>
      <c r="Q6961" s="34"/>
      <c r="R6961" s="35"/>
      <c r="S6961" s="36"/>
      <c r="T6961" s="36"/>
      <c r="U6961" s="36"/>
      <c r="V6961" s="37"/>
    </row>
    <row r="6962" spans="13:22" x14ac:dyDescent="0.2">
      <c r="M6962" s="33"/>
      <c r="N6962" s="29"/>
      <c r="O6962" s="29"/>
      <c r="P6962" s="29"/>
      <c r="Q6962" s="34"/>
      <c r="R6962" s="35"/>
      <c r="S6962" s="36"/>
      <c r="T6962" s="36"/>
      <c r="U6962" s="36"/>
      <c r="V6962" s="37"/>
    </row>
    <row r="6963" spans="13:22" x14ac:dyDescent="0.2">
      <c r="M6963" s="33"/>
      <c r="N6963" s="29"/>
      <c r="O6963" s="29"/>
      <c r="P6963" s="29"/>
      <c r="Q6963" s="34"/>
      <c r="R6963" s="35"/>
      <c r="S6963" s="36"/>
      <c r="T6963" s="36"/>
      <c r="U6963" s="36"/>
      <c r="V6963" s="37"/>
    </row>
    <row r="6964" spans="13:22" x14ac:dyDescent="0.2">
      <c r="M6964" s="33"/>
      <c r="N6964" s="29"/>
      <c r="O6964" s="29"/>
      <c r="P6964" s="29"/>
      <c r="Q6964" s="38"/>
      <c r="R6964" s="35"/>
      <c r="S6964" s="36"/>
      <c r="T6964" s="36"/>
      <c r="U6964" s="36"/>
      <c r="V6964" s="37"/>
    </row>
    <row r="6965" spans="13:22" x14ac:dyDescent="0.2">
      <c r="M6965" s="33"/>
      <c r="N6965" s="29"/>
      <c r="O6965" s="29"/>
      <c r="P6965" s="29"/>
      <c r="Q6965" s="34"/>
      <c r="R6965" s="35"/>
      <c r="S6965" s="36"/>
      <c r="T6965" s="36"/>
      <c r="U6965" s="36"/>
      <c r="V6965" s="37"/>
    </row>
    <row r="6966" spans="13:22" x14ac:dyDescent="0.2">
      <c r="M6966" s="33"/>
      <c r="N6966" s="29"/>
      <c r="O6966" s="29"/>
      <c r="P6966" s="29"/>
      <c r="Q6966" s="34"/>
      <c r="R6966" s="35"/>
      <c r="S6966" s="36"/>
      <c r="T6966" s="36"/>
      <c r="U6966" s="36"/>
      <c r="V6966" s="37"/>
    </row>
    <row r="6967" spans="13:22" x14ac:dyDescent="0.2">
      <c r="M6967" s="33"/>
      <c r="N6967" s="29"/>
      <c r="O6967" s="29"/>
      <c r="P6967" s="29"/>
      <c r="Q6967" s="34"/>
      <c r="R6967" s="35"/>
      <c r="S6967" s="36"/>
      <c r="T6967" s="36"/>
      <c r="U6967" s="36"/>
      <c r="V6967" s="37"/>
    </row>
    <row r="6968" spans="13:22" x14ac:dyDescent="0.2">
      <c r="M6968" s="33"/>
      <c r="N6968" s="29"/>
      <c r="O6968" s="29"/>
      <c r="P6968" s="29"/>
      <c r="Q6968" s="34"/>
      <c r="R6968" s="35"/>
      <c r="S6968" s="36"/>
      <c r="T6968" s="36"/>
      <c r="U6968" s="36"/>
      <c r="V6968" s="37"/>
    </row>
    <row r="6969" spans="13:22" x14ac:dyDescent="0.2">
      <c r="M6969" s="26"/>
      <c r="N6969" s="15"/>
      <c r="O6969" s="15"/>
      <c r="P6969" s="15"/>
      <c r="Q6969" s="39"/>
      <c r="R6969" s="35"/>
      <c r="S6969" s="36"/>
      <c r="T6969" s="36"/>
      <c r="U6969" s="36"/>
      <c r="V6969" s="37"/>
    </row>
    <row r="6970" spans="13:22" x14ac:dyDescent="0.2">
      <c r="M6970" s="26"/>
      <c r="N6970" s="15"/>
      <c r="O6970" s="15"/>
      <c r="P6970" s="15"/>
      <c r="Q6970" s="39"/>
      <c r="R6970" s="35"/>
      <c r="S6970" s="36"/>
      <c r="T6970" s="36"/>
      <c r="U6970" s="36"/>
      <c r="V6970" s="37"/>
    </row>
    <row r="6971" spans="13:22" x14ac:dyDescent="0.2">
      <c r="M6971" s="40"/>
      <c r="N6971" s="15"/>
      <c r="O6971" s="15"/>
      <c r="P6971" s="15"/>
      <c r="Q6971" s="39"/>
      <c r="R6971" s="35"/>
      <c r="S6971" s="36"/>
      <c r="T6971" s="36"/>
      <c r="U6971" s="36"/>
      <c r="V6971" s="37"/>
    </row>
    <row r="6972" spans="13:22" x14ac:dyDescent="0.2">
      <c r="M6972" s="40"/>
      <c r="N6972" s="15"/>
      <c r="O6972" s="15"/>
      <c r="P6972" s="15"/>
      <c r="Q6972" s="39"/>
      <c r="R6972" s="41"/>
      <c r="S6972" s="36"/>
      <c r="T6972" s="36"/>
      <c r="U6972" s="36"/>
      <c r="V6972" s="37"/>
    </row>
    <row r="6973" spans="13:22" x14ac:dyDescent="0.2">
      <c r="M6973" s="40"/>
      <c r="N6973" s="15"/>
      <c r="O6973" s="15"/>
      <c r="P6973" s="15"/>
      <c r="Q6973" s="39"/>
      <c r="R6973" s="41"/>
      <c r="S6973" s="36"/>
      <c r="T6973" s="36"/>
      <c r="U6973" s="36"/>
      <c r="V6973" s="37"/>
    </row>
    <row r="6974" spans="13:22" x14ac:dyDescent="0.2">
      <c r="M6974" s="40"/>
      <c r="N6974" s="15"/>
      <c r="O6974" s="15"/>
      <c r="P6974" s="15"/>
      <c r="Q6974" s="39"/>
      <c r="R6974" s="41"/>
      <c r="S6974" s="36"/>
      <c r="T6974" s="36"/>
      <c r="U6974" s="36"/>
      <c r="V6974" s="37"/>
    </row>
    <row r="6975" spans="13:22" x14ac:dyDescent="0.2">
      <c r="M6975" s="40"/>
      <c r="N6975" s="15"/>
      <c r="O6975" s="15"/>
      <c r="P6975" s="15"/>
      <c r="Q6975" s="39"/>
      <c r="R6975" s="41"/>
      <c r="S6975" s="36"/>
      <c r="T6975" s="36"/>
      <c r="U6975" s="36"/>
      <c r="V6975" s="37"/>
    </row>
    <row r="6976" spans="13:22" x14ac:dyDescent="0.2">
      <c r="M6976" s="40"/>
      <c r="N6976" s="15"/>
      <c r="O6976" s="15"/>
      <c r="P6976" s="15"/>
      <c r="Q6976" s="39"/>
      <c r="R6976" s="41"/>
      <c r="S6976" s="36"/>
      <c r="T6976" s="36"/>
      <c r="U6976" s="36"/>
      <c r="V6976" s="37"/>
    </row>
    <row r="6977" spans="13:22" x14ac:dyDescent="0.2">
      <c r="M6977" s="40"/>
      <c r="N6977" s="15"/>
      <c r="O6977" s="15"/>
      <c r="P6977" s="15"/>
      <c r="Q6977" s="39"/>
      <c r="R6977" s="41"/>
      <c r="S6977" s="36"/>
      <c r="T6977" s="36"/>
      <c r="U6977" s="36"/>
      <c r="V6977" s="37"/>
    </row>
    <row r="6978" spans="13:22" x14ac:dyDescent="0.2">
      <c r="M6978" s="40"/>
      <c r="N6978" s="15"/>
      <c r="O6978" s="15"/>
      <c r="P6978" s="15"/>
      <c r="Q6978" s="39"/>
      <c r="R6978" s="41"/>
      <c r="S6978" s="36"/>
      <c r="T6978" s="36"/>
      <c r="U6978" s="36"/>
      <c r="V6978" s="37"/>
    </row>
    <row r="6979" spans="13:22" x14ac:dyDescent="0.2">
      <c r="M6979" s="40"/>
      <c r="N6979" s="15"/>
      <c r="O6979" s="15"/>
      <c r="P6979" s="15"/>
      <c r="Q6979" s="39"/>
      <c r="R6979" s="41"/>
      <c r="S6979" s="36"/>
      <c r="T6979" s="36"/>
      <c r="U6979" s="36"/>
      <c r="V6979" s="37"/>
    </row>
    <row r="6980" spans="13:22" x14ac:dyDescent="0.2">
      <c r="M6980" s="40"/>
      <c r="N6980" s="15"/>
      <c r="O6980" s="15"/>
      <c r="P6980" s="15"/>
      <c r="Q6980" s="39"/>
      <c r="R6980" s="41"/>
      <c r="S6980" s="36"/>
      <c r="T6980" s="36"/>
      <c r="U6980" s="36"/>
      <c r="V6980" s="37"/>
    </row>
    <row r="6981" spans="13:22" ht="13.5" thickBot="1" x14ac:dyDescent="0.25">
      <c r="M6981" s="42"/>
      <c r="N6981" s="43"/>
      <c r="O6981" s="43"/>
      <c r="P6981" s="43"/>
      <c r="Q6981" s="44"/>
      <c r="R6981" s="41"/>
      <c r="S6981" s="46"/>
      <c r="T6981" s="46"/>
      <c r="U6981" s="46"/>
      <c r="V6981" s="47"/>
    </row>
    <row r="6982" spans="13:22" ht="13.5" thickBot="1" x14ac:dyDescent="0.25">
      <c r="M6982" s="48"/>
      <c r="N6982" s="49"/>
      <c r="O6982" s="49"/>
      <c r="P6982" s="49"/>
      <c r="Q6982" s="50"/>
      <c r="R6982" s="45"/>
      <c r="S6982" s="52"/>
      <c r="T6982" s="52"/>
      <c r="U6982" s="52"/>
      <c r="V6982" s="53"/>
    </row>
    <row r="6983" spans="13:22" x14ac:dyDescent="0.2">
      <c r="M6983" s="54"/>
      <c r="N6983" s="29"/>
      <c r="O6983" s="29"/>
      <c r="P6983" s="29"/>
      <c r="Q6983" s="34"/>
      <c r="R6983" s="51"/>
      <c r="S6983" s="36"/>
      <c r="T6983" s="36"/>
      <c r="U6983" s="36"/>
      <c r="V6983" s="37"/>
    </row>
    <row r="6984" spans="13:22" x14ac:dyDescent="0.2">
      <c r="M6984" s="33"/>
      <c r="N6984" s="29"/>
      <c r="O6984" s="29"/>
      <c r="P6984" s="29"/>
      <c r="Q6984" s="34"/>
      <c r="R6984" s="41"/>
      <c r="S6984" s="36"/>
      <c r="T6984" s="36"/>
      <c r="U6984" s="36"/>
      <c r="V6984" s="37"/>
    </row>
    <row r="6985" spans="13:22" x14ac:dyDescent="0.2">
      <c r="M6985" s="33"/>
      <c r="N6985" s="29"/>
      <c r="O6985" s="29"/>
      <c r="P6985" s="29"/>
      <c r="Q6985" s="34"/>
      <c r="R6985" s="35"/>
      <c r="S6985" s="36"/>
      <c r="T6985" s="36"/>
      <c r="U6985" s="36"/>
      <c r="V6985" s="37"/>
    </row>
    <row r="6986" spans="13:22" x14ac:dyDescent="0.2">
      <c r="M6986" s="33"/>
      <c r="N6986" s="29"/>
      <c r="O6986" s="29"/>
      <c r="P6986" s="29"/>
      <c r="Q6986" s="34"/>
      <c r="R6986" s="35"/>
      <c r="S6986" s="36"/>
      <c r="T6986" s="36"/>
      <c r="U6986" s="36"/>
      <c r="V6986" s="37"/>
    </row>
    <row r="6987" spans="13:22" x14ac:dyDescent="0.2">
      <c r="M6987" s="33"/>
      <c r="N6987" s="29"/>
      <c r="O6987" s="29"/>
      <c r="P6987" s="29"/>
      <c r="Q6987" s="34"/>
      <c r="R6987" s="35"/>
      <c r="S6987" s="36"/>
      <c r="T6987" s="36"/>
      <c r="U6987" s="36"/>
      <c r="V6987" s="37"/>
    </row>
    <row r="6988" spans="13:22" x14ac:dyDescent="0.2">
      <c r="M6988" s="33"/>
      <c r="N6988" s="29"/>
      <c r="O6988" s="29"/>
      <c r="P6988" s="29"/>
      <c r="Q6988" s="34"/>
      <c r="R6988" s="35"/>
      <c r="S6988" s="36"/>
      <c r="T6988" s="36"/>
      <c r="U6988" s="36"/>
      <c r="V6988" s="37"/>
    </row>
    <row r="6989" spans="13:22" x14ac:dyDescent="0.2">
      <c r="M6989" s="33"/>
      <c r="N6989" s="29"/>
      <c r="O6989" s="29"/>
      <c r="P6989" s="29"/>
      <c r="Q6989" s="38"/>
      <c r="R6989" s="35"/>
      <c r="S6989" s="36"/>
      <c r="T6989" s="36"/>
      <c r="U6989" s="36"/>
      <c r="V6989" s="37"/>
    </row>
    <row r="6990" spans="13:22" x14ac:dyDescent="0.2">
      <c r="M6990" s="33"/>
      <c r="N6990" s="29"/>
      <c r="O6990" s="29"/>
      <c r="P6990" s="29"/>
      <c r="Q6990" s="34"/>
      <c r="R6990" s="35"/>
      <c r="S6990" s="36"/>
      <c r="T6990" s="36"/>
      <c r="U6990" s="36"/>
      <c r="V6990" s="37"/>
    </row>
    <row r="6991" spans="13:22" x14ac:dyDescent="0.2">
      <c r="M6991" s="33"/>
      <c r="N6991" s="29"/>
      <c r="O6991" s="29"/>
      <c r="P6991" s="29"/>
      <c r="Q6991" s="34"/>
      <c r="R6991" s="35"/>
      <c r="S6991" s="36"/>
      <c r="T6991" s="36"/>
      <c r="U6991" s="36"/>
      <c r="V6991" s="37"/>
    </row>
    <row r="6992" spans="13:22" x14ac:dyDescent="0.2">
      <c r="M6992" s="33"/>
      <c r="N6992" s="29"/>
      <c r="O6992" s="29"/>
      <c r="P6992" s="29"/>
      <c r="Q6992" s="34"/>
      <c r="R6992" s="35"/>
      <c r="S6992" s="36"/>
      <c r="T6992" s="36"/>
      <c r="U6992" s="36"/>
      <c r="V6992" s="37"/>
    </row>
    <row r="6993" spans="13:22" x14ac:dyDescent="0.2">
      <c r="M6993" s="33"/>
      <c r="N6993" s="29"/>
      <c r="O6993" s="29"/>
      <c r="P6993" s="29"/>
      <c r="Q6993" s="34"/>
      <c r="R6993" s="35"/>
      <c r="S6993" s="36"/>
      <c r="T6993" s="36"/>
      <c r="U6993" s="36"/>
      <c r="V6993" s="37"/>
    </row>
    <row r="6994" spans="13:22" x14ac:dyDescent="0.2">
      <c r="M6994" s="26"/>
      <c r="N6994" s="15"/>
      <c r="O6994" s="15"/>
      <c r="P6994" s="15"/>
      <c r="Q6994" s="39"/>
      <c r="R6994" s="35"/>
      <c r="S6994" s="36"/>
      <c r="T6994" s="36"/>
      <c r="U6994" s="36"/>
      <c r="V6994" s="37"/>
    </row>
    <row r="6995" spans="13:22" x14ac:dyDescent="0.2">
      <c r="M6995" s="26"/>
      <c r="N6995" s="15"/>
      <c r="O6995" s="15"/>
      <c r="P6995" s="15"/>
      <c r="Q6995" s="39"/>
      <c r="R6995" s="35"/>
      <c r="S6995" s="36"/>
      <c r="T6995" s="36"/>
      <c r="U6995" s="36"/>
      <c r="V6995" s="37"/>
    </row>
    <row r="6996" spans="13:22" x14ac:dyDescent="0.2">
      <c r="M6996" s="40"/>
      <c r="N6996" s="15"/>
      <c r="O6996" s="15"/>
      <c r="P6996" s="15"/>
      <c r="Q6996" s="39"/>
      <c r="R6996" s="35"/>
      <c r="S6996" s="36"/>
      <c r="T6996" s="36"/>
      <c r="U6996" s="36"/>
      <c r="V6996" s="37"/>
    </row>
    <row r="6997" spans="13:22" x14ac:dyDescent="0.2">
      <c r="M6997" s="40"/>
      <c r="N6997" s="15"/>
      <c r="O6997" s="15"/>
      <c r="P6997" s="15"/>
      <c r="Q6997" s="39"/>
      <c r="R6997" s="41"/>
      <c r="S6997" s="36"/>
      <c r="T6997" s="36"/>
      <c r="U6997" s="36"/>
      <c r="V6997" s="37"/>
    </row>
    <row r="6998" spans="13:22" x14ac:dyDescent="0.2">
      <c r="M6998" s="40"/>
      <c r="N6998" s="15"/>
      <c r="O6998" s="15"/>
      <c r="P6998" s="15"/>
      <c r="Q6998" s="39"/>
      <c r="R6998" s="41"/>
      <c r="S6998" s="36"/>
      <c r="T6998" s="36"/>
      <c r="U6998" s="36"/>
      <c r="V6998" s="37"/>
    </row>
    <row r="6999" spans="13:22" x14ac:dyDescent="0.2">
      <c r="M6999" s="40"/>
      <c r="N6999" s="15"/>
      <c r="O6999" s="15"/>
      <c r="P6999" s="15"/>
      <c r="Q6999" s="39"/>
      <c r="R6999" s="41"/>
      <c r="S6999" s="36"/>
      <c r="T6999" s="36"/>
      <c r="U6999" s="36"/>
      <c r="V6999" s="37"/>
    </row>
    <row r="7000" spans="13:22" x14ac:dyDescent="0.2">
      <c r="M7000" s="40"/>
      <c r="N7000" s="15"/>
      <c r="O7000" s="15"/>
      <c r="P7000" s="15"/>
      <c r="Q7000" s="39"/>
      <c r="R7000" s="41"/>
      <c r="S7000" s="36"/>
      <c r="T7000" s="36"/>
      <c r="U7000" s="36"/>
      <c r="V7000" s="37"/>
    </row>
    <row r="7001" spans="13:22" x14ac:dyDescent="0.2">
      <c r="M7001" s="40"/>
      <c r="N7001" s="15"/>
      <c r="O7001" s="15"/>
      <c r="P7001" s="15"/>
      <c r="Q7001" s="39"/>
      <c r="R7001" s="41"/>
      <c r="S7001" s="36"/>
      <c r="T7001" s="36"/>
      <c r="U7001" s="36"/>
      <c r="V7001" s="37"/>
    </row>
    <row r="7002" spans="13:22" x14ac:dyDescent="0.2">
      <c r="M7002" s="40"/>
      <c r="N7002" s="15"/>
      <c r="O7002" s="15"/>
      <c r="P7002" s="15"/>
      <c r="Q7002" s="39"/>
      <c r="R7002" s="41"/>
      <c r="S7002" s="36"/>
      <c r="T7002" s="36"/>
      <c r="U7002" s="36"/>
      <c r="V7002" s="37"/>
    </row>
    <row r="7003" spans="13:22" x14ac:dyDescent="0.2">
      <c r="M7003" s="40"/>
      <c r="N7003" s="15"/>
      <c r="O7003" s="15"/>
      <c r="P7003" s="15"/>
      <c r="Q7003" s="39"/>
      <c r="R7003" s="41"/>
      <c r="S7003" s="36"/>
      <c r="T7003" s="36"/>
      <c r="U7003" s="36"/>
      <c r="V7003" s="37"/>
    </row>
    <row r="7004" spans="13:22" x14ac:dyDescent="0.2">
      <c r="M7004" s="40"/>
      <c r="N7004" s="15"/>
      <c r="O7004" s="15"/>
      <c r="P7004" s="15"/>
      <c r="Q7004" s="39"/>
      <c r="R7004" s="41"/>
      <c r="S7004" s="36"/>
      <c r="T7004" s="36"/>
      <c r="U7004" s="36"/>
      <c r="V7004" s="37"/>
    </row>
    <row r="7005" spans="13:22" x14ac:dyDescent="0.2">
      <c r="M7005" s="40"/>
      <c r="N7005" s="15"/>
      <c r="O7005" s="15"/>
      <c r="P7005" s="15"/>
      <c r="Q7005" s="39"/>
      <c r="R7005" s="41"/>
      <c r="S7005" s="36"/>
      <c r="T7005" s="36"/>
      <c r="U7005" s="36"/>
      <c r="V7005" s="37"/>
    </row>
    <row r="7006" spans="13:22" ht="13.5" thickBot="1" x14ac:dyDescent="0.25">
      <c r="M7006" s="42"/>
      <c r="N7006" s="43"/>
      <c r="O7006" s="43"/>
      <c r="P7006" s="43"/>
      <c r="Q7006" s="44"/>
      <c r="R7006" s="41"/>
      <c r="S7006" s="46"/>
      <c r="T7006" s="46"/>
      <c r="U7006" s="46"/>
      <c r="V7006" s="47"/>
    </row>
    <row r="7007" spans="13:22" ht="13.5" thickBot="1" x14ac:dyDescent="0.25">
      <c r="M7007" s="48"/>
      <c r="N7007" s="49"/>
      <c r="O7007" s="49"/>
      <c r="P7007" s="49"/>
      <c r="Q7007" s="50"/>
      <c r="R7007" s="45"/>
      <c r="S7007" s="52"/>
      <c r="T7007" s="52"/>
      <c r="U7007" s="52"/>
      <c r="V7007" s="53"/>
    </row>
    <row r="7008" spans="13:22" x14ac:dyDescent="0.2">
      <c r="M7008" s="54"/>
      <c r="N7008" s="29"/>
      <c r="O7008" s="29"/>
      <c r="P7008" s="29"/>
      <c r="Q7008" s="34"/>
      <c r="R7008" s="51"/>
      <c r="S7008" s="36"/>
      <c r="T7008" s="36"/>
      <c r="U7008" s="36"/>
      <c r="V7008" s="37"/>
    </row>
    <row r="7009" spans="13:22" x14ac:dyDescent="0.2">
      <c r="M7009" s="33"/>
      <c r="N7009" s="29"/>
      <c r="O7009" s="29"/>
      <c r="P7009" s="29"/>
      <c r="Q7009" s="34"/>
      <c r="R7009" s="41"/>
      <c r="S7009" s="36"/>
      <c r="T7009" s="36"/>
      <c r="U7009" s="36"/>
      <c r="V7009" s="37"/>
    </row>
    <row r="7010" spans="13:22" x14ac:dyDescent="0.2">
      <c r="M7010" s="33"/>
      <c r="N7010" s="29"/>
      <c r="O7010" s="29"/>
      <c r="P7010" s="29"/>
      <c r="Q7010" s="34"/>
      <c r="R7010" s="35"/>
      <c r="S7010" s="36"/>
      <c r="T7010" s="36"/>
      <c r="U7010" s="36"/>
      <c r="V7010" s="37"/>
    </row>
    <row r="7011" spans="13:22" x14ac:dyDescent="0.2">
      <c r="M7011" s="33"/>
      <c r="N7011" s="29"/>
      <c r="O7011" s="29"/>
      <c r="P7011" s="29"/>
      <c r="Q7011" s="34"/>
      <c r="R7011" s="35"/>
      <c r="S7011" s="36"/>
      <c r="T7011" s="36"/>
      <c r="U7011" s="36"/>
      <c r="V7011" s="37"/>
    </row>
    <row r="7012" spans="13:22" x14ac:dyDescent="0.2">
      <c r="M7012" s="33"/>
      <c r="N7012" s="29"/>
      <c r="O7012" s="29"/>
      <c r="P7012" s="29"/>
      <c r="Q7012" s="34"/>
      <c r="R7012" s="35"/>
      <c r="S7012" s="36"/>
      <c r="T7012" s="36"/>
      <c r="U7012" s="36"/>
      <c r="V7012" s="37"/>
    </row>
    <row r="7013" spans="13:22" x14ac:dyDescent="0.2">
      <c r="M7013" s="33"/>
      <c r="N7013" s="29"/>
      <c r="O7013" s="29"/>
      <c r="P7013" s="29"/>
      <c r="Q7013" s="34"/>
      <c r="R7013" s="35"/>
      <c r="S7013" s="36"/>
      <c r="T7013" s="36"/>
      <c r="U7013" s="36"/>
      <c r="V7013" s="37"/>
    </row>
    <row r="7014" spans="13:22" x14ac:dyDescent="0.2">
      <c r="M7014" s="33"/>
      <c r="N7014" s="29"/>
      <c r="O7014" s="29"/>
      <c r="P7014" s="29"/>
      <c r="Q7014" s="38"/>
      <c r="R7014" s="35"/>
      <c r="S7014" s="36"/>
      <c r="T7014" s="36"/>
      <c r="U7014" s="36"/>
      <c r="V7014" s="37"/>
    </row>
    <row r="7015" spans="13:22" x14ac:dyDescent="0.2">
      <c r="M7015" s="33"/>
      <c r="N7015" s="29"/>
      <c r="O7015" s="29"/>
      <c r="P7015" s="29"/>
      <c r="Q7015" s="34"/>
      <c r="R7015" s="35"/>
      <c r="S7015" s="36"/>
      <c r="T7015" s="36"/>
      <c r="U7015" s="36"/>
      <c r="V7015" s="37"/>
    </row>
    <row r="7016" spans="13:22" x14ac:dyDescent="0.2">
      <c r="M7016" s="33"/>
      <c r="N7016" s="29"/>
      <c r="O7016" s="29"/>
      <c r="P7016" s="29"/>
      <c r="Q7016" s="34"/>
      <c r="R7016" s="35"/>
      <c r="S7016" s="36"/>
      <c r="T7016" s="36"/>
      <c r="U7016" s="36"/>
      <c r="V7016" s="37"/>
    </row>
    <row r="7017" spans="13:22" x14ac:dyDescent="0.2">
      <c r="M7017" s="33"/>
      <c r="N7017" s="29"/>
      <c r="O7017" s="29"/>
      <c r="P7017" s="29"/>
      <c r="Q7017" s="34"/>
      <c r="R7017" s="35"/>
      <c r="S7017" s="36"/>
      <c r="T7017" s="36"/>
      <c r="U7017" s="36"/>
      <c r="V7017" s="37"/>
    </row>
    <row r="7018" spans="13:22" x14ac:dyDescent="0.2">
      <c r="M7018" s="33"/>
      <c r="N7018" s="29"/>
      <c r="O7018" s="29"/>
      <c r="P7018" s="29"/>
      <c r="Q7018" s="34"/>
      <c r="R7018" s="35"/>
      <c r="S7018" s="36"/>
      <c r="T7018" s="36"/>
      <c r="U7018" s="36"/>
      <c r="V7018" s="37"/>
    </row>
    <row r="7019" spans="13:22" x14ac:dyDescent="0.2">
      <c r="M7019" s="26"/>
      <c r="N7019" s="15"/>
      <c r="O7019" s="15"/>
      <c r="P7019" s="15"/>
      <c r="Q7019" s="39"/>
      <c r="R7019" s="35"/>
      <c r="S7019" s="36"/>
      <c r="T7019" s="36"/>
      <c r="U7019" s="36"/>
      <c r="V7019" s="37"/>
    </row>
    <row r="7020" spans="13:22" x14ac:dyDescent="0.2">
      <c r="M7020" s="26"/>
      <c r="N7020" s="15"/>
      <c r="O7020" s="15"/>
      <c r="P7020" s="15"/>
      <c r="Q7020" s="39"/>
      <c r="R7020" s="35"/>
      <c r="S7020" s="36"/>
      <c r="T7020" s="36"/>
      <c r="U7020" s="36"/>
      <c r="V7020" s="37"/>
    </row>
    <row r="7021" spans="13:22" x14ac:dyDescent="0.2">
      <c r="M7021" s="40"/>
      <c r="N7021" s="15"/>
      <c r="O7021" s="15"/>
      <c r="P7021" s="15"/>
      <c r="Q7021" s="39"/>
      <c r="R7021" s="35"/>
      <c r="S7021" s="36"/>
      <c r="T7021" s="36"/>
      <c r="U7021" s="36"/>
      <c r="V7021" s="37"/>
    </row>
    <row r="7022" spans="13:22" x14ac:dyDescent="0.2">
      <c r="M7022" s="40"/>
      <c r="N7022" s="15"/>
      <c r="O7022" s="15"/>
      <c r="P7022" s="15"/>
      <c r="Q7022" s="39"/>
      <c r="R7022" s="41"/>
      <c r="S7022" s="36"/>
      <c r="T7022" s="36"/>
      <c r="U7022" s="36"/>
      <c r="V7022" s="37"/>
    </row>
    <row r="7023" spans="13:22" x14ac:dyDescent="0.2">
      <c r="M7023" s="40"/>
      <c r="N7023" s="15"/>
      <c r="O7023" s="15"/>
      <c r="P7023" s="15"/>
      <c r="Q7023" s="39"/>
      <c r="R7023" s="41"/>
      <c r="S7023" s="36"/>
      <c r="T7023" s="36"/>
      <c r="U7023" s="36"/>
      <c r="V7023" s="37"/>
    </row>
    <row r="7024" spans="13:22" x14ac:dyDescent="0.2">
      <c r="M7024" s="40"/>
      <c r="N7024" s="15"/>
      <c r="O7024" s="15"/>
      <c r="P7024" s="15"/>
      <c r="Q7024" s="39"/>
      <c r="R7024" s="41"/>
      <c r="S7024" s="36"/>
      <c r="T7024" s="36"/>
      <c r="U7024" s="36"/>
      <c r="V7024" s="37"/>
    </row>
    <row r="7025" spans="13:22" x14ac:dyDescent="0.2">
      <c r="M7025" s="40"/>
      <c r="N7025" s="15"/>
      <c r="O7025" s="15"/>
      <c r="P7025" s="15"/>
      <c r="Q7025" s="39"/>
      <c r="R7025" s="41"/>
      <c r="S7025" s="36"/>
      <c r="T7025" s="36"/>
      <c r="U7025" s="36"/>
      <c r="V7025" s="37"/>
    </row>
    <row r="7026" spans="13:22" x14ac:dyDescent="0.2">
      <c r="M7026" s="40"/>
      <c r="N7026" s="15"/>
      <c r="O7026" s="15"/>
      <c r="P7026" s="15"/>
      <c r="Q7026" s="39"/>
      <c r="R7026" s="41"/>
      <c r="S7026" s="36"/>
      <c r="T7026" s="36"/>
      <c r="U7026" s="36"/>
      <c r="V7026" s="37"/>
    </row>
    <row r="7027" spans="13:22" x14ac:dyDescent="0.2">
      <c r="M7027" s="40"/>
      <c r="N7027" s="15"/>
      <c r="O7027" s="15"/>
      <c r="P7027" s="15"/>
      <c r="Q7027" s="39"/>
      <c r="R7027" s="41"/>
      <c r="S7027" s="36"/>
      <c r="T7027" s="36"/>
      <c r="U7027" s="36"/>
      <c r="V7027" s="37"/>
    </row>
    <row r="7028" spans="13:22" x14ac:dyDescent="0.2">
      <c r="M7028" s="40"/>
      <c r="N7028" s="15"/>
      <c r="O7028" s="15"/>
      <c r="P7028" s="15"/>
      <c r="Q7028" s="39"/>
      <c r="R7028" s="41"/>
      <c r="S7028" s="36"/>
      <c r="T7028" s="36"/>
      <c r="U7028" s="36"/>
      <c r="V7028" s="37"/>
    </row>
    <row r="7029" spans="13:22" x14ac:dyDescent="0.2">
      <c r="M7029" s="40"/>
      <c r="N7029" s="15"/>
      <c r="O7029" s="15"/>
      <c r="P7029" s="15"/>
      <c r="Q7029" s="39"/>
      <c r="R7029" s="41"/>
      <c r="S7029" s="36"/>
      <c r="T7029" s="36"/>
      <c r="U7029" s="36"/>
      <c r="V7029" s="37"/>
    </row>
    <row r="7030" spans="13:22" x14ac:dyDescent="0.2">
      <c r="M7030" s="40"/>
      <c r="N7030" s="15"/>
      <c r="O7030" s="15"/>
      <c r="P7030" s="15"/>
      <c r="Q7030" s="39"/>
      <c r="R7030" s="41"/>
      <c r="S7030" s="36"/>
      <c r="T7030" s="36"/>
      <c r="U7030" s="36"/>
      <c r="V7030" s="37"/>
    </row>
    <row r="7031" spans="13:22" ht="13.5" thickBot="1" x14ac:dyDescent="0.25">
      <c r="M7031" s="42"/>
      <c r="N7031" s="43"/>
      <c r="O7031" s="43"/>
      <c r="P7031" s="43"/>
      <c r="Q7031" s="44"/>
      <c r="R7031" s="41"/>
      <c r="S7031" s="46"/>
      <c r="T7031" s="46"/>
      <c r="U7031" s="46"/>
      <c r="V7031" s="47"/>
    </row>
    <row r="7032" spans="13:22" ht="13.5" thickBot="1" x14ac:dyDescent="0.25">
      <c r="M7032" s="48"/>
      <c r="N7032" s="49"/>
      <c r="O7032" s="49"/>
      <c r="P7032" s="49"/>
      <c r="Q7032" s="50"/>
      <c r="R7032" s="45"/>
      <c r="S7032" s="52"/>
      <c r="T7032" s="52"/>
      <c r="U7032" s="52"/>
      <c r="V7032" s="53"/>
    </row>
    <row r="7033" spans="13:22" x14ac:dyDescent="0.2">
      <c r="M7033" s="54"/>
      <c r="N7033" s="29"/>
      <c r="O7033" s="29"/>
      <c r="P7033" s="29"/>
      <c r="Q7033" s="34"/>
      <c r="R7033" s="51"/>
      <c r="S7033" s="36"/>
      <c r="T7033" s="36"/>
      <c r="U7033" s="36"/>
      <c r="V7033" s="37"/>
    </row>
    <row r="7034" spans="13:22" x14ac:dyDescent="0.2">
      <c r="M7034" s="33"/>
      <c r="N7034" s="29"/>
      <c r="O7034" s="29"/>
      <c r="P7034" s="29"/>
      <c r="Q7034" s="34"/>
      <c r="R7034" s="41"/>
      <c r="S7034" s="36"/>
      <c r="T7034" s="36"/>
      <c r="U7034" s="36"/>
      <c r="V7034" s="37"/>
    </row>
    <row r="7035" spans="13:22" x14ac:dyDescent="0.2">
      <c r="M7035" s="33"/>
      <c r="N7035" s="29"/>
      <c r="O7035" s="29"/>
      <c r="P7035" s="29"/>
      <c r="Q7035" s="34"/>
      <c r="R7035" s="35"/>
      <c r="S7035" s="36"/>
      <c r="T7035" s="36"/>
      <c r="U7035" s="36"/>
      <c r="V7035" s="37"/>
    </row>
    <row r="7036" spans="13:22" x14ac:dyDescent="0.2">
      <c r="M7036" s="33"/>
      <c r="N7036" s="29"/>
      <c r="O7036" s="29"/>
      <c r="P7036" s="29"/>
      <c r="Q7036" s="34"/>
      <c r="R7036" s="35"/>
      <c r="S7036" s="36"/>
      <c r="T7036" s="36"/>
      <c r="U7036" s="36"/>
      <c r="V7036" s="37"/>
    </row>
    <row r="7037" spans="13:22" x14ac:dyDescent="0.2">
      <c r="M7037" s="33"/>
      <c r="N7037" s="29"/>
      <c r="O7037" s="29"/>
      <c r="P7037" s="29"/>
      <c r="Q7037" s="34"/>
      <c r="R7037" s="35"/>
      <c r="S7037" s="36"/>
      <c r="T7037" s="36"/>
      <c r="U7037" s="36"/>
      <c r="V7037" s="37"/>
    </row>
    <row r="7038" spans="13:22" x14ac:dyDescent="0.2">
      <c r="M7038" s="33"/>
      <c r="N7038" s="29"/>
      <c r="O7038" s="29"/>
      <c r="P7038" s="29"/>
      <c r="Q7038" s="34"/>
      <c r="R7038" s="35"/>
      <c r="S7038" s="36"/>
      <c r="T7038" s="36"/>
      <c r="U7038" s="36"/>
      <c r="V7038" s="37"/>
    </row>
    <row r="7039" spans="13:22" x14ac:dyDescent="0.2">
      <c r="M7039" s="33"/>
      <c r="N7039" s="29"/>
      <c r="O7039" s="29"/>
      <c r="P7039" s="29"/>
      <c r="Q7039" s="38"/>
      <c r="R7039" s="35"/>
      <c r="S7039" s="36"/>
      <c r="T7039" s="36"/>
      <c r="U7039" s="36"/>
      <c r="V7039" s="37"/>
    </row>
    <row r="7040" spans="13:22" x14ac:dyDescent="0.2">
      <c r="M7040" s="33"/>
      <c r="N7040" s="29"/>
      <c r="O7040" s="29"/>
      <c r="P7040" s="29"/>
      <c r="Q7040" s="34"/>
      <c r="R7040" s="35"/>
      <c r="S7040" s="36"/>
      <c r="T7040" s="36"/>
      <c r="U7040" s="36"/>
      <c r="V7040" s="37"/>
    </row>
    <row r="7041" spans="13:22" x14ac:dyDescent="0.2">
      <c r="M7041" s="33"/>
      <c r="N7041" s="29"/>
      <c r="O7041" s="29"/>
      <c r="P7041" s="29"/>
      <c r="Q7041" s="34"/>
      <c r="R7041" s="35"/>
      <c r="S7041" s="36"/>
      <c r="T7041" s="36"/>
      <c r="U7041" s="36"/>
      <c r="V7041" s="37"/>
    </row>
    <row r="7042" spans="13:22" x14ac:dyDescent="0.2">
      <c r="M7042" s="33"/>
      <c r="N7042" s="29"/>
      <c r="O7042" s="29"/>
      <c r="P7042" s="29"/>
      <c r="Q7042" s="34"/>
      <c r="R7042" s="35"/>
      <c r="S7042" s="36"/>
      <c r="T7042" s="36"/>
      <c r="U7042" s="36"/>
      <c r="V7042" s="37"/>
    </row>
    <row r="7043" spans="13:22" x14ac:dyDescent="0.2">
      <c r="M7043" s="33"/>
      <c r="N7043" s="29"/>
      <c r="O7043" s="29"/>
      <c r="P7043" s="29"/>
      <c r="Q7043" s="34"/>
      <c r="R7043" s="35"/>
      <c r="S7043" s="36"/>
      <c r="T7043" s="36"/>
      <c r="U7043" s="36"/>
      <c r="V7043" s="37"/>
    </row>
    <row r="7044" spans="13:22" x14ac:dyDescent="0.2">
      <c r="M7044" s="26"/>
      <c r="N7044" s="15"/>
      <c r="O7044" s="15"/>
      <c r="P7044" s="15"/>
      <c r="Q7044" s="39"/>
      <c r="R7044" s="35"/>
      <c r="S7044" s="36"/>
      <c r="T7044" s="36"/>
      <c r="U7044" s="36"/>
      <c r="V7044" s="37"/>
    </row>
    <row r="7045" spans="13:22" x14ac:dyDescent="0.2">
      <c r="M7045" s="26"/>
      <c r="N7045" s="15"/>
      <c r="O7045" s="15"/>
      <c r="P7045" s="15"/>
      <c r="Q7045" s="39"/>
      <c r="R7045" s="35"/>
      <c r="S7045" s="36"/>
      <c r="T7045" s="36"/>
      <c r="U7045" s="36"/>
      <c r="V7045" s="37"/>
    </row>
    <row r="7046" spans="13:22" x14ac:dyDescent="0.2">
      <c r="M7046" s="40"/>
      <c r="N7046" s="15"/>
      <c r="O7046" s="15"/>
      <c r="P7046" s="15"/>
      <c r="Q7046" s="39"/>
      <c r="R7046" s="35"/>
      <c r="S7046" s="36"/>
      <c r="T7046" s="36"/>
      <c r="U7046" s="36"/>
      <c r="V7046" s="37"/>
    </row>
    <row r="7047" spans="13:22" x14ac:dyDescent="0.2">
      <c r="M7047" s="40"/>
      <c r="N7047" s="15"/>
      <c r="O7047" s="15"/>
      <c r="P7047" s="15"/>
      <c r="Q7047" s="39"/>
      <c r="R7047" s="41"/>
      <c r="S7047" s="36"/>
      <c r="T7047" s="36"/>
      <c r="U7047" s="36"/>
      <c r="V7047" s="37"/>
    </row>
    <row r="7048" spans="13:22" x14ac:dyDescent="0.2">
      <c r="M7048" s="40"/>
      <c r="N7048" s="15"/>
      <c r="O7048" s="15"/>
      <c r="P7048" s="15"/>
      <c r="Q7048" s="39"/>
      <c r="R7048" s="41"/>
      <c r="S7048" s="36"/>
      <c r="T7048" s="36"/>
      <c r="U7048" s="36"/>
      <c r="V7048" s="37"/>
    </row>
    <row r="7049" spans="13:22" x14ac:dyDescent="0.2">
      <c r="M7049" s="40"/>
      <c r="N7049" s="15"/>
      <c r="O7049" s="15"/>
      <c r="P7049" s="15"/>
      <c r="Q7049" s="39"/>
      <c r="R7049" s="41"/>
      <c r="S7049" s="36"/>
      <c r="T7049" s="36"/>
      <c r="U7049" s="36"/>
      <c r="V7049" s="37"/>
    </row>
    <row r="7050" spans="13:22" x14ac:dyDescent="0.2">
      <c r="M7050" s="40"/>
      <c r="N7050" s="15"/>
      <c r="O7050" s="15"/>
      <c r="P7050" s="15"/>
      <c r="Q7050" s="39"/>
      <c r="R7050" s="41"/>
      <c r="S7050" s="36"/>
      <c r="T7050" s="36"/>
      <c r="U7050" s="36"/>
      <c r="V7050" s="37"/>
    </row>
    <row r="7051" spans="13:22" x14ac:dyDescent="0.2">
      <c r="M7051" s="40"/>
      <c r="N7051" s="15"/>
      <c r="O7051" s="15"/>
      <c r="P7051" s="15"/>
      <c r="Q7051" s="39"/>
      <c r="R7051" s="41"/>
      <c r="S7051" s="36"/>
      <c r="T7051" s="36"/>
      <c r="U7051" s="36"/>
      <c r="V7051" s="37"/>
    </row>
    <row r="7052" spans="13:22" x14ac:dyDescent="0.2">
      <c r="M7052" s="40"/>
      <c r="N7052" s="15"/>
      <c r="O7052" s="15"/>
      <c r="P7052" s="15"/>
      <c r="Q7052" s="39"/>
      <c r="R7052" s="41"/>
      <c r="S7052" s="36"/>
      <c r="T7052" s="36"/>
      <c r="U7052" s="36"/>
      <c r="V7052" s="37"/>
    </row>
    <row r="7053" spans="13:22" x14ac:dyDescent="0.2">
      <c r="M7053" s="40"/>
      <c r="N7053" s="15"/>
      <c r="O7053" s="15"/>
      <c r="P7053" s="15"/>
      <c r="Q7053" s="39"/>
      <c r="R7053" s="41"/>
      <c r="S7053" s="36"/>
      <c r="T7053" s="36"/>
      <c r="U7053" s="36"/>
      <c r="V7053" s="37"/>
    </row>
    <row r="7054" spans="13:22" x14ac:dyDescent="0.2">
      <c r="M7054" s="40"/>
      <c r="N7054" s="15"/>
      <c r="O7054" s="15"/>
      <c r="P7054" s="15"/>
      <c r="Q7054" s="39"/>
      <c r="R7054" s="41"/>
      <c r="S7054" s="36"/>
      <c r="T7054" s="36"/>
      <c r="U7054" s="36"/>
      <c r="V7054" s="37"/>
    </row>
    <row r="7055" spans="13:22" x14ac:dyDescent="0.2">
      <c r="M7055" s="40"/>
      <c r="N7055" s="15"/>
      <c r="O7055" s="15"/>
      <c r="P7055" s="15"/>
      <c r="Q7055" s="39"/>
      <c r="R7055" s="41"/>
      <c r="S7055" s="36"/>
      <c r="T7055" s="36"/>
      <c r="U7055" s="36"/>
      <c r="V7055" s="37"/>
    </row>
    <row r="7056" spans="13:22" ht="13.5" thickBot="1" x14ac:dyDescent="0.25">
      <c r="M7056" s="42"/>
      <c r="N7056" s="43"/>
      <c r="O7056" s="43"/>
      <c r="P7056" s="43"/>
      <c r="Q7056" s="44"/>
      <c r="R7056" s="41"/>
      <c r="S7056" s="46"/>
      <c r="T7056" s="46"/>
      <c r="U7056" s="46"/>
      <c r="V7056" s="47"/>
    </row>
    <row r="7057" spans="13:22" ht="13.5" thickBot="1" x14ac:dyDescent="0.25">
      <c r="M7057" s="48"/>
      <c r="N7057" s="49"/>
      <c r="O7057" s="49"/>
      <c r="P7057" s="49"/>
      <c r="Q7057" s="50"/>
      <c r="R7057" s="45"/>
      <c r="S7057" s="52"/>
      <c r="T7057" s="52"/>
      <c r="U7057" s="52"/>
      <c r="V7057" s="53"/>
    </row>
    <row r="7058" spans="13:22" x14ac:dyDescent="0.2">
      <c r="M7058" s="54"/>
      <c r="N7058" s="29"/>
      <c r="O7058" s="29"/>
      <c r="P7058" s="29"/>
      <c r="Q7058" s="34"/>
      <c r="R7058" s="51"/>
      <c r="S7058" s="36"/>
      <c r="T7058" s="36"/>
      <c r="U7058" s="36"/>
      <c r="V7058" s="37"/>
    </row>
    <row r="7059" spans="13:22" x14ac:dyDescent="0.2">
      <c r="M7059" s="33"/>
      <c r="N7059" s="29"/>
      <c r="O7059" s="29"/>
      <c r="P7059" s="29"/>
      <c r="Q7059" s="34"/>
      <c r="R7059" s="41"/>
      <c r="S7059" s="36"/>
      <c r="T7059" s="36"/>
      <c r="U7059" s="36"/>
      <c r="V7059" s="37"/>
    </row>
    <row r="7060" spans="13:22" x14ac:dyDescent="0.2">
      <c r="M7060" s="33"/>
      <c r="N7060" s="29"/>
      <c r="O7060" s="29"/>
      <c r="P7060" s="29"/>
      <c r="Q7060" s="34"/>
      <c r="R7060" s="35"/>
      <c r="S7060" s="36"/>
      <c r="T7060" s="36"/>
      <c r="U7060" s="36"/>
      <c r="V7060" s="37"/>
    </row>
    <row r="7061" spans="13:22" x14ac:dyDescent="0.2">
      <c r="M7061" s="33"/>
      <c r="N7061" s="29"/>
      <c r="O7061" s="29"/>
      <c r="P7061" s="29"/>
      <c r="Q7061" s="34"/>
      <c r="R7061" s="35"/>
      <c r="S7061" s="36"/>
      <c r="T7061" s="36"/>
      <c r="U7061" s="36"/>
      <c r="V7061" s="37"/>
    </row>
    <row r="7062" spans="13:22" x14ac:dyDescent="0.2">
      <c r="M7062" s="33"/>
      <c r="N7062" s="29"/>
      <c r="O7062" s="29"/>
      <c r="P7062" s="29"/>
      <c r="Q7062" s="34"/>
      <c r="R7062" s="35"/>
      <c r="S7062" s="36"/>
      <c r="T7062" s="36"/>
      <c r="U7062" s="36"/>
      <c r="V7062" s="37"/>
    </row>
    <row r="7063" spans="13:22" x14ac:dyDescent="0.2">
      <c r="M7063" s="33"/>
      <c r="N7063" s="29"/>
      <c r="O7063" s="29"/>
      <c r="P7063" s="29"/>
      <c r="Q7063" s="34"/>
      <c r="R7063" s="35"/>
      <c r="S7063" s="36"/>
      <c r="T7063" s="36"/>
      <c r="U7063" s="36"/>
      <c r="V7063" s="37"/>
    </row>
    <row r="7064" spans="13:22" x14ac:dyDescent="0.2">
      <c r="M7064" s="33"/>
      <c r="N7064" s="29"/>
      <c r="O7064" s="29"/>
      <c r="P7064" s="29"/>
      <c r="Q7064" s="38"/>
      <c r="R7064" s="35"/>
      <c r="S7064" s="36"/>
      <c r="T7064" s="36"/>
      <c r="U7064" s="36"/>
      <c r="V7064" s="37"/>
    </row>
    <row r="7065" spans="13:22" x14ac:dyDescent="0.2">
      <c r="M7065" s="33"/>
      <c r="N7065" s="29"/>
      <c r="O7065" s="29"/>
      <c r="P7065" s="29"/>
      <c r="Q7065" s="34"/>
      <c r="R7065" s="35"/>
      <c r="S7065" s="36"/>
      <c r="T7065" s="36"/>
      <c r="U7065" s="36"/>
      <c r="V7065" s="37"/>
    </row>
    <row r="7066" spans="13:22" x14ac:dyDescent="0.2">
      <c r="M7066" s="33"/>
      <c r="N7066" s="29"/>
      <c r="O7066" s="29"/>
      <c r="P7066" s="29"/>
      <c r="Q7066" s="34"/>
      <c r="R7066" s="35"/>
      <c r="S7066" s="36"/>
      <c r="T7066" s="36"/>
      <c r="U7066" s="36"/>
      <c r="V7066" s="37"/>
    </row>
    <row r="7067" spans="13:22" x14ac:dyDescent="0.2">
      <c r="M7067" s="33"/>
      <c r="N7067" s="29"/>
      <c r="O7067" s="29"/>
      <c r="P7067" s="29"/>
      <c r="Q7067" s="34"/>
      <c r="R7067" s="35"/>
      <c r="S7067" s="36"/>
      <c r="T7067" s="36"/>
      <c r="U7067" s="36"/>
      <c r="V7067" s="37"/>
    </row>
    <row r="7068" spans="13:22" x14ac:dyDescent="0.2">
      <c r="M7068" s="33"/>
      <c r="N7068" s="29"/>
      <c r="O7068" s="29"/>
      <c r="P7068" s="29"/>
      <c r="Q7068" s="34"/>
      <c r="R7068" s="35"/>
      <c r="S7068" s="36"/>
      <c r="T7068" s="36"/>
      <c r="U7068" s="36"/>
      <c r="V7068" s="37"/>
    </row>
    <row r="7069" spans="13:22" x14ac:dyDescent="0.2">
      <c r="M7069" s="26"/>
      <c r="N7069" s="15"/>
      <c r="O7069" s="15"/>
      <c r="P7069" s="15"/>
      <c r="Q7069" s="39"/>
      <c r="R7069" s="35"/>
      <c r="S7069" s="36"/>
      <c r="T7069" s="36"/>
      <c r="U7069" s="36"/>
      <c r="V7069" s="37"/>
    </row>
    <row r="7070" spans="13:22" x14ac:dyDescent="0.2">
      <c r="M7070" s="26"/>
      <c r="N7070" s="15"/>
      <c r="O7070" s="15"/>
      <c r="P7070" s="15"/>
      <c r="Q7070" s="39"/>
      <c r="R7070" s="35"/>
      <c r="S7070" s="36"/>
      <c r="T7070" s="36"/>
      <c r="U7070" s="36"/>
      <c r="V7070" s="37"/>
    </row>
    <row r="7071" spans="13:22" x14ac:dyDescent="0.2">
      <c r="M7071" s="40"/>
      <c r="N7071" s="15"/>
      <c r="O7071" s="15"/>
      <c r="P7071" s="15"/>
      <c r="Q7071" s="39"/>
      <c r="R7071" s="35"/>
      <c r="S7071" s="36"/>
      <c r="T7071" s="36"/>
      <c r="U7071" s="36"/>
      <c r="V7071" s="37"/>
    </row>
    <row r="7072" spans="13:22" x14ac:dyDescent="0.2">
      <c r="M7072" s="40"/>
      <c r="N7072" s="15"/>
      <c r="O7072" s="15"/>
      <c r="P7072" s="15"/>
      <c r="Q7072" s="39"/>
      <c r="R7072" s="41"/>
      <c r="S7072" s="36"/>
      <c r="T7072" s="36"/>
      <c r="U7072" s="36"/>
      <c r="V7072" s="37"/>
    </row>
    <row r="7073" spans="13:22" x14ac:dyDescent="0.2">
      <c r="M7073" s="40"/>
      <c r="N7073" s="15"/>
      <c r="O7073" s="15"/>
      <c r="P7073" s="15"/>
      <c r="Q7073" s="39"/>
      <c r="R7073" s="41"/>
      <c r="S7073" s="36"/>
      <c r="T7073" s="36"/>
      <c r="U7073" s="36"/>
      <c r="V7073" s="37"/>
    </row>
    <row r="7074" spans="13:22" x14ac:dyDescent="0.2">
      <c r="M7074" s="40"/>
      <c r="N7074" s="15"/>
      <c r="O7074" s="15"/>
      <c r="P7074" s="15"/>
      <c r="Q7074" s="39"/>
      <c r="R7074" s="41"/>
      <c r="S7074" s="36"/>
      <c r="T7074" s="36"/>
      <c r="U7074" s="36"/>
      <c r="V7074" s="37"/>
    </row>
    <row r="7075" spans="13:22" x14ac:dyDescent="0.2">
      <c r="M7075" s="40"/>
      <c r="N7075" s="15"/>
      <c r="O7075" s="15"/>
      <c r="P7075" s="15"/>
      <c r="Q7075" s="39"/>
      <c r="R7075" s="41"/>
      <c r="S7075" s="36"/>
      <c r="T7075" s="36"/>
      <c r="U7075" s="36"/>
      <c r="V7075" s="37"/>
    </row>
    <row r="7076" spans="13:22" x14ac:dyDescent="0.2">
      <c r="M7076" s="40"/>
      <c r="N7076" s="15"/>
      <c r="O7076" s="15"/>
      <c r="P7076" s="15"/>
      <c r="Q7076" s="39"/>
      <c r="R7076" s="41"/>
      <c r="S7076" s="36"/>
      <c r="T7076" s="36"/>
      <c r="U7076" s="36"/>
      <c r="V7076" s="37"/>
    </row>
    <row r="7077" spans="13:22" x14ac:dyDescent="0.2">
      <c r="M7077" s="40"/>
      <c r="N7077" s="15"/>
      <c r="O7077" s="15"/>
      <c r="P7077" s="15"/>
      <c r="Q7077" s="39"/>
      <c r="R7077" s="41"/>
      <c r="S7077" s="36"/>
      <c r="T7077" s="36"/>
      <c r="U7077" s="36"/>
      <c r="V7077" s="37"/>
    </row>
    <row r="7078" spans="13:22" x14ac:dyDescent="0.2">
      <c r="M7078" s="40"/>
      <c r="N7078" s="15"/>
      <c r="O7078" s="15"/>
      <c r="P7078" s="15"/>
      <c r="Q7078" s="39"/>
      <c r="R7078" s="41"/>
      <c r="S7078" s="36"/>
      <c r="T7078" s="36"/>
      <c r="U7078" s="36"/>
      <c r="V7078" s="37"/>
    </row>
    <row r="7079" spans="13:22" x14ac:dyDescent="0.2">
      <c r="M7079" s="40"/>
      <c r="N7079" s="15"/>
      <c r="O7079" s="15"/>
      <c r="P7079" s="15"/>
      <c r="Q7079" s="39"/>
      <c r="R7079" s="41"/>
      <c r="S7079" s="36"/>
      <c r="T7079" s="36"/>
      <c r="U7079" s="36"/>
      <c r="V7079" s="37"/>
    </row>
    <row r="7080" spans="13:22" x14ac:dyDescent="0.2">
      <c r="M7080" s="40"/>
      <c r="N7080" s="15"/>
      <c r="O7080" s="15"/>
      <c r="P7080" s="15"/>
      <c r="Q7080" s="39"/>
      <c r="R7080" s="41"/>
      <c r="S7080" s="36"/>
      <c r="T7080" s="36"/>
      <c r="U7080" s="36"/>
      <c r="V7080" s="37"/>
    </row>
    <row r="7081" spans="13:22" ht="13.5" thickBot="1" x14ac:dyDescent="0.25">
      <c r="M7081" s="42"/>
      <c r="N7081" s="43"/>
      <c r="O7081" s="43"/>
      <c r="P7081" s="43"/>
      <c r="Q7081" s="44"/>
      <c r="R7081" s="41"/>
      <c r="S7081" s="46"/>
      <c r="T7081" s="46"/>
      <c r="U7081" s="46"/>
      <c r="V7081" s="47"/>
    </row>
    <row r="7082" spans="13:22" ht="13.5" thickBot="1" x14ac:dyDescent="0.25">
      <c r="M7082" s="48"/>
      <c r="N7082" s="49"/>
      <c r="O7082" s="49"/>
      <c r="P7082" s="49"/>
      <c r="Q7082" s="50"/>
      <c r="R7082" s="45"/>
      <c r="S7082" s="52"/>
      <c r="T7082" s="52"/>
      <c r="U7082" s="52"/>
      <c r="V7082" s="53"/>
    </row>
    <row r="7083" spans="13:22" x14ac:dyDescent="0.2">
      <c r="M7083" s="54"/>
      <c r="N7083" s="29"/>
      <c r="O7083" s="29"/>
      <c r="P7083" s="29"/>
      <c r="Q7083" s="34"/>
      <c r="R7083" s="51"/>
      <c r="S7083" s="36"/>
      <c r="T7083" s="36"/>
      <c r="U7083" s="36"/>
      <c r="V7083" s="37"/>
    </row>
    <row r="7084" spans="13:22" x14ac:dyDescent="0.2">
      <c r="M7084" s="33"/>
      <c r="N7084" s="29"/>
      <c r="O7084" s="29"/>
      <c r="P7084" s="29"/>
      <c r="Q7084" s="34"/>
      <c r="R7084" s="41"/>
      <c r="S7084" s="36"/>
      <c r="T7084" s="36"/>
      <c r="U7084" s="36"/>
      <c r="V7084" s="37"/>
    </row>
    <row r="7085" spans="13:22" x14ac:dyDescent="0.2">
      <c r="M7085" s="33"/>
      <c r="N7085" s="29"/>
      <c r="O7085" s="29"/>
      <c r="P7085" s="29"/>
      <c r="Q7085" s="34"/>
      <c r="R7085" s="35"/>
      <c r="S7085" s="36"/>
      <c r="T7085" s="36"/>
      <c r="U7085" s="36"/>
      <c r="V7085" s="37"/>
    </row>
    <row r="7086" spans="13:22" x14ac:dyDescent="0.2">
      <c r="M7086" s="33"/>
      <c r="N7086" s="29"/>
      <c r="O7086" s="29"/>
      <c r="P7086" s="29"/>
      <c r="Q7086" s="34"/>
      <c r="R7086" s="35"/>
      <c r="S7086" s="36"/>
      <c r="T7086" s="36"/>
      <c r="U7086" s="36"/>
      <c r="V7086" s="37"/>
    </row>
    <row r="7087" spans="13:22" x14ac:dyDescent="0.2">
      <c r="M7087" s="33"/>
      <c r="N7087" s="29"/>
      <c r="O7087" s="29"/>
      <c r="P7087" s="29"/>
      <c r="Q7087" s="34"/>
      <c r="R7087" s="35"/>
      <c r="S7087" s="36"/>
      <c r="T7087" s="36"/>
      <c r="U7087" s="36"/>
      <c r="V7087" s="37"/>
    </row>
    <row r="7088" spans="13:22" x14ac:dyDescent="0.2">
      <c r="M7088" s="33"/>
      <c r="N7088" s="29"/>
      <c r="O7088" s="29"/>
      <c r="P7088" s="29"/>
      <c r="Q7088" s="34"/>
      <c r="R7088" s="35"/>
      <c r="S7088" s="36"/>
      <c r="T7088" s="36"/>
      <c r="U7088" s="36"/>
      <c r="V7088" s="37"/>
    </row>
    <row r="7089" spans="13:22" x14ac:dyDescent="0.2">
      <c r="M7089" s="33"/>
      <c r="N7089" s="29"/>
      <c r="O7089" s="29"/>
      <c r="P7089" s="29"/>
      <c r="Q7089" s="38"/>
      <c r="R7089" s="35"/>
      <c r="S7089" s="36"/>
      <c r="T7089" s="36"/>
      <c r="U7089" s="36"/>
      <c r="V7089" s="37"/>
    </row>
    <row r="7090" spans="13:22" x14ac:dyDescent="0.2">
      <c r="M7090" s="33"/>
      <c r="N7090" s="29"/>
      <c r="O7090" s="29"/>
      <c r="P7090" s="29"/>
      <c r="Q7090" s="34"/>
      <c r="R7090" s="35"/>
      <c r="S7090" s="36"/>
      <c r="T7090" s="36"/>
      <c r="U7090" s="36"/>
      <c r="V7090" s="37"/>
    </row>
    <row r="7091" spans="13:22" x14ac:dyDescent="0.2">
      <c r="M7091" s="33"/>
      <c r="N7091" s="29"/>
      <c r="O7091" s="29"/>
      <c r="P7091" s="29"/>
      <c r="Q7091" s="34"/>
      <c r="R7091" s="35"/>
      <c r="S7091" s="36"/>
      <c r="T7091" s="36"/>
      <c r="U7091" s="36"/>
      <c r="V7091" s="37"/>
    </row>
    <row r="7092" spans="13:22" x14ac:dyDescent="0.2">
      <c r="M7092" s="33"/>
      <c r="N7092" s="29"/>
      <c r="O7092" s="29"/>
      <c r="P7092" s="29"/>
      <c r="Q7092" s="34"/>
      <c r="R7092" s="35"/>
      <c r="S7092" s="36"/>
      <c r="T7092" s="36"/>
      <c r="U7092" s="36"/>
      <c r="V7092" s="37"/>
    </row>
    <row r="7093" spans="13:22" x14ac:dyDescent="0.2">
      <c r="M7093" s="33"/>
      <c r="N7093" s="29"/>
      <c r="O7093" s="29"/>
      <c r="P7093" s="29"/>
      <c r="Q7093" s="34"/>
      <c r="R7093" s="35"/>
      <c r="S7093" s="36"/>
      <c r="T7093" s="36"/>
      <c r="U7093" s="36"/>
      <c r="V7093" s="37"/>
    </row>
    <row r="7094" spans="13:22" x14ac:dyDescent="0.2">
      <c r="M7094" s="26"/>
      <c r="N7094" s="15"/>
      <c r="O7094" s="15"/>
      <c r="P7094" s="15"/>
      <c r="Q7094" s="39"/>
      <c r="R7094" s="35"/>
      <c r="S7094" s="36"/>
      <c r="T7094" s="36"/>
      <c r="U7094" s="36"/>
      <c r="V7094" s="37"/>
    </row>
    <row r="7095" spans="13:22" x14ac:dyDescent="0.2">
      <c r="M7095" s="26"/>
      <c r="N7095" s="15"/>
      <c r="O7095" s="15"/>
      <c r="P7095" s="15"/>
      <c r="Q7095" s="39"/>
      <c r="R7095" s="35"/>
      <c r="S7095" s="36"/>
      <c r="T7095" s="36"/>
      <c r="U7095" s="36"/>
      <c r="V7095" s="37"/>
    </row>
    <row r="7096" spans="13:22" x14ac:dyDescent="0.2">
      <c r="M7096" s="40"/>
      <c r="N7096" s="15"/>
      <c r="O7096" s="15"/>
      <c r="P7096" s="15"/>
      <c r="Q7096" s="39"/>
      <c r="R7096" s="35"/>
      <c r="S7096" s="36"/>
      <c r="T7096" s="36"/>
      <c r="U7096" s="36"/>
      <c r="V7096" s="37"/>
    </row>
    <row r="7097" spans="13:22" x14ac:dyDescent="0.2">
      <c r="M7097" s="40"/>
      <c r="N7097" s="15"/>
      <c r="O7097" s="15"/>
      <c r="P7097" s="15"/>
      <c r="Q7097" s="39"/>
      <c r="R7097" s="41"/>
      <c r="S7097" s="36"/>
      <c r="T7097" s="36"/>
      <c r="U7097" s="36"/>
      <c r="V7097" s="37"/>
    </row>
    <row r="7098" spans="13:22" x14ac:dyDescent="0.2">
      <c r="M7098" s="40"/>
      <c r="N7098" s="15"/>
      <c r="O7098" s="15"/>
      <c r="P7098" s="15"/>
      <c r="Q7098" s="39"/>
      <c r="R7098" s="41"/>
      <c r="S7098" s="36"/>
      <c r="T7098" s="36"/>
      <c r="U7098" s="36"/>
      <c r="V7098" s="37"/>
    </row>
    <row r="7099" spans="13:22" x14ac:dyDescent="0.2">
      <c r="M7099" s="40"/>
      <c r="N7099" s="15"/>
      <c r="O7099" s="15"/>
      <c r="P7099" s="15"/>
      <c r="Q7099" s="39"/>
      <c r="R7099" s="41"/>
      <c r="S7099" s="36"/>
      <c r="T7099" s="36"/>
      <c r="U7099" s="36"/>
      <c r="V7099" s="37"/>
    </row>
    <row r="7100" spans="13:22" x14ac:dyDescent="0.2">
      <c r="M7100" s="40"/>
      <c r="N7100" s="15"/>
      <c r="O7100" s="15"/>
      <c r="P7100" s="15"/>
      <c r="Q7100" s="39"/>
      <c r="R7100" s="41"/>
      <c r="S7100" s="36"/>
      <c r="T7100" s="36"/>
      <c r="U7100" s="36"/>
      <c r="V7100" s="37"/>
    </row>
    <row r="7101" spans="13:22" x14ac:dyDescent="0.2">
      <c r="M7101" s="40"/>
      <c r="N7101" s="15"/>
      <c r="O7101" s="15"/>
      <c r="P7101" s="15"/>
      <c r="Q7101" s="39"/>
      <c r="R7101" s="41"/>
      <c r="S7101" s="36"/>
      <c r="T7101" s="36"/>
      <c r="U7101" s="36"/>
      <c r="V7101" s="37"/>
    </row>
    <row r="7102" spans="13:22" x14ac:dyDescent="0.2">
      <c r="M7102" s="40"/>
      <c r="N7102" s="15"/>
      <c r="O7102" s="15"/>
      <c r="P7102" s="15"/>
      <c r="Q7102" s="39"/>
      <c r="R7102" s="41"/>
      <c r="S7102" s="36"/>
      <c r="T7102" s="36"/>
      <c r="U7102" s="36"/>
      <c r="V7102" s="37"/>
    </row>
    <row r="7103" spans="13:22" x14ac:dyDescent="0.2">
      <c r="M7103" s="40"/>
      <c r="N7103" s="15"/>
      <c r="O7103" s="15"/>
      <c r="P7103" s="15"/>
      <c r="Q7103" s="39"/>
      <c r="R7103" s="41"/>
      <c r="S7103" s="36"/>
      <c r="T7103" s="36"/>
      <c r="U7103" s="36"/>
      <c r="V7103" s="37"/>
    </row>
    <row r="7104" spans="13:22" x14ac:dyDescent="0.2">
      <c r="M7104" s="40"/>
      <c r="N7104" s="15"/>
      <c r="O7104" s="15"/>
      <c r="P7104" s="15"/>
      <c r="Q7104" s="39"/>
      <c r="R7104" s="41"/>
      <c r="S7104" s="36"/>
      <c r="T7104" s="36"/>
      <c r="U7104" s="36"/>
      <c r="V7104" s="37"/>
    </row>
    <row r="7105" spans="13:22" x14ac:dyDescent="0.2">
      <c r="M7105" s="40"/>
      <c r="N7105" s="15"/>
      <c r="O7105" s="15"/>
      <c r="P7105" s="15"/>
      <c r="Q7105" s="39"/>
      <c r="R7105" s="41"/>
      <c r="S7105" s="36"/>
      <c r="T7105" s="36"/>
      <c r="U7105" s="36"/>
      <c r="V7105" s="37"/>
    </row>
    <row r="7106" spans="13:22" ht="13.5" thickBot="1" x14ac:dyDescent="0.25">
      <c r="M7106" s="42"/>
      <c r="N7106" s="43"/>
      <c r="O7106" s="43"/>
      <c r="P7106" s="43"/>
      <c r="Q7106" s="44"/>
      <c r="R7106" s="41"/>
      <c r="S7106" s="46"/>
      <c r="T7106" s="46"/>
      <c r="U7106" s="46"/>
      <c r="V7106" s="47"/>
    </row>
    <row r="7107" spans="13:22" ht="13.5" thickBot="1" x14ac:dyDescent="0.25">
      <c r="M7107" s="48"/>
      <c r="N7107" s="49"/>
      <c r="O7107" s="49"/>
      <c r="P7107" s="49"/>
      <c r="Q7107" s="50"/>
      <c r="R7107" s="45"/>
      <c r="S7107" s="52"/>
      <c r="T7107" s="52"/>
      <c r="U7107" s="52"/>
      <c r="V7107" s="53"/>
    </row>
    <row r="7108" spans="13:22" x14ac:dyDescent="0.2">
      <c r="M7108" s="54"/>
      <c r="N7108" s="29"/>
      <c r="O7108" s="29"/>
      <c r="P7108" s="29"/>
      <c r="Q7108" s="34"/>
      <c r="R7108" s="51"/>
      <c r="S7108" s="36"/>
      <c r="T7108" s="36"/>
      <c r="U7108" s="36"/>
      <c r="V7108" s="37"/>
    </row>
    <row r="7109" spans="13:22" x14ac:dyDescent="0.2">
      <c r="M7109" s="33"/>
      <c r="N7109" s="29"/>
      <c r="O7109" s="29"/>
      <c r="P7109" s="29"/>
      <c r="Q7109" s="34"/>
      <c r="R7109" s="41"/>
      <c r="S7109" s="36"/>
      <c r="T7109" s="36"/>
      <c r="U7109" s="36"/>
      <c r="V7109" s="37"/>
    </row>
    <row r="7110" spans="13:22" x14ac:dyDescent="0.2">
      <c r="M7110" s="33"/>
      <c r="N7110" s="29"/>
      <c r="O7110" s="29"/>
      <c r="P7110" s="29"/>
      <c r="Q7110" s="34"/>
      <c r="R7110" s="35"/>
      <c r="S7110" s="36"/>
      <c r="T7110" s="36"/>
      <c r="U7110" s="36"/>
      <c r="V7110" s="37"/>
    </row>
    <row r="7111" spans="13:22" x14ac:dyDescent="0.2">
      <c r="M7111" s="33"/>
      <c r="N7111" s="29"/>
      <c r="O7111" s="29"/>
      <c r="P7111" s="29"/>
      <c r="Q7111" s="34"/>
      <c r="R7111" s="35"/>
      <c r="S7111" s="36"/>
      <c r="T7111" s="36"/>
      <c r="U7111" s="36"/>
      <c r="V7111" s="37"/>
    </row>
    <row r="7112" spans="13:22" x14ac:dyDescent="0.2">
      <c r="M7112" s="33"/>
      <c r="N7112" s="29"/>
      <c r="O7112" s="29"/>
      <c r="P7112" s="29"/>
      <c r="Q7112" s="34"/>
      <c r="R7112" s="35"/>
      <c r="S7112" s="36"/>
      <c r="T7112" s="36"/>
      <c r="U7112" s="36"/>
      <c r="V7112" s="37"/>
    </row>
    <row r="7113" spans="13:22" x14ac:dyDescent="0.2">
      <c r="M7113" s="33"/>
      <c r="N7113" s="29"/>
      <c r="O7113" s="29"/>
      <c r="P7113" s="29"/>
      <c r="Q7113" s="34"/>
      <c r="R7113" s="35"/>
      <c r="S7113" s="36"/>
      <c r="T7113" s="36"/>
      <c r="U7113" s="36"/>
      <c r="V7113" s="37"/>
    </row>
    <row r="7114" spans="13:22" x14ac:dyDescent="0.2">
      <c r="M7114" s="33"/>
      <c r="N7114" s="29"/>
      <c r="O7114" s="29"/>
      <c r="P7114" s="29"/>
      <c r="Q7114" s="38"/>
      <c r="R7114" s="35"/>
      <c r="S7114" s="36"/>
      <c r="T7114" s="36"/>
      <c r="U7114" s="36"/>
      <c r="V7114" s="37"/>
    </row>
    <row r="7115" spans="13:22" x14ac:dyDescent="0.2">
      <c r="M7115" s="33"/>
      <c r="N7115" s="29"/>
      <c r="O7115" s="29"/>
      <c r="P7115" s="29"/>
      <c r="Q7115" s="34"/>
      <c r="R7115" s="35"/>
      <c r="S7115" s="36"/>
      <c r="T7115" s="36"/>
      <c r="U7115" s="36"/>
      <c r="V7115" s="37"/>
    </row>
    <row r="7116" spans="13:22" x14ac:dyDescent="0.2">
      <c r="M7116" s="33"/>
      <c r="N7116" s="29"/>
      <c r="O7116" s="29"/>
      <c r="P7116" s="29"/>
      <c r="Q7116" s="34"/>
      <c r="R7116" s="35"/>
      <c r="S7116" s="36"/>
      <c r="T7116" s="36"/>
      <c r="U7116" s="36"/>
      <c r="V7116" s="37"/>
    </row>
    <row r="7117" spans="13:22" x14ac:dyDescent="0.2">
      <c r="M7117" s="33"/>
      <c r="N7117" s="29"/>
      <c r="O7117" s="29"/>
      <c r="P7117" s="29"/>
      <c r="Q7117" s="34"/>
      <c r="R7117" s="35"/>
      <c r="S7117" s="36"/>
      <c r="T7117" s="36"/>
      <c r="U7117" s="36"/>
      <c r="V7117" s="37"/>
    </row>
    <row r="7118" spans="13:22" x14ac:dyDescent="0.2">
      <c r="M7118" s="33"/>
      <c r="N7118" s="29"/>
      <c r="O7118" s="29"/>
      <c r="P7118" s="29"/>
      <c r="Q7118" s="34"/>
      <c r="R7118" s="35"/>
      <c r="S7118" s="36"/>
      <c r="T7118" s="36"/>
      <c r="U7118" s="36"/>
      <c r="V7118" s="37"/>
    </row>
    <row r="7119" spans="13:22" x14ac:dyDescent="0.2">
      <c r="M7119" s="26"/>
      <c r="N7119" s="15"/>
      <c r="O7119" s="15"/>
      <c r="P7119" s="15"/>
      <c r="Q7119" s="39"/>
      <c r="R7119" s="35"/>
      <c r="S7119" s="36"/>
      <c r="T7119" s="36"/>
      <c r="U7119" s="36"/>
      <c r="V7119" s="37"/>
    </row>
    <row r="7120" spans="13:22" x14ac:dyDescent="0.2">
      <c r="M7120" s="26"/>
      <c r="N7120" s="15"/>
      <c r="O7120" s="15"/>
      <c r="P7120" s="15"/>
      <c r="Q7120" s="39"/>
      <c r="R7120" s="35"/>
      <c r="S7120" s="36"/>
      <c r="T7120" s="36"/>
      <c r="U7120" s="36"/>
      <c r="V7120" s="37"/>
    </row>
    <row r="7121" spans="13:22" x14ac:dyDescent="0.2">
      <c r="M7121" s="40"/>
      <c r="N7121" s="15"/>
      <c r="O7121" s="15"/>
      <c r="P7121" s="15"/>
      <c r="Q7121" s="39"/>
      <c r="R7121" s="35"/>
      <c r="S7121" s="36"/>
      <c r="T7121" s="36"/>
      <c r="U7121" s="36"/>
      <c r="V7121" s="37"/>
    </row>
    <row r="7122" spans="13:22" x14ac:dyDescent="0.2">
      <c r="M7122" s="40"/>
      <c r="N7122" s="15"/>
      <c r="O7122" s="15"/>
      <c r="P7122" s="15"/>
      <c r="Q7122" s="39"/>
      <c r="R7122" s="41"/>
      <c r="S7122" s="36"/>
      <c r="T7122" s="36"/>
      <c r="U7122" s="36"/>
      <c r="V7122" s="37"/>
    </row>
    <row r="7123" spans="13:22" x14ac:dyDescent="0.2">
      <c r="M7123" s="40"/>
      <c r="N7123" s="15"/>
      <c r="O7123" s="15"/>
      <c r="P7123" s="15"/>
      <c r="Q7123" s="39"/>
      <c r="R7123" s="41"/>
      <c r="S7123" s="36"/>
      <c r="T7123" s="36"/>
      <c r="U7123" s="36"/>
      <c r="V7123" s="37"/>
    </row>
    <row r="7124" spans="13:22" x14ac:dyDescent="0.2">
      <c r="M7124" s="40"/>
      <c r="N7124" s="15"/>
      <c r="O7124" s="15"/>
      <c r="P7124" s="15"/>
      <c r="Q7124" s="39"/>
      <c r="R7124" s="41"/>
      <c r="S7124" s="36"/>
      <c r="T7124" s="36"/>
      <c r="U7124" s="36"/>
      <c r="V7124" s="37"/>
    </row>
    <row r="7125" spans="13:22" x14ac:dyDescent="0.2">
      <c r="M7125" s="40"/>
      <c r="N7125" s="15"/>
      <c r="O7125" s="15"/>
      <c r="P7125" s="15"/>
      <c r="Q7125" s="39"/>
      <c r="R7125" s="41"/>
      <c r="S7125" s="36"/>
      <c r="T7125" s="36"/>
      <c r="U7125" s="36"/>
      <c r="V7125" s="37"/>
    </row>
    <row r="7126" spans="13:22" x14ac:dyDescent="0.2">
      <c r="M7126" s="40"/>
      <c r="N7126" s="15"/>
      <c r="O7126" s="15"/>
      <c r="P7126" s="15"/>
      <c r="Q7126" s="39"/>
      <c r="R7126" s="41"/>
      <c r="S7126" s="36"/>
      <c r="T7126" s="36"/>
      <c r="U7126" s="36"/>
      <c r="V7126" s="37"/>
    </row>
    <row r="7127" spans="13:22" x14ac:dyDescent="0.2">
      <c r="M7127" s="40"/>
      <c r="N7127" s="15"/>
      <c r="O7127" s="15"/>
      <c r="P7127" s="15"/>
      <c r="Q7127" s="39"/>
      <c r="R7127" s="41"/>
      <c r="S7127" s="36"/>
      <c r="T7127" s="36"/>
      <c r="U7127" s="36"/>
      <c r="V7127" s="37"/>
    </row>
    <row r="7128" spans="13:22" x14ac:dyDescent="0.2">
      <c r="M7128" s="40"/>
      <c r="N7128" s="15"/>
      <c r="O7128" s="15"/>
      <c r="P7128" s="15"/>
      <c r="Q7128" s="39"/>
      <c r="R7128" s="41"/>
      <c r="S7128" s="36"/>
      <c r="T7128" s="36"/>
      <c r="U7128" s="36"/>
      <c r="V7128" s="37"/>
    </row>
    <row r="7129" spans="13:22" x14ac:dyDescent="0.2">
      <c r="M7129" s="40"/>
      <c r="N7129" s="15"/>
      <c r="O7129" s="15"/>
      <c r="P7129" s="15"/>
      <c r="Q7129" s="39"/>
      <c r="R7129" s="41"/>
      <c r="S7129" s="36"/>
      <c r="T7129" s="36"/>
      <c r="U7129" s="36"/>
      <c r="V7129" s="37"/>
    </row>
    <row r="7130" spans="13:22" x14ac:dyDescent="0.2">
      <c r="M7130" s="40"/>
      <c r="N7130" s="15"/>
      <c r="O7130" s="15"/>
      <c r="P7130" s="15"/>
      <c r="Q7130" s="39"/>
      <c r="R7130" s="41"/>
      <c r="S7130" s="36"/>
      <c r="T7130" s="36"/>
      <c r="U7130" s="36"/>
      <c r="V7130" s="37"/>
    </row>
    <row r="7131" spans="13:22" ht="13.5" thickBot="1" x14ac:dyDescent="0.25">
      <c r="M7131" s="42"/>
      <c r="N7131" s="43"/>
      <c r="O7131" s="43"/>
      <c r="P7131" s="43"/>
      <c r="Q7131" s="44"/>
      <c r="R7131" s="41"/>
      <c r="S7131" s="46"/>
      <c r="T7131" s="46"/>
      <c r="U7131" s="46"/>
      <c r="V7131" s="47"/>
    </row>
    <row r="7132" spans="13:22" ht="13.5" thickBot="1" x14ac:dyDescent="0.25">
      <c r="M7132" s="48"/>
      <c r="N7132" s="49"/>
      <c r="O7132" s="49"/>
      <c r="P7132" s="49"/>
      <c r="Q7132" s="50"/>
      <c r="R7132" s="45"/>
      <c r="S7132" s="52"/>
      <c r="T7132" s="52"/>
      <c r="U7132" s="52"/>
      <c r="V7132" s="53"/>
    </row>
    <row r="7133" spans="13:22" x14ac:dyDescent="0.2">
      <c r="M7133" s="54"/>
      <c r="N7133" s="29"/>
      <c r="O7133" s="29"/>
      <c r="P7133" s="29"/>
      <c r="Q7133" s="34"/>
      <c r="R7133" s="51"/>
      <c r="S7133" s="36"/>
      <c r="T7133" s="36"/>
      <c r="U7133" s="36"/>
      <c r="V7133" s="37"/>
    </row>
    <row r="7134" spans="13:22" x14ac:dyDescent="0.2">
      <c r="M7134" s="33"/>
      <c r="N7134" s="29"/>
      <c r="O7134" s="29"/>
      <c r="P7134" s="29"/>
      <c r="Q7134" s="34"/>
      <c r="R7134" s="41"/>
      <c r="S7134" s="36"/>
      <c r="T7134" s="36"/>
      <c r="U7134" s="36"/>
      <c r="V7134" s="37"/>
    </row>
    <row r="7135" spans="13:22" x14ac:dyDescent="0.2">
      <c r="M7135" s="33"/>
      <c r="N7135" s="29"/>
      <c r="O7135" s="29"/>
      <c r="P7135" s="29"/>
      <c r="Q7135" s="34"/>
      <c r="R7135" s="35"/>
      <c r="S7135" s="36"/>
      <c r="T7135" s="36"/>
      <c r="U7135" s="36"/>
      <c r="V7135" s="37"/>
    </row>
    <row r="7136" spans="13:22" x14ac:dyDescent="0.2">
      <c r="M7136" s="33"/>
      <c r="N7136" s="29"/>
      <c r="O7136" s="29"/>
      <c r="P7136" s="29"/>
      <c r="Q7136" s="34"/>
      <c r="R7136" s="35"/>
      <c r="S7136" s="36"/>
      <c r="T7136" s="36"/>
      <c r="U7136" s="36"/>
      <c r="V7136" s="37"/>
    </row>
    <row r="7137" spans="13:22" x14ac:dyDescent="0.2">
      <c r="M7137" s="33"/>
      <c r="N7137" s="29"/>
      <c r="O7137" s="29"/>
      <c r="P7137" s="29"/>
      <c r="Q7137" s="34"/>
      <c r="R7137" s="35"/>
      <c r="S7137" s="36"/>
      <c r="T7137" s="36"/>
      <c r="U7137" s="36"/>
      <c r="V7137" s="37"/>
    </row>
    <row r="7138" spans="13:22" x14ac:dyDescent="0.2">
      <c r="M7138" s="33"/>
      <c r="N7138" s="29"/>
      <c r="O7138" s="29"/>
      <c r="P7138" s="29"/>
      <c r="Q7138" s="34"/>
      <c r="R7138" s="35"/>
      <c r="S7138" s="36"/>
      <c r="T7138" s="36"/>
      <c r="U7138" s="36"/>
      <c r="V7138" s="37"/>
    </row>
    <row r="7139" spans="13:22" x14ac:dyDescent="0.2">
      <c r="M7139" s="33"/>
      <c r="N7139" s="29"/>
      <c r="O7139" s="29"/>
      <c r="P7139" s="29"/>
      <c r="Q7139" s="38"/>
      <c r="R7139" s="35"/>
      <c r="S7139" s="36"/>
      <c r="T7139" s="36"/>
      <c r="U7139" s="36"/>
      <c r="V7139" s="37"/>
    </row>
    <row r="7140" spans="13:22" x14ac:dyDescent="0.2">
      <c r="M7140" s="33"/>
      <c r="N7140" s="29"/>
      <c r="O7140" s="29"/>
      <c r="P7140" s="29"/>
      <c r="Q7140" s="34"/>
      <c r="R7140" s="35"/>
      <c r="S7140" s="36"/>
      <c r="T7140" s="36"/>
      <c r="U7140" s="36"/>
      <c r="V7140" s="37"/>
    </row>
    <row r="7141" spans="13:22" x14ac:dyDescent="0.2">
      <c r="M7141" s="33"/>
      <c r="N7141" s="29"/>
      <c r="O7141" s="29"/>
      <c r="P7141" s="29"/>
      <c r="Q7141" s="34"/>
      <c r="R7141" s="35"/>
      <c r="S7141" s="36"/>
      <c r="T7141" s="36"/>
      <c r="U7141" s="36"/>
      <c r="V7141" s="37"/>
    </row>
    <row r="7142" spans="13:22" x14ac:dyDescent="0.2">
      <c r="M7142" s="33"/>
      <c r="N7142" s="29"/>
      <c r="O7142" s="29"/>
      <c r="P7142" s="29"/>
      <c r="Q7142" s="34"/>
      <c r="R7142" s="35"/>
      <c r="S7142" s="36"/>
      <c r="T7142" s="36"/>
      <c r="U7142" s="36"/>
      <c r="V7142" s="37"/>
    </row>
    <row r="7143" spans="13:22" x14ac:dyDescent="0.2">
      <c r="M7143" s="33"/>
      <c r="N7143" s="29"/>
      <c r="O7143" s="29"/>
      <c r="P7143" s="29"/>
      <c r="Q7143" s="34"/>
      <c r="R7143" s="35"/>
      <c r="S7143" s="36"/>
      <c r="T7143" s="36"/>
      <c r="U7143" s="36"/>
      <c r="V7143" s="37"/>
    </row>
    <row r="7144" spans="13:22" x14ac:dyDescent="0.2">
      <c r="M7144" s="26"/>
      <c r="N7144" s="15"/>
      <c r="O7144" s="15"/>
      <c r="P7144" s="15"/>
      <c r="Q7144" s="39"/>
      <c r="R7144" s="35"/>
      <c r="S7144" s="36"/>
      <c r="T7144" s="36"/>
      <c r="U7144" s="36"/>
      <c r="V7144" s="37"/>
    </row>
    <row r="7145" spans="13:22" x14ac:dyDescent="0.2">
      <c r="M7145" s="26"/>
      <c r="N7145" s="15"/>
      <c r="O7145" s="15"/>
      <c r="P7145" s="15"/>
      <c r="Q7145" s="39"/>
      <c r="R7145" s="35"/>
      <c r="S7145" s="36"/>
      <c r="T7145" s="36"/>
      <c r="U7145" s="36"/>
      <c r="V7145" s="37"/>
    </row>
    <row r="7146" spans="13:22" x14ac:dyDescent="0.2">
      <c r="M7146" s="40"/>
      <c r="N7146" s="15"/>
      <c r="O7146" s="15"/>
      <c r="P7146" s="15"/>
      <c r="Q7146" s="39"/>
      <c r="R7146" s="35"/>
      <c r="S7146" s="36"/>
      <c r="T7146" s="36"/>
      <c r="U7146" s="36"/>
      <c r="V7146" s="37"/>
    </row>
    <row r="7147" spans="13:22" x14ac:dyDescent="0.2">
      <c r="M7147" s="40"/>
      <c r="N7147" s="15"/>
      <c r="O7147" s="15"/>
      <c r="P7147" s="15"/>
      <c r="Q7147" s="39"/>
      <c r="R7147" s="41"/>
      <c r="S7147" s="36"/>
      <c r="T7147" s="36"/>
      <c r="U7147" s="36"/>
      <c r="V7147" s="37"/>
    </row>
    <row r="7148" spans="13:22" x14ac:dyDescent="0.2">
      <c r="M7148" s="40"/>
      <c r="N7148" s="15"/>
      <c r="O7148" s="15"/>
      <c r="P7148" s="15"/>
      <c r="Q7148" s="39"/>
      <c r="R7148" s="41"/>
      <c r="S7148" s="36"/>
      <c r="T7148" s="36"/>
      <c r="U7148" s="36"/>
      <c r="V7148" s="37"/>
    </row>
    <row r="7149" spans="13:22" x14ac:dyDescent="0.2">
      <c r="M7149" s="40"/>
      <c r="N7149" s="15"/>
      <c r="O7149" s="15"/>
      <c r="P7149" s="15"/>
      <c r="Q7149" s="39"/>
      <c r="R7149" s="41"/>
      <c r="S7149" s="36"/>
      <c r="T7149" s="36"/>
      <c r="U7149" s="36"/>
      <c r="V7149" s="37"/>
    </row>
    <row r="7150" spans="13:22" x14ac:dyDescent="0.2">
      <c r="M7150" s="40"/>
      <c r="N7150" s="15"/>
      <c r="O7150" s="15"/>
      <c r="P7150" s="15"/>
      <c r="Q7150" s="39"/>
      <c r="R7150" s="41"/>
      <c r="S7150" s="36"/>
      <c r="T7150" s="36"/>
      <c r="U7150" s="36"/>
      <c r="V7150" s="37"/>
    </row>
    <row r="7151" spans="13:22" x14ac:dyDescent="0.2">
      <c r="M7151" s="40"/>
      <c r="N7151" s="15"/>
      <c r="O7151" s="15"/>
      <c r="P7151" s="15"/>
      <c r="Q7151" s="39"/>
      <c r="R7151" s="41"/>
      <c r="S7151" s="36"/>
      <c r="T7151" s="36"/>
      <c r="U7151" s="36"/>
      <c r="V7151" s="37"/>
    </row>
    <row r="7152" spans="13:22" x14ac:dyDescent="0.2">
      <c r="M7152" s="40"/>
      <c r="N7152" s="15"/>
      <c r="O7152" s="15"/>
      <c r="P7152" s="15"/>
      <c r="Q7152" s="39"/>
      <c r="R7152" s="41"/>
      <c r="S7152" s="36"/>
      <c r="T7152" s="36"/>
      <c r="U7152" s="36"/>
      <c r="V7152" s="37"/>
    </row>
    <row r="7153" spans="13:22" x14ac:dyDescent="0.2">
      <c r="M7153" s="40"/>
      <c r="N7153" s="15"/>
      <c r="O7153" s="15"/>
      <c r="P7153" s="15"/>
      <c r="Q7153" s="39"/>
      <c r="R7153" s="41"/>
      <c r="S7153" s="36"/>
      <c r="T7153" s="36"/>
      <c r="U7153" s="36"/>
      <c r="V7153" s="37"/>
    </row>
    <row r="7154" spans="13:22" x14ac:dyDescent="0.2">
      <c r="M7154" s="40"/>
      <c r="N7154" s="15"/>
      <c r="O7154" s="15"/>
      <c r="P7154" s="15"/>
      <c r="Q7154" s="39"/>
      <c r="R7154" s="41"/>
      <c r="S7154" s="36"/>
      <c r="T7154" s="36"/>
      <c r="U7154" s="36"/>
      <c r="V7154" s="37"/>
    </row>
    <row r="7155" spans="13:22" x14ac:dyDescent="0.2">
      <c r="M7155" s="40"/>
      <c r="N7155" s="15"/>
      <c r="O7155" s="15"/>
      <c r="P7155" s="15"/>
      <c r="Q7155" s="39"/>
      <c r="R7155" s="41"/>
      <c r="S7155" s="36"/>
      <c r="T7155" s="36"/>
      <c r="U7155" s="36"/>
      <c r="V7155" s="37"/>
    </row>
    <row r="7156" spans="13:22" ht="13.5" thickBot="1" x14ac:dyDescent="0.25">
      <c r="M7156" s="42"/>
      <c r="N7156" s="43"/>
      <c r="O7156" s="43"/>
      <c r="P7156" s="43"/>
      <c r="Q7156" s="44"/>
      <c r="R7156" s="41"/>
      <c r="S7156" s="46"/>
      <c r="T7156" s="46"/>
      <c r="U7156" s="46"/>
      <c r="V7156" s="47"/>
    </row>
    <row r="7157" spans="13:22" ht="13.5" thickBot="1" x14ac:dyDescent="0.25">
      <c r="M7157" s="48"/>
      <c r="N7157" s="49"/>
      <c r="O7157" s="49"/>
      <c r="P7157" s="49"/>
      <c r="Q7157" s="50"/>
      <c r="R7157" s="45"/>
      <c r="S7157" s="52"/>
      <c r="T7157" s="52"/>
      <c r="U7157" s="52"/>
      <c r="V7157" s="53"/>
    </row>
    <row r="7158" spans="13:22" x14ac:dyDescent="0.2">
      <c r="M7158" s="54"/>
      <c r="N7158" s="29"/>
      <c r="O7158" s="29"/>
      <c r="P7158" s="29"/>
      <c r="Q7158" s="34"/>
      <c r="R7158" s="51"/>
      <c r="S7158" s="36"/>
      <c r="T7158" s="36"/>
      <c r="U7158" s="36"/>
      <c r="V7158" s="37"/>
    </row>
    <row r="7159" spans="13:22" x14ac:dyDescent="0.2">
      <c r="M7159" s="33"/>
      <c r="N7159" s="29"/>
      <c r="O7159" s="29"/>
      <c r="P7159" s="29"/>
      <c r="Q7159" s="34"/>
      <c r="R7159" s="41"/>
      <c r="S7159" s="36"/>
      <c r="T7159" s="36"/>
      <c r="U7159" s="36"/>
      <c r="V7159" s="37"/>
    </row>
    <row r="7160" spans="13:22" x14ac:dyDescent="0.2">
      <c r="M7160" s="33"/>
      <c r="N7160" s="29"/>
      <c r="O7160" s="29"/>
      <c r="P7160" s="29"/>
      <c r="Q7160" s="34"/>
      <c r="R7160" s="35"/>
      <c r="S7160" s="36"/>
      <c r="T7160" s="36"/>
      <c r="U7160" s="36"/>
      <c r="V7160" s="37"/>
    </row>
    <row r="7161" spans="13:22" x14ac:dyDescent="0.2">
      <c r="M7161" s="33"/>
      <c r="N7161" s="29"/>
      <c r="O7161" s="29"/>
      <c r="P7161" s="29"/>
      <c r="Q7161" s="34"/>
      <c r="R7161" s="35"/>
      <c r="S7161" s="36"/>
      <c r="T7161" s="36"/>
      <c r="U7161" s="36"/>
      <c r="V7161" s="37"/>
    </row>
    <row r="7162" spans="13:22" x14ac:dyDescent="0.2">
      <c r="M7162" s="33"/>
      <c r="N7162" s="29"/>
      <c r="O7162" s="29"/>
      <c r="P7162" s="29"/>
      <c r="Q7162" s="34"/>
      <c r="R7162" s="35"/>
      <c r="S7162" s="36"/>
      <c r="T7162" s="36"/>
      <c r="U7162" s="36"/>
      <c r="V7162" s="37"/>
    </row>
    <row r="7163" spans="13:22" x14ac:dyDescent="0.2">
      <c r="M7163" s="33"/>
      <c r="N7163" s="29"/>
      <c r="O7163" s="29"/>
      <c r="P7163" s="29"/>
      <c r="Q7163" s="34"/>
      <c r="R7163" s="35"/>
      <c r="S7163" s="36"/>
      <c r="T7163" s="36"/>
      <c r="U7163" s="36"/>
      <c r="V7163" s="37"/>
    </row>
    <row r="7164" spans="13:22" x14ac:dyDescent="0.2">
      <c r="M7164" s="33"/>
      <c r="N7164" s="29"/>
      <c r="O7164" s="29"/>
      <c r="P7164" s="29"/>
      <c r="Q7164" s="38"/>
      <c r="R7164" s="35"/>
      <c r="S7164" s="36"/>
      <c r="T7164" s="36"/>
      <c r="U7164" s="36"/>
      <c r="V7164" s="37"/>
    </row>
    <row r="7165" spans="13:22" x14ac:dyDescent="0.2">
      <c r="M7165" s="33"/>
      <c r="N7165" s="29"/>
      <c r="O7165" s="29"/>
      <c r="P7165" s="29"/>
      <c r="Q7165" s="34"/>
      <c r="R7165" s="35"/>
      <c r="S7165" s="36"/>
      <c r="T7165" s="36"/>
      <c r="U7165" s="36"/>
      <c r="V7165" s="37"/>
    </row>
    <row r="7166" spans="13:22" x14ac:dyDescent="0.2">
      <c r="M7166" s="33"/>
      <c r="N7166" s="29"/>
      <c r="O7166" s="29"/>
      <c r="P7166" s="29"/>
      <c r="Q7166" s="34"/>
      <c r="R7166" s="35"/>
      <c r="S7166" s="36"/>
      <c r="T7166" s="36"/>
      <c r="U7166" s="36"/>
      <c r="V7166" s="37"/>
    </row>
    <row r="7167" spans="13:22" x14ac:dyDescent="0.2">
      <c r="M7167" s="33"/>
      <c r="N7167" s="29"/>
      <c r="O7167" s="29"/>
      <c r="P7167" s="29"/>
      <c r="Q7167" s="34"/>
      <c r="R7167" s="35"/>
      <c r="S7167" s="36"/>
      <c r="T7167" s="36"/>
      <c r="U7167" s="36"/>
      <c r="V7167" s="37"/>
    </row>
    <row r="7168" spans="13:22" x14ac:dyDescent="0.2">
      <c r="M7168" s="33"/>
      <c r="N7168" s="29"/>
      <c r="O7168" s="29"/>
      <c r="P7168" s="29"/>
      <c r="Q7168" s="34"/>
      <c r="R7168" s="35"/>
      <c r="S7168" s="36"/>
      <c r="T7168" s="36"/>
      <c r="U7168" s="36"/>
      <c r="V7168" s="37"/>
    </row>
    <row r="7169" spans="13:22" x14ac:dyDescent="0.2">
      <c r="M7169" s="26"/>
      <c r="N7169" s="15"/>
      <c r="O7169" s="15"/>
      <c r="P7169" s="15"/>
      <c r="Q7169" s="39"/>
      <c r="R7169" s="35"/>
      <c r="S7169" s="36"/>
      <c r="T7169" s="36"/>
      <c r="U7169" s="36"/>
      <c r="V7169" s="37"/>
    </row>
    <row r="7170" spans="13:22" x14ac:dyDescent="0.2">
      <c r="M7170" s="26"/>
      <c r="N7170" s="15"/>
      <c r="O7170" s="15"/>
      <c r="P7170" s="15"/>
      <c r="Q7170" s="39"/>
      <c r="R7170" s="35"/>
      <c r="S7170" s="36"/>
      <c r="T7170" s="36"/>
      <c r="U7170" s="36"/>
      <c r="V7170" s="37"/>
    </row>
    <row r="7171" spans="13:22" x14ac:dyDescent="0.2">
      <c r="M7171" s="40"/>
      <c r="N7171" s="15"/>
      <c r="O7171" s="15"/>
      <c r="P7171" s="15"/>
      <c r="Q7171" s="39"/>
      <c r="R7171" s="35"/>
      <c r="S7171" s="36"/>
      <c r="T7171" s="36"/>
      <c r="U7171" s="36"/>
      <c r="V7171" s="37"/>
    </row>
    <row r="7172" spans="13:22" x14ac:dyDescent="0.2">
      <c r="M7172" s="40"/>
      <c r="N7172" s="15"/>
      <c r="O7172" s="15"/>
      <c r="P7172" s="15"/>
      <c r="Q7172" s="39"/>
      <c r="R7172" s="41"/>
      <c r="S7172" s="36"/>
      <c r="T7172" s="36"/>
      <c r="U7172" s="36"/>
      <c r="V7172" s="37"/>
    </row>
    <row r="7173" spans="13:22" x14ac:dyDescent="0.2">
      <c r="M7173" s="40"/>
      <c r="N7173" s="15"/>
      <c r="O7173" s="15"/>
      <c r="P7173" s="15"/>
      <c r="Q7173" s="39"/>
      <c r="R7173" s="41"/>
      <c r="S7173" s="36"/>
      <c r="T7173" s="36"/>
      <c r="U7173" s="36"/>
      <c r="V7173" s="37"/>
    </row>
    <row r="7174" spans="13:22" x14ac:dyDescent="0.2">
      <c r="M7174" s="40"/>
      <c r="N7174" s="15"/>
      <c r="O7174" s="15"/>
      <c r="P7174" s="15"/>
      <c r="Q7174" s="39"/>
      <c r="R7174" s="41"/>
      <c r="S7174" s="36"/>
      <c r="T7174" s="36"/>
      <c r="U7174" s="36"/>
      <c r="V7174" s="37"/>
    </row>
    <row r="7175" spans="13:22" x14ac:dyDescent="0.2">
      <c r="M7175" s="40"/>
      <c r="N7175" s="15"/>
      <c r="O7175" s="15"/>
      <c r="P7175" s="15"/>
      <c r="Q7175" s="39"/>
      <c r="R7175" s="41"/>
      <c r="S7175" s="36"/>
      <c r="T7175" s="36"/>
      <c r="U7175" s="36"/>
      <c r="V7175" s="37"/>
    </row>
    <row r="7176" spans="13:22" x14ac:dyDescent="0.2">
      <c r="M7176" s="40"/>
      <c r="N7176" s="15"/>
      <c r="O7176" s="15"/>
      <c r="P7176" s="15"/>
      <c r="Q7176" s="39"/>
      <c r="R7176" s="41"/>
      <c r="S7176" s="36"/>
      <c r="T7176" s="36"/>
      <c r="U7176" s="36"/>
      <c r="V7176" s="37"/>
    </row>
    <row r="7177" spans="13:22" x14ac:dyDescent="0.2">
      <c r="M7177" s="40"/>
      <c r="N7177" s="15"/>
      <c r="O7177" s="15"/>
      <c r="P7177" s="15"/>
      <c r="Q7177" s="39"/>
      <c r="R7177" s="41"/>
      <c r="S7177" s="36"/>
      <c r="T7177" s="36"/>
      <c r="U7177" s="36"/>
      <c r="V7177" s="37"/>
    </row>
    <row r="7178" spans="13:22" x14ac:dyDescent="0.2">
      <c r="M7178" s="40"/>
      <c r="N7178" s="15"/>
      <c r="O7178" s="15"/>
      <c r="P7178" s="15"/>
      <c r="Q7178" s="39"/>
      <c r="R7178" s="41"/>
      <c r="S7178" s="36"/>
      <c r="T7178" s="36"/>
      <c r="U7178" s="36"/>
      <c r="V7178" s="37"/>
    </row>
    <row r="7179" spans="13:22" x14ac:dyDescent="0.2">
      <c r="M7179" s="40"/>
      <c r="N7179" s="15"/>
      <c r="O7179" s="15"/>
      <c r="P7179" s="15"/>
      <c r="Q7179" s="39"/>
      <c r="R7179" s="41"/>
      <c r="S7179" s="36"/>
      <c r="T7179" s="36"/>
      <c r="U7179" s="36"/>
      <c r="V7179" s="37"/>
    </row>
    <row r="7180" spans="13:22" x14ac:dyDescent="0.2">
      <c r="M7180" s="40"/>
      <c r="N7180" s="15"/>
      <c r="O7180" s="15"/>
      <c r="P7180" s="15"/>
      <c r="Q7180" s="39"/>
      <c r="R7180" s="41"/>
      <c r="S7180" s="36"/>
      <c r="T7180" s="36"/>
      <c r="U7180" s="36"/>
      <c r="V7180" s="37"/>
    </row>
    <row r="7181" spans="13:22" ht="13.5" thickBot="1" x14ac:dyDescent="0.25">
      <c r="M7181" s="42"/>
      <c r="N7181" s="43"/>
      <c r="O7181" s="43"/>
      <c r="P7181" s="43"/>
      <c r="Q7181" s="44"/>
      <c r="R7181" s="41"/>
      <c r="S7181" s="46"/>
      <c r="T7181" s="46"/>
      <c r="U7181" s="46"/>
      <c r="V7181" s="47"/>
    </row>
    <row r="7182" spans="13:22" ht="13.5" thickBot="1" x14ac:dyDescent="0.25">
      <c r="M7182" s="48"/>
      <c r="N7182" s="49"/>
      <c r="O7182" s="49"/>
      <c r="P7182" s="49"/>
      <c r="Q7182" s="50"/>
      <c r="R7182" s="45"/>
      <c r="S7182" s="52"/>
      <c r="T7182" s="52"/>
      <c r="U7182" s="52"/>
      <c r="V7182" s="53"/>
    </row>
    <row r="7183" spans="13:22" x14ac:dyDescent="0.2">
      <c r="M7183" s="54"/>
      <c r="N7183" s="29"/>
      <c r="O7183" s="29"/>
      <c r="P7183" s="29"/>
      <c r="Q7183" s="34"/>
      <c r="R7183" s="51"/>
      <c r="S7183" s="36"/>
      <c r="T7183" s="36"/>
      <c r="U7183" s="36"/>
      <c r="V7183" s="37"/>
    </row>
    <row r="7184" spans="13:22" x14ac:dyDescent="0.2">
      <c r="M7184" s="33"/>
      <c r="N7184" s="29"/>
      <c r="O7184" s="29"/>
      <c r="P7184" s="29"/>
      <c r="Q7184" s="34"/>
      <c r="R7184" s="41"/>
      <c r="S7184" s="36"/>
      <c r="T7184" s="36"/>
      <c r="U7184" s="36"/>
      <c r="V7184" s="37"/>
    </row>
    <row r="7185" spans="13:22" x14ac:dyDescent="0.2">
      <c r="M7185" s="33"/>
      <c r="N7185" s="29"/>
      <c r="O7185" s="29"/>
      <c r="P7185" s="29"/>
      <c r="Q7185" s="34"/>
      <c r="R7185" s="35"/>
      <c r="S7185" s="36"/>
      <c r="T7185" s="36"/>
      <c r="U7185" s="36"/>
      <c r="V7185" s="37"/>
    </row>
    <row r="7186" spans="13:22" x14ac:dyDescent="0.2">
      <c r="M7186" s="33"/>
      <c r="N7186" s="29"/>
      <c r="O7186" s="29"/>
      <c r="P7186" s="29"/>
      <c r="Q7186" s="34"/>
      <c r="R7186" s="35"/>
      <c r="S7186" s="36"/>
      <c r="T7186" s="36"/>
      <c r="U7186" s="36"/>
      <c r="V7186" s="37"/>
    </row>
    <row r="7187" spans="13:22" x14ac:dyDescent="0.2">
      <c r="M7187" s="33"/>
      <c r="N7187" s="29"/>
      <c r="O7187" s="29"/>
      <c r="P7187" s="29"/>
      <c r="Q7187" s="34"/>
      <c r="R7187" s="35"/>
      <c r="S7187" s="36"/>
      <c r="T7187" s="36"/>
      <c r="U7187" s="36"/>
      <c r="V7187" s="37"/>
    </row>
    <row r="7188" spans="13:22" x14ac:dyDescent="0.2">
      <c r="M7188" s="33"/>
      <c r="N7188" s="29"/>
      <c r="O7188" s="29"/>
      <c r="P7188" s="29"/>
      <c r="Q7188" s="34"/>
      <c r="R7188" s="35"/>
      <c r="S7188" s="36"/>
      <c r="T7188" s="36"/>
      <c r="U7188" s="36"/>
      <c r="V7188" s="37"/>
    </row>
    <row r="7189" spans="13:22" x14ac:dyDescent="0.2">
      <c r="M7189" s="33"/>
      <c r="N7189" s="29"/>
      <c r="O7189" s="29"/>
      <c r="P7189" s="29"/>
      <c r="Q7189" s="38"/>
      <c r="R7189" s="35"/>
      <c r="S7189" s="36"/>
      <c r="T7189" s="36"/>
      <c r="U7189" s="36"/>
      <c r="V7189" s="37"/>
    </row>
    <row r="7190" spans="13:22" x14ac:dyDescent="0.2">
      <c r="M7190" s="33"/>
      <c r="N7190" s="29"/>
      <c r="O7190" s="29"/>
      <c r="P7190" s="29"/>
      <c r="Q7190" s="34"/>
      <c r="R7190" s="35"/>
      <c r="S7190" s="36"/>
      <c r="T7190" s="36"/>
      <c r="U7190" s="36"/>
      <c r="V7190" s="37"/>
    </row>
    <row r="7191" spans="13:22" x14ac:dyDescent="0.2">
      <c r="M7191" s="33"/>
      <c r="N7191" s="29"/>
      <c r="O7191" s="29"/>
      <c r="P7191" s="29"/>
      <c r="Q7191" s="34"/>
      <c r="R7191" s="35"/>
      <c r="S7191" s="36"/>
      <c r="T7191" s="36"/>
      <c r="U7191" s="36"/>
      <c r="V7191" s="37"/>
    </row>
    <row r="7192" spans="13:22" x14ac:dyDescent="0.2">
      <c r="M7192" s="33"/>
      <c r="N7192" s="29"/>
      <c r="O7192" s="29"/>
      <c r="P7192" s="29"/>
      <c r="Q7192" s="34"/>
      <c r="R7192" s="35"/>
      <c r="S7192" s="36"/>
      <c r="T7192" s="36"/>
      <c r="U7192" s="36"/>
      <c r="V7192" s="37"/>
    </row>
    <row r="7193" spans="13:22" x14ac:dyDescent="0.2">
      <c r="M7193" s="33"/>
      <c r="N7193" s="29"/>
      <c r="O7193" s="29"/>
      <c r="P7193" s="29"/>
      <c r="Q7193" s="34"/>
      <c r="R7193" s="35"/>
      <c r="S7193" s="36"/>
      <c r="T7193" s="36"/>
      <c r="U7193" s="36"/>
      <c r="V7193" s="37"/>
    </row>
    <row r="7194" spans="13:22" x14ac:dyDescent="0.2">
      <c r="M7194" s="26"/>
      <c r="N7194" s="15"/>
      <c r="O7194" s="15"/>
      <c r="P7194" s="15"/>
      <c r="Q7194" s="39"/>
      <c r="R7194" s="35"/>
      <c r="S7194" s="36"/>
      <c r="T7194" s="36"/>
      <c r="U7194" s="36"/>
      <c r="V7194" s="37"/>
    </row>
    <row r="7195" spans="13:22" x14ac:dyDescent="0.2">
      <c r="M7195" s="26"/>
      <c r="N7195" s="15"/>
      <c r="O7195" s="15"/>
      <c r="P7195" s="15"/>
      <c r="Q7195" s="39"/>
      <c r="R7195" s="35"/>
      <c r="S7195" s="36"/>
      <c r="T7195" s="36"/>
      <c r="U7195" s="36"/>
      <c r="V7195" s="37"/>
    </row>
    <row r="7196" spans="13:22" x14ac:dyDescent="0.2">
      <c r="M7196" s="40"/>
      <c r="N7196" s="15"/>
      <c r="O7196" s="15"/>
      <c r="P7196" s="15"/>
      <c r="Q7196" s="39"/>
      <c r="R7196" s="35"/>
      <c r="S7196" s="36"/>
      <c r="T7196" s="36"/>
      <c r="U7196" s="36"/>
      <c r="V7196" s="37"/>
    </row>
    <row r="7197" spans="13:22" x14ac:dyDescent="0.2">
      <c r="M7197" s="40"/>
      <c r="N7197" s="15"/>
      <c r="O7197" s="15"/>
      <c r="P7197" s="15"/>
      <c r="Q7197" s="39"/>
      <c r="R7197" s="41"/>
      <c r="S7197" s="36"/>
      <c r="T7197" s="36"/>
      <c r="U7197" s="36"/>
      <c r="V7197" s="37"/>
    </row>
    <row r="7198" spans="13:22" x14ac:dyDescent="0.2">
      <c r="M7198" s="40"/>
      <c r="N7198" s="15"/>
      <c r="O7198" s="15"/>
      <c r="P7198" s="15"/>
      <c r="Q7198" s="39"/>
      <c r="R7198" s="41"/>
      <c r="S7198" s="36"/>
      <c r="T7198" s="36"/>
      <c r="U7198" s="36"/>
      <c r="V7198" s="37"/>
    </row>
    <row r="7199" spans="13:22" x14ac:dyDescent="0.2">
      <c r="M7199" s="40"/>
      <c r="N7199" s="15"/>
      <c r="O7199" s="15"/>
      <c r="P7199" s="15"/>
      <c r="Q7199" s="39"/>
      <c r="R7199" s="41"/>
      <c r="S7199" s="36"/>
      <c r="T7199" s="36"/>
      <c r="U7199" s="36"/>
      <c r="V7199" s="37"/>
    </row>
    <row r="7200" spans="13:22" x14ac:dyDescent="0.2">
      <c r="M7200" s="40"/>
      <c r="N7200" s="15"/>
      <c r="O7200" s="15"/>
      <c r="P7200" s="15"/>
      <c r="Q7200" s="39"/>
      <c r="R7200" s="41"/>
      <c r="S7200" s="36"/>
      <c r="T7200" s="36"/>
      <c r="U7200" s="36"/>
      <c r="V7200" s="37"/>
    </row>
    <row r="7201" spans="13:22" x14ac:dyDescent="0.2">
      <c r="M7201" s="40"/>
      <c r="N7201" s="15"/>
      <c r="O7201" s="15"/>
      <c r="P7201" s="15"/>
      <c r="Q7201" s="39"/>
      <c r="R7201" s="41"/>
      <c r="S7201" s="36"/>
      <c r="T7201" s="36"/>
      <c r="U7201" s="36"/>
      <c r="V7201" s="37"/>
    </row>
    <row r="7202" spans="13:22" x14ac:dyDescent="0.2">
      <c r="M7202" s="40"/>
      <c r="N7202" s="15"/>
      <c r="O7202" s="15"/>
      <c r="P7202" s="15"/>
      <c r="Q7202" s="39"/>
      <c r="R7202" s="41"/>
      <c r="S7202" s="36"/>
      <c r="T7202" s="36"/>
      <c r="U7202" s="36"/>
      <c r="V7202" s="37"/>
    </row>
    <row r="7203" spans="13:22" x14ac:dyDescent="0.2">
      <c r="M7203" s="40"/>
      <c r="N7203" s="15"/>
      <c r="O7203" s="15"/>
      <c r="P7203" s="15"/>
      <c r="Q7203" s="39"/>
      <c r="R7203" s="41"/>
      <c r="S7203" s="36"/>
      <c r="T7203" s="36"/>
      <c r="U7203" s="36"/>
      <c r="V7203" s="37"/>
    </row>
    <row r="7204" spans="13:22" x14ac:dyDescent="0.2">
      <c r="M7204" s="40"/>
      <c r="N7204" s="15"/>
      <c r="O7204" s="15"/>
      <c r="P7204" s="15"/>
      <c r="Q7204" s="39"/>
      <c r="R7204" s="41"/>
      <c r="S7204" s="36"/>
      <c r="T7204" s="36"/>
      <c r="U7204" s="36"/>
      <c r="V7204" s="37"/>
    </row>
    <row r="7205" spans="13:22" x14ac:dyDescent="0.2">
      <c r="M7205" s="40"/>
      <c r="N7205" s="15"/>
      <c r="O7205" s="15"/>
      <c r="P7205" s="15"/>
      <c r="Q7205" s="39"/>
      <c r="R7205" s="41"/>
      <c r="S7205" s="36"/>
      <c r="T7205" s="36"/>
      <c r="U7205" s="36"/>
      <c r="V7205" s="37"/>
    </row>
    <row r="7206" spans="13:22" ht="13.5" thickBot="1" x14ac:dyDescent="0.25">
      <c r="M7206" s="42"/>
      <c r="N7206" s="43"/>
      <c r="O7206" s="43"/>
      <c r="P7206" s="43"/>
      <c r="Q7206" s="44"/>
      <c r="R7206" s="41"/>
      <c r="S7206" s="46"/>
      <c r="T7206" s="46"/>
      <c r="U7206" s="46"/>
      <c r="V7206" s="47"/>
    </row>
    <row r="7207" spans="13:22" ht="13.5" thickBot="1" x14ac:dyDescent="0.25">
      <c r="M7207" s="48"/>
      <c r="N7207" s="49"/>
      <c r="O7207" s="49"/>
      <c r="P7207" s="49"/>
      <c r="Q7207" s="50"/>
      <c r="R7207" s="45"/>
      <c r="S7207" s="52"/>
      <c r="T7207" s="52"/>
      <c r="U7207" s="52"/>
      <c r="V7207" s="53"/>
    </row>
    <row r="7208" spans="13:22" x14ac:dyDescent="0.2">
      <c r="M7208" s="54"/>
      <c r="N7208" s="29"/>
      <c r="O7208" s="29"/>
      <c r="P7208" s="29"/>
      <c r="Q7208" s="34"/>
      <c r="R7208" s="51"/>
      <c r="S7208" s="36"/>
      <c r="T7208" s="36"/>
      <c r="U7208" s="36"/>
      <c r="V7208" s="37"/>
    </row>
    <row r="7209" spans="13:22" x14ac:dyDescent="0.2">
      <c r="M7209" s="33"/>
      <c r="N7209" s="29"/>
      <c r="O7209" s="29"/>
      <c r="P7209" s="29"/>
      <c r="Q7209" s="34"/>
      <c r="R7209" s="41"/>
      <c r="S7209" s="36"/>
      <c r="T7209" s="36"/>
      <c r="U7209" s="36"/>
      <c r="V7209" s="37"/>
    </row>
    <row r="7210" spans="13:22" x14ac:dyDescent="0.2">
      <c r="M7210" s="33"/>
      <c r="N7210" s="29"/>
      <c r="O7210" s="29"/>
      <c r="P7210" s="29"/>
      <c r="Q7210" s="34"/>
      <c r="R7210" s="35"/>
      <c r="S7210" s="36"/>
      <c r="T7210" s="36"/>
      <c r="U7210" s="36"/>
      <c r="V7210" s="37"/>
    </row>
    <row r="7211" spans="13:22" x14ac:dyDescent="0.2">
      <c r="M7211" s="33"/>
      <c r="N7211" s="29"/>
      <c r="O7211" s="29"/>
      <c r="P7211" s="29"/>
      <c r="Q7211" s="34"/>
      <c r="R7211" s="35"/>
      <c r="S7211" s="36"/>
      <c r="T7211" s="36"/>
      <c r="U7211" s="36"/>
      <c r="V7211" s="37"/>
    </row>
    <row r="7212" spans="13:22" x14ac:dyDescent="0.2">
      <c r="M7212" s="33"/>
      <c r="N7212" s="29"/>
      <c r="O7212" s="29"/>
      <c r="P7212" s="29"/>
      <c r="Q7212" s="34"/>
      <c r="R7212" s="35"/>
      <c r="S7212" s="36"/>
      <c r="T7212" s="36"/>
      <c r="U7212" s="36"/>
      <c r="V7212" s="37"/>
    </row>
    <row r="7213" spans="13:22" x14ac:dyDescent="0.2">
      <c r="M7213" s="33"/>
      <c r="N7213" s="29"/>
      <c r="O7213" s="29"/>
      <c r="P7213" s="29"/>
      <c r="Q7213" s="34"/>
      <c r="R7213" s="35"/>
      <c r="S7213" s="36"/>
      <c r="T7213" s="36"/>
      <c r="U7213" s="36"/>
      <c r="V7213" s="37"/>
    </row>
    <row r="7214" spans="13:22" x14ac:dyDescent="0.2">
      <c r="M7214" s="33"/>
      <c r="N7214" s="29"/>
      <c r="O7214" s="29"/>
      <c r="P7214" s="29"/>
      <c r="Q7214" s="38"/>
      <c r="R7214" s="35"/>
      <c r="S7214" s="36"/>
      <c r="T7214" s="36"/>
      <c r="U7214" s="36"/>
      <c r="V7214" s="37"/>
    </row>
    <row r="7215" spans="13:22" x14ac:dyDescent="0.2">
      <c r="M7215" s="33"/>
      <c r="N7215" s="29"/>
      <c r="O7215" s="29"/>
      <c r="P7215" s="29"/>
      <c r="Q7215" s="34"/>
      <c r="R7215" s="35"/>
      <c r="S7215" s="36"/>
      <c r="T7215" s="36"/>
      <c r="U7215" s="36"/>
      <c r="V7215" s="37"/>
    </row>
    <row r="7216" spans="13:22" x14ac:dyDescent="0.2">
      <c r="M7216" s="33"/>
      <c r="N7216" s="29"/>
      <c r="O7216" s="29"/>
      <c r="P7216" s="29"/>
      <c r="Q7216" s="34"/>
      <c r="R7216" s="35"/>
      <c r="S7216" s="36"/>
      <c r="T7216" s="36"/>
      <c r="U7216" s="36"/>
      <c r="V7216" s="37"/>
    </row>
    <row r="7217" spans="13:22" x14ac:dyDescent="0.2">
      <c r="M7217" s="33"/>
      <c r="N7217" s="29"/>
      <c r="O7217" s="29"/>
      <c r="P7217" s="29"/>
      <c r="Q7217" s="34"/>
      <c r="R7217" s="35"/>
      <c r="S7217" s="36"/>
      <c r="T7217" s="36"/>
      <c r="U7217" s="36"/>
      <c r="V7217" s="37"/>
    </row>
    <row r="7218" spans="13:22" x14ac:dyDescent="0.2">
      <c r="M7218" s="33"/>
      <c r="N7218" s="29"/>
      <c r="O7218" s="29"/>
      <c r="P7218" s="29"/>
      <c r="Q7218" s="34"/>
      <c r="R7218" s="35"/>
      <c r="S7218" s="36"/>
      <c r="T7218" s="36"/>
      <c r="U7218" s="36"/>
      <c r="V7218" s="37"/>
    </row>
    <row r="7219" spans="13:22" x14ac:dyDescent="0.2">
      <c r="M7219" s="26"/>
      <c r="N7219" s="15"/>
      <c r="O7219" s="15"/>
      <c r="P7219" s="15"/>
      <c r="Q7219" s="39"/>
      <c r="R7219" s="35"/>
      <c r="S7219" s="36"/>
      <c r="T7219" s="36"/>
      <c r="U7219" s="36"/>
      <c r="V7219" s="37"/>
    </row>
    <row r="7220" spans="13:22" x14ac:dyDescent="0.2">
      <c r="M7220" s="26"/>
      <c r="N7220" s="15"/>
      <c r="O7220" s="15"/>
      <c r="P7220" s="15"/>
      <c r="Q7220" s="39"/>
      <c r="R7220" s="35"/>
      <c r="S7220" s="36"/>
      <c r="T7220" s="36"/>
      <c r="U7220" s="36"/>
      <c r="V7220" s="37"/>
    </row>
    <row r="7221" spans="13:22" x14ac:dyDescent="0.2">
      <c r="M7221" s="40"/>
      <c r="N7221" s="15"/>
      <c r="O7221" s="15"/>
      <c r="P7221" s="15"/>
      <c r="Q7221" s="39"/>
      <c r="R7221" s="35"/>
      <c r="S7221" s="36"/>
      <c r="T7221" s="36"/>
      <c r="U7221" s="36"/>
      <c r="V7221" s="37"/>
    </row>
    <row r="7222" spans="13:22" x14ac:dyDescent="0.2">
      <c r="M7222" s="40"/>
      <c r="N7222" s="15"/>
      <c r="O7222" s="15"/>
      <c r="P7222" s="15"/>
      <c r="Q7222" s="39"/>
      <c r="R7222" s="41"/>
      <c r="S7222" s="36"/>
      <c r="T7222" s="36"/>
      <c r="U7222" s="36"/>
      <c r="V7222" s="37"/>
    </row>
    <row r="7223" spans="13:22" x14ac:dyDescent="0.2">
      <c r="M7223" s="40"/>
      <c r="N7223" s="15"/>
      <c r="O7223" s="15"/>
      <c r="P7223" s="15"/>
      <c r="Q7223" s="39"/>
      <c r="R7223" s="41"/>
      <c r="S7223" s="36"/>
      <c r="T7223" s="36"/>
      <c r="U7223" s="36"/>
      <c r="V7223" s="37"/>
    </row>
    <row r="7224" spans="13:22" x14ac:dyDescent="0.2">
      <c r="M7224" s="40"/>
      <c r="N7224" s="15"/>
      <c r="O7224" s="15"/>
      <c r="P7224" s="15"/>
      <c r="Q7224" s="39"/>
      <c r="R7224" s="41"/>
      <c r="S7224" s="36"/>
      <c r="T7224" s="36"/>
      <c r="U7224" s="36"/>
      <c r="V7224" s="37"/>
    </row>
    <row r="7225" spans="13:22" x14ac:dyDescent="0.2">
      <c r="M7225" s="40"/>
      <c r="N7225" s="15"/>
      <c r="O7225" s="15"/>
      <c r="P7225" s="15"/>
      <c r="Q7225" s="39"/>
      <c r="R7225" s="41"/>
      <c r="S7225" s="36"/>
      <c r="T7225" s="36"/>
      <c r="U7225" s="36"/>
      <c r="V7225" s="37"/>
    </row>
    <row r="7226" spans="13:22" x14ac:dyDescent="0.2">
      <c r="M7226" s="40"/>
      <c r="N7226" s="15"/>
      <c r="O7226" s="15"/>
      <c r="P7226" s="15"/>
      <c r="Q7226" s="39"/>
      <c r="R7226" s="41"/>
      <c r="S7226" s="36"/>
      <c r="T7226" s="36"/>
      <c r="U7226" s="36"/>
      <c r="V7226" s="37"/>
    </row>
    <row r="7227" spans="13:22" x14ac:dyDescent="0.2">
      <c r="M7227" s="40"/>
      <c r="N7227" s="15"/>
      <c r="O7227" s="15"/>
      <c r="P7227" s="15"/>
      <c r="Q7227" s="39"/>
      <c r="R7227" s="41"/>
      <c r="S7227" s="36"/>
      <c r="T7227" s="36"/>
      <c r="U7227" s="36"/>
      <c r="V7227" s="37"/>
    </row>
    <row r="7228" spans="13:22" x14ac:dyDescent="0.2">
      <c r="M7228" s="40"/>
      <c r="N7228" s="15"/>
      <c r="O7228" s="15"/>
      <c r="P7228" s="15"/>
      <c r="Q7228" s="39"/>
      <c r="R7228" s="41"/>
      <c r="S7228" s="36"/>
      <c r="T7228" s="36"/>
      <c r="U7228" s="36"/>
      <c r="V7228" s="37"/>
    </row>
    <row r="7229" spans="13:22" x14ac:dyDescent="0.2">
      <c r="M7229" s="40"/>
      <c r="N7229" s="15"/>
      <c r="O7229" s="15"/>
      <c r="P7229" s="15"/>
      <c r="Q7229" s="39"/>
      <c r="R7229" s="41"/>
      <c r="S7229" s="36"/>
      <c r="T7229" s="36"/>
      <c r="U7229" s="36"/>
      <c r="V7229" s="37"/>
    </row>
    <row r="7230" spans="13:22" x14ac:dyDescent="0.2">
      <c r="M7230" s="40"/>
      <c r="N7230" s="15"/>
      <c r="O7230" s="15"/>
      <c r="P7230" s="15"/>
      <c r="Q7230" s="39"/>
      <c r="R7230" s="41"/>
      <c r="S7230" s="36"/>
      <c r="T7230" s="36"/>
      <c r="U7230" s="36"/>
      <c r="V7230" s="37"/>
    </row>
    <row r="7231" spans="13:22" ht="13.5" thickBot="1" x14ac:dyDescent="0.25">
      <c r="M7231" s="42"/>
      <c r="N7231" s="43"/>
      <c r="O7231" s="43"/>
      <c r="P7231" s="43"/>
      <c r="Q7231" s="44"/>
      <c r="R7231" s="41"/>
      <c r="S7231" s="46"/>
      <c r="T7231" s="46"/>
      <c r="U7231" s="46"/>
      <c r="V7231" s="47"/>
    </row>
    <row r="7232" spans="13:22" ht="13.5" thickBot="1" x14ac:dyDescent="0.25">
      <c r="M7232" s="48"/>
      <c r="N7232" s="49"/>
      <c r="O7232" s="49"/>
      <c r="P7232" s="49"/>
      <c r="Q7232" s="50"/>
      <c r="R7232" s="45"/>
      <c r="S7232" s="52"/>
      <c r="T7232" s="52"/>
      <c r="U7232" s="52"/>
      <c r="V7232" s="53"/>
    </row>
    <row r="7233" spans="13:22" x14ac:dyDescent="0.2">
      <c r="M7233" s="54"/>
      <c r="N7233" s="29"/>
      <c r="O7233" s="29"/>
      <c r="P7233" s="29"/>
      <c r="Q7233" s="34"/>
      <c r="R7233" s="51"/>
      <c r="S7233" s="36"/>
      <c r="T7233" s="36"/>
      <c r="U7233" s="36"/>
      <c r="V7233" s="37"/>
    </row>
    <row r="7234" spans="13:22" x14ac:dyDescent="0.2">
      <c r="M7234" s="33"/>
      <c r="N7234" s="29"/>
      <c r="O7234" s="29"/>
      <c r="P7234" s="29"/>
      <c r="Q7234" s="34"/>
      <c r="R7234" s="41"/>
      <c r="S7234" s="36"/>
      <c r="T7234" s="36"/>
      <c r="U7234" s="36"/>
      <c r="V7234" s="37"/>
    </row>
    <row r="7235" spans="13:22" x14ac:dyDescent="0.2">
      <c r="M7235" s="33"/>
      <c r="N7235" s="29"/>
      <c r="O7235" s="29"/>
      <c r="P7235" s="29"/>
      <c r="Q7235" s="34"/>
      <c r="R7235" s="35"/>
      <c r="S7235" s="36"/>
      <c r="T7235" s="36"/>
      <c r="U7235" s="36"/>
      <c r="V7235" s="37"/>
    </row>
    <row r="7236" spans="13:22" x14ac:dyDescent="0.2">
      <c r="M7236" s="33"/>
      <c r="N7236" s="29"/>
      <c r="O7236" s="29"/>
      <c r="P7236" s="29"/>
      <c r="Q7236" s="34"/>
      <c r="R7236" s="35"/>
      <c r="S7236" s="36"/>
      <c r="T7236" s="36"/>
      <c r="U7236" s="36"/>
      <c r="V7236" s="37"/>
    </row>
    <row r="7237" spans="13:22" x14ac:dyDescent="0.2">
      <c r="M7237" s="33"/>
      <c r="N7237" s="29"/>
      <c r="O7237" s="29"/>
      <c r="P7237" s="29"/>
      <c r="Q7237" s="34"/>
      <c r="R7237" s="35"/>
      <c r="S7237" s="36"/>
      <c r="T7237" s="36"/>
      <c r="U7237" s="36"/>
      <c r="V7237" s="37"/>
    </row>
    <row r="7238" spans="13:22" x14ac:dyDescent="0.2">
      <c r="M7238" s="33"/>
      <c r="N7238" s="29"/>
      <c r="O7238" s="29"/>
      <c r="P7238" s="29"/>
      <c r="Q7238" s="34"/>
      <c r="R7238" s="35"/>
      <c r="S7238" s="36"/>
      <c r="T7238" s="36"/>
      <c r="U7238" s="36"/>
      <c r="V7238" s="37"/>
    </row>
    <row r="7239" spans="13:22" x14ac:dyDescent="0.2">
      <c r="M7239" s="33"/>
      <c r="N7239" s="29"/>
      <c r="O7239" s="29"/>
      <c r="P7239" s="29"/>
      <c r="Q7239" s="38"/>
      <c r="R7239" s="35"/>
      <c r="S7239" s="36"/>
      <c r="T7239" s="36"/>
      <c r="U7239" s="36"/>
      <c r="V7239" s="37"/>
    </row>
    <row r="7240" spans="13:22" x14ac:dyDescent="0.2">
      <c r="M7240" s="33"/>
      <c r="N7240" s="29"/>
      <c r="O7240" s="29"/>
      <c r="P7240" s="29"/>
      <c r="Q7240" s="34"/>
      <c r="R7240" s="35"/>
      <c r="S7240" s="36"/>
      <c r="T7240" s="36"/>
      <c r="U7240" s="36"/>
      <c r="V7240" s="37"/>
    </row>
    <row r="7241" spans="13:22" x14ac:dyDescent="0.2">
      <c r="M7241" s="33"/>
      <c r="N7241" s="29"/>
      <c r="O7241" s="29"/>
      <c r="P7241" s="29"/>
      <c r="Q7241" s="34"/>
      <c r="R7241" s="35"/>
      <c r="S7241" s="36"/>
      <c r="T7241" s="36"/>
      <c r="U7241" s="36"/>
      <c r="V7241" s="37"/>
    </row>
    <row r="7242" spans="13:22" x14ac:dyDescent="0.2">
      <c r="M7242" s="33"/>
      <c r="N7242" s="29"/>
      <c r="O7242" s="29"/>
      <c r="P7242" s="29"/>
      <c r="Q7242" s="34"/>
      <c r="R7242" s="35"/>
      <c r="S7242" s="36"/>
      <c r="T7242" s="36"/>
      <c r="U7242" s="36"/>
      <c r="V7242" s="37"/>
    </row>
    <row r="7243" spans="13:22" x14ac:dyDescent="0.2">
      <c r="M7243" s="33"/>
      <c r="N7243" s="29"/>
      <c r="O7243" s="29"/>
      <c r="P7243" s="29"/>
      <c r="Q7243" s="34"/>
      <c r="R7243" s="35"/>
      <c r="S7243" s="36"/>
      <c r="T7243" s="36"/>
      <c r="U7243" s="36"/>
      <c r="V7243" s="37"/>
    </row>
    <row r="7244" spans="13:22" x14ac:dyDescent="0.2">
      <c r="M7244" s="26"/>
      <c r="N7244" s="15"/>
      <c r="O7244" s="15"/>
      <c r="P7244" s="15"/>
      <c r="Q7244" s="39"/>
      <c r="R7244" s="35"/>
      <c r="S7244" s="36"/>
      <c r="T7244" s="36"/>
      <c r="U7244" s="36"/>
      <c r="V7244" s="37"/>
    </row>
    <row r="7245" spans="13:22" x14ac:dyDescent="0.2">
      <c r="M7245" s="26"/>
      <c r="N7245" s="15"/>
      <c r="O7245" s="15"/>
      <c r="P7245" s="15"/>
      <c r="Q7245" s="39"/>
      <c r="R7245" s="35"/>
      <c r="S7245" s="36"/>
      <c r="T7245" s="36"/>
      <c r="U7245" s="36"/>
      <c r="V7245" s="37"/>
    </row>
    <row r="7246" spans="13:22" x14ac:dyDescent="0.2">
      <c r="M7246" s="40"/>
      <c r="N7246" s="15"/>
      <c r="O7246" s="15"/>
      <c r="P7246" s="15"/>
      <c r="Q7246" s="39"/>
      <c r="R7246" s="35"/>
      <c r="S7246" s="36"/>
      <c r="T7246" s="36"/>
      <c r="U7246" s="36"/>
      <c r="V7246" s="37"/>
    </row>
    <row r="7247" spans="13:22" x14ac:dyDescent="0.2">
      <c r="M7247" s="40"/>
      <c r="N7247" s="15"/>
      <c r="O7247" s="15"/>
      <c r="P7247" s="15"/>
      <c r="Q7247" s="39"/>
      <c r="R7247" s="41"/>
      <c r="S7247" s="36"/>
      <c r="T7247" s="36"/>
      <c r="U7247" s="36"/>
      <c r="V7247" s="37"/>
    </row>
    <row r="7248" spans="13:22" x14ac:dyDescent="0.2">
      <c r="M7248" s="40"/>
      <c r="N7248" s="15"/>
      <c r="O7248" s="15"/>
      <c r="P7248" s="15"/>
      <c r="Q7248" s="39"/>
      <c r="R7248" s="41"/>
      <c r="S7248" s="36"/>
      <c r="T7248" s="36"/>
      <c r="U7248" s="36"/>
      <c r="V7248" s="37"/>
    </row>
    <row r="7249" spans="13:22" x14ac:dyDescent="0.2">
      <c r="M7249" s="40"/>
      <c r="N7249" s="15"/>
      <c r="O7249" s="15"/>
      <c r="P7249" s="15"/>
      <c r="Q7249" s="39"/>
      <c r="R7249" s="41"/>
      <c r="S7249" s="36"/>
      <c r="T7249" s="36"/>
      <c r="U7249" s="36"/>
      <c r="V7249" s="37"/>
    </row>
    <row r="7250" spans="13:22" x14ac:dyDescent="0.2">
      <c r="M7250" s="40"/>
      <c r="N7250" s="15"/>
      <c r="O7250" s="15"/>
      <c r="P7250" s="15"/>
      <c r="Q7250" s="39"/>
      <c r="R7250" s="41"/>
      <c r="S7250" s="36"/>
      <c r="T7250" s="36"/>
      <c r="U7250" s="36"/>
      <c r="V7250" s="37"/>
    </row>
    <row r="7251" spans="13:22" x14ac:dyDescent="0.2">
      <c r="M7251" s="40"/>
      <c r="N7251" s="15"/>
      <c r="O7251" s="15"/>
      <c r="P7251" s="15"/>
      <c r="Q7251" s="39"/>
      <c r="R7251" s="41"/>
      <c r="S7251" s="36"/>
      <c r="T7251" s="36"/>
      <c r="U7251" s="36"/>
      <c r="V7251" s="37"/>
    </row>
    <row r="7252" spans="13:22" x14ac:dyDescent="0.2">
      <c r="M7252" s="40"/>
      <c r="N7252" s="15"/>
      <c r="O7252" s="15"/>
      <c r="P7252" s="15"/>
      <c r="Q7252" s="39"/>
      <c r="R7252" s="41"/>
      <c r="S7252" s="36"/>
      <c r="T7252" s="36"/>
      <c r="U7252" s="36"/>
      <c r="V7252" s="37"/>
    </row>
    <row r="7253" spans="13:22" x14ac:dyDescent="0.2">
      <c r="M7253" s="40"/>
      <c r="N7253" s="15"/>
      <c r="O7253" s="15"/>
      <c r="P7253" s="15"/>
      <c r="Q7253" s="39"/>
      <c r="R7253" s="41"/>
      <c r="S7253" s="36"/>
      <c r="T7253" s="36"/>
      <c r="U7253" s="36"/>
      <c r="V7253" s="37"/>
    </row>
    <row r="7254" spans="13:22" x14ac:dyDescent="0.2">
      <c r="M7254" s="40"/>
      <c r="N7254" s="15"/>
      <c r="O7254" s="15"/>
      <c r="P7254" s="15"/>
      <c r="Q7254" s="39"/>
      <c r="R7254" s="41"/>
      <c r="S7254" s="36"/>
      <c r="T7254" s="36"/>
      <c r="U7254" s="36"/>
      <c r="V7254" s="37"/>
    </row>
    <row r="7255" spans="13:22" x14ac:dyDescent="0.2">
      <c r="M7255" s="40"/>
      <c r="N7255" s="15"/>
      <c r="O7255" s="15"/>
      <c r="P7255" s="15"/>
      <c r="Q7255" s="39"/>
      <c r="R7255" s="41"/>
      <c r="S7255" s="36"/>
      <c r="T7255" s="36"/>
      <c r="U7255" s="36"/>
      <c r="V7255" s="37"/>
    </row>
    <row r="7256" spans="13:22" ht="13.5" thickBot="1" x14ac:dyDescent="0.25">
      <c r="M7256" s="42"/>
      <c r="N7256" s="43"/>
      <c r="O7256" s="43"/>
      <c r="P7256" s="43"/>
      <c r="Q7256" s="44"/>
      <c r="R7256" s="41"/>
      <c r="S7256" s="46"/>
      <c r="T7256" s="46"/>
      <c r="U7256" s="46"/>
      <c r="V7256" s="47"/>
    </row>
    <row r="7257" spans="13:22" ht="13.5" thickBot="1" x14ac:dyDescent="0.25">
      <c r="M7257" s="48"/>
      <c r="N7257" s="49"/>
      <c r="O7257" s="49"/>
      <c r="P7257" s="49"/>
      <c r="Q7257" s="50"/>
      <c r="R7257" s="45"/>
      <c r="S7257" s="52"/>
      <c r="T7257" s="52"/>
      <c r="U7257" s="52"/>
      <c r="V7257" s="53"/>
    </row>
    <row r="7258" spans="13:22" x14ac:dyDescent="0.2">
      <c r="M7258" s="54"/>
      <c r="N7258" s="29"/>
      <c r="O7258" s="29"/>
      <c r="P7258" s="29"/>
      <c r="Q7258" s="34"/>
      <c r="R7258" s="51"/>
      <c r="S7258" s="36"/>
      <c r="T7258" s="36"/>
      <c r="U7258" s="36"/>
      <c r="V7258" s="37"/>
    </row>
    <row r="7259" spans="13:22" x14ac:dyDescent="0.2">
      <c r="M7259" s="33"/>
      <c r="N7259" s="29"/>
      <c r="O7259" s="29"/>
      <c r="P7259" s="29"/>
      <c r="Q7259" s="34"/>
      <c r="R7259" s="41"/>
      <c r="S7259" s="36"/>
      <c r="T7259" s="36"/>
      <c r="U7259" s="36"/>
      <c r="V7259" s="37"/>
    </row>
    <row r="7260" spans="13:22" x14ac:dyDescent="0.2">
      <c r="M7260" s="33"/>
      <c r="N7260" s="29"/>
      <c r="O7260" s="29"/>
      <c r="P7260" s="29"/>
      <c r="Q7260" s="34"/>
      <c r="R7260" s="35"/>
      <c r="S7260" s="36"/>
      <c r="T7260" s="36"/>
      <c r="U7260" s="36"/>
      <c r="V7260" s="37"/>
    </row>
    <row r="7261" spans="13:22" x14ac:dyDescent="0.2">
      <c r="M7261" s="33"/>
      <c r="N7261" s="29"/>
      <c r="O7261" s="29"/>
      <c r="P7261" s="29"/>
      <c r="Q7261" s="34"/>
      <c r="R7261" s="35"/>
      <c r="S7261" s="36"/>
      <c r="T7261" s="36"/>
      <c r="U7261" s="36"/>
      <c r="V7261" s="37"/>
    </row>
    <row r="7262" spans="13:22" x14ac:dyDescent="0.2">
      <c r="M7262" s="33"/>
      <c r="N7262" s="29"/>
      <c r="O7262" s="29"/>
      <c r="P7262" s="29"/>
      <c r="Q7262" s="34"/>
      <c r="R7262" s="35"/>
      <c r="S7262" s="36"/>
      <c r="T7262" s="36"/>
      <c r="U7262" s="36"/>
      <c r="V7262" s="37"/>
    </row>
    <row r="7263" spans="13:22" x14ac:dyDescent="0.2">
      <c r="M7263" s="33"/>
      <c r="N7263" s="29"/>
      <c r="O7263" s="29"/>
      <c r="P7263" s="29"/>
      <c r="Q7263" s="34"/>
      <c r="R7263" s="35"/>
      <c r="S7263" s="36"/>
      <c r="T7263" s="36"/>
      <c r="U7263" s="36"/>
      <c r="V7263" s="37"/>
    </row>
    <row r="7264" spans="13:22" x14ac:dyDescent="0.2">
      <c r="M7264" s="33"/>
      <c r="N7264" s="29"/>
      <c r="O7264" s="29"/>
      <c r="P7264" s="29"/>
      <c r="Q7264" s="38"/>
      <c r="R7264" s="35"/>
      <c r="S7264" s="36"/>
      <c r="T7264" s="36"/>
      <c r="U7264" s="36"/>
      <c r="V7264" s="37"/>
    </row>
    <row r="7265" spans="13:22" x14ac:dyDescent="0.2">
      <c r="M7265" s="33"/>
      <c r="N7265" s="29"/>
      <c r="O7265" s="29"/>
      <c r="P7265" s="29"/>
      <c r="Q7265" s="34"/>
      <c r="R7265" s="35"/>
      <c r="S7265" s="36"/>
      <c r="T7265" s="36"/>
      <c r="U7265" s="36"/>
      <c r="V7265" s="37"/>
    </row>
    <row r="7266" spans="13:22" x14ac:dyDescent="0.2">
      <c r="M7266" s="33"/>
      <c r="N7266" s="29"/>
      <c r="O7266" s="29"/>
      <c r="P7266" s="29"/>
      <c r="Q7266" s="34"/>
      <c r="R7266" s="35"/>
      <c r="S7266" s="36"/>
      <c r="T7266" s="36"/>
      <c r="U7266" s="36"/>
      <c r="V7266" s="37"/>
    </row>
    <row r="7267" spans="13:22" x14ac:dyDescent="0.2">
      <c r="M7267" s="33"/>
      <c r="N7267" s="29"/>
      <c r="O7267" s="29"/>
      <c r="P7267" s="29"/>
      <c r="Q7267" s="34"/>
      <c r="R7267" s="35"/>
      <c r="S7267" s="36"/>
      <c r="T7267" s="36"/>
      <c r="U7267" s="36"/>
      <c r="V7267" s="37"/>
    </row>
    <row r="7268" spans="13:22" x14ac:dyDescent="0.2">
      <c r="M7268" s="33"/>
      <c r="N7268" s="29"/>
      <c r="O7268" s="29"/>
      <c r="P7268" s="29"/>
      <c r="Q7268" s="34"/>
      <c r="R7268" s="35"/>
      <c r="S7268" s="36"/>
      <c r="T7268" s="36"/>
      <c r="U7268" s="36"/>
      <c r="V7268" s="37"/>
    </row>
    <row r="7269" spans="13:22" x14ac:dyDescent="0.2">
      <c r="M7269" s="26"/>
      <c r="N7269" s="15"/>
      <c r="O7269" s="15"/>
      <c r="P7269" s="15"/>
      <c r="Q7269" s="39"/>
      <c r="R7269" s="35"/>
      <c r="S7269" s="36"/>
      <c r="T7269" s="36"/>
      <c r="U7269" s="36"/>
      <c r="V7269" s="37"/>
    </row>
    <row r="7270" spans="13:22" x14ac:dyDescent="0.2">
      <c r="M7270" s="26"/>
      <c r="N7270" s="15"/>
      <c r="O7270" s="15"/>
      <c r="P7270" s="15"/>
      <c r="Q7270" s="39"/>
      <c r="R7270" s="35"/>
      <c r="S7270" s="36"/>
      <c r="T7270" s="36"/>
      <c r="U7270" s="36"/>
      <c r="V7270" s="37"/>
    </row>
    <row r="7271" spans="13:22" x14ac:dyDescent="0.2">
      <c r="M7271" s="40"/>
      <c r="N7271" s="15"/>
      <c r="O7271" s="15"/>
      <c r="P7271" s="15"/>
      <c r="Q7271" s="39"/>
      <c r="R7271" s="35"/>
      <c r="S7271" s="36"/>
      <c r="T7271" s="36"/>
      <c r="U7271" s="36"/>
      <c r="V7271" s="37"/>
    </row>
    <row r="7272" spans="13:22" x14ac:dyDescent="0.2">
      <c r="M7272" s="40"/>
      <c r="N7272" s="15"/>
      <c r="O7272" s="15"/>
      <c r="P7272" s="15"/>
      <c r="Q7272" s="39"/>
      <c r="R7272" s="41"/>
      <c r="S7272" s="36"/>
      <c r="T7272" s="36"/>
      <c r="U7272" s="36"/>
      <c r="V7272" s="37"/>
    </row>
    <row r="7273" spans="13:22" x14ac:dyDescent="0.2">
      <c r="M7273" s="40"/>
      <c r="N7273" s="15"/>
      <c r="O7273" s="15"/>
      <c r="P7273" s="15"/>
      <c r="Q7273" s="39"/>
      <c r="R7273" s="41"/>
      <c r="S7273" s="36"/>
      <c r="T7273" s="36"/>
      <c r="U7273" s="36"/>
      <c r="V7273" s="37"/>
    </row>
    <row r="7274" spans="13:22" x14ac:dyDescent="0.2">
      <c r="M7274" s="40"/>
      <c r="N7274" s="15"/>
      <c r="O7274" s="15"/>
      <c r="P7274" s="15"/>
      <c r="Q7274" s="39"/>
      <c r="R7274" s="41"/>
      <c r="S7274" s="36"/>
      <c r="T7274" s="36"/>
      <c r="U7274" s="36"/>
      <c r="V7274" s="37"/>
    </row>
    <row r="7275" spans="13:22" x14ac:dyDescent="0.2">
      <c r="M7275" s="40"/>
      <c r="N7275" s="15"/>
      <c r="O7275" s="15"/>
      <c r="P7275" s="15"/>
      <c r="Q7275" s="39"/>
      <c r="R7275" s="41"/>
      <c r="S7275" s="36"/>
      <c r="T7275" s="36"/>
      <c r="U7275" s="36"/>
      <c r="V7275" s="37"/>
    </row>
    <row r="7276" spans="13:22" x14ac:dyDescent="0.2">
      <c r="M7276" s="40"/>
      <c r="N7276" s="15"/>
      <c r="O7276" s="15"/>
      <c r="P7276" s="15"/>
      <c r="Q7276" s="39"/>
      <c r="R7276" s="41"/>
      <c r="S7276" s="36"/>
      <c r="T7276" s="36"/>
      <c r="U7276" s="36"/>
      <c r="V7276" s="37"/>
    </row>
    <row r="7277" spans="13:22" x14ac:dyDescent="0.2">
      <c r="M7277" s="40"/>
      <c r="N7277" s="15"/>
      <c r="O7277" s="15"/>
      <c r="P7277" s="15"/>
      <c r="Q7277" s="39"/>
      <c r="R7277" s="41"/>
      <c r="S7277" s="36"/>
      <c r="T7277" s="36"/>
      <c r="U7277" s="36"/>
      <c r="V7277" s="37"/>
    </row>
    <row r="7278" spans="13:22" x14ac:dyDescent="0.2">
      <c r="M7278" s="40"/>
      <c r="N7278" s="15"/>
      <c r="O7278" s="15"/>
      <c r="P7278" s="15"/>
      <c r="Q7278" s="39"/>
      <c r="R7278" s="41"/>
      <c r="S7278" s="36"/>
      <c r="T7278" s="36"/>
      <c r="U7278" s="36"/>
      <c r="V7278" s="37"/>
    </row>
    <row r="7279" spans="13:22" x14ac:dyDescent="0.2">
      <c r="M7279" s="40"/>
      <c r="N7279" s="15"/>
      <c r="O7279" s="15"/>
      <c r="P7279" s="15"/>
      <c r="Q7279" s="39"/>
      <c r="R7279" s="41"/>
      <c r="S7279" s="36"/>
      <c r="T7279" s="36"/>
      <c r="U7279" s="36"/>
      <c r="V7279" s="37"/>
    </row>
    <row r="7280" spans="13:22" x14ac:dyDescent="0.2">
      <c r="M7280" s="40"/>
      <c r="N7280" s="15"/>
      <c r="O7280" s="15"/>
      <c r="P7280" s="15"/>
      <c r="Q7280" s="39"/>
      <c r="R7280" s="41"/>
      <c r="S7280" s="36"/>
      <c r="T7280" s="36"/>
      <c r="U7280" s="36"/>
      <c r="V7280" s="37"/>
    </row>
    <row r="7281" spans="13:22" ht="13.5" thickBot="1" x14ac:dyDescent="0.25">
      <c r="M7281" s="42"/>
      <c r="N7281" s="43"/>
      <c r="O7281" s="43"/>
      <c r="P7281" s="43"/>
      <c r="Q7281" s="44"/>
      <c r="R7281" s="41"/>
      <c r="S7281" s="46"/>
      <c r="T7281" s="46"/>
      <c r="U7281" s="46"/>
      <c r="V7281" s="47"/>
    </row>
    <row r="7282" spans="13:22" ht="13.5" thickBot="1" x14ac:dyDescent="0.25">
      <c r="M7282" s="48"/>
      <c r="N7282" s="49"/>
      <c r="O7282" s="49"/>
      <c r="P7282" s="49"/>
      <c r="Q7282" s="50"/>
      <c r="R7282" s="45"/>
      <c r="S7282" s="52"/>
      <c r="T7282" s="52"/>
      <c r="U7282" s="52"/>
      <c r="V7282" s="53"/>
    </row>
    <row r="7283" spans="13:22" x14ac:dyDescent="0.2">
      <c r="M7283" s="54"/>
      <c r="N7283" s="29"/>
      <c r="O7283" s="29"/>
      <c r="P7283" s="29"/>
      <c r="Q7283" s="34"/>
      <c r="R7283" s="51"/>
      <c r="S7283" s="36"/>
      <c r="T7283" s="36"/>
      <c r="U7283" s="36"/>
      <c r="V7283" s="37"/>
    </row>
    <row r="7284" spans="13:22" x14ac:dyDescent="0.2">
      <c r="M7284" s="33"/>
      <c r="N7284" s="29"/>
      <c r="O7284" s="29"/>
      <c r="P7284" s="29"/>
      <c r="Q7284" s="34"/>
      <c r="R7284" s="41"/>
      <c r="S7284" s="36"/>
      <c r="T7284" s="36"/>
      <c r="U7284" s="36"/>
      <c r="V7284" s="37"/>
    </row>
    <row r="7285" spans="13:22" x14ac:dyDescent="0.2">
      <c r="M7285" s="33"/>
      <c r="N7285" s="29"/>
      <c r="O7285" s="29"/>
      <c r="P7285" s="29"/>
      <c r="Q7285" s="34"/>
      <c r="R7285" s="35"/>
      <c r="S7285" s="36"/>
      <c r="T7285" s="36"/>
      <c r="U7285" s="36"/>
      <c r="V7285" s="37"/>
    </row>
    <row r="7286" spans="13:22" x14ac:dyDescent="0.2">
      <c r="M7286" s="33"/>
      <c r="N7286" s="29"/>
      <c r="O7286" s="29"/>
      <c r="P7286" s="29"/>
      <c r="Q7286" s="34"/>
      <c r="R7286" s="35"/>
      <c r="S7286" s="36"/>
      <c r="T7286" s="36"/>
      <c r="U7286" s="36"/>
      <c r="V7286" s="37"/>
    </row>
    <row r="7287" spans="13:22" x14ac:dyDescent="0.2">
      <c r="M7287" s="33"/>
      <c r="N7287" s="29"/>
      <c r="O7287" s="29"/>
      <c r="P7287" s="29"/>
      <c r="Q7287" s="34"/>
      <c r="R7287" s="35"/>
      <c r="S7287" s="36"/>
      <c r="T7287" s="36"/>
      <c r="U7287" s="36"/>
      <c r="V7287" s="37"/>
    </row>
    <row r="7288" spans="13:22" x14ac:dyDescent="0.2">
      <c r="M7288" s="33"/>
      <c r="N7288" s="29"/>
      <c r="O7288" s="29"/>
      <c r="P7288" s="29"/>
      <c r="Q7288" s="34"/>
      <c r="R7288" s="35"/>
      <c r="S7288" s="36"/>
      <c r="T7288" s="36"/>
      <c r="U7288" s="36"/>
      <c r="V7288" s="37"/>
    </row>
    <row r="7289" spans="13:22" x14ac:dyDescent="0.2">
      <c r="M7289" s="33"/>
      <c r="N7289" s="29"/>
      <c r="O7289" s="29"/>
      <c r="P7289" s="29"/>
      <c r="Q7289" s="38"/>
      <c r="R7289" s="35"/>
      <c r="S7289" s="36"/>
      <c r="T7289" s="36"/>
      <c r="U7289" s="36"/>
      <c r="V7289" s="37"/>
    </row>
    <row r="7290" spans="13:22" x14ac:dyDescent="0.2">
      <c r="M7290" s="33"/>
      <c r="N7290" s="29"/>
      <c r="O7290" s="29"/>
      <c r="P7290" s="29"/>
      <c r="Q7290" s="34"/>
      <c r="R7290" s="35"/>
      <c r="S7290" s="36"/>
      <c r="T7290" s="36"/>
      <c r="U7290" s="36"/>
      <c r="V7290" s="37"/>
    </row>
    <row r="7291" spans="13:22" x14ac:dyDescent="0.2">
      <c r="M7291" s="33"/>
      <c r="N7291" s="29"/>
      <c r="O7291" s="29"/>
      <c r="P7291" s="29"/>
      <c r="Q7291" s="34"/>
      <c r="R7291" s="35"/>
      <c r="S7291" s="36"/>
      <c r="T7291" s="36"/>
      <c r="U7291" s="36"/>
      <c r="V7291" s="37"/>
    </row>
    <row r="7292" spans="13:22" x14ac:dyDescent="0.2">
      <c r="M7292" s="33"/>
      <c r="N7292" s="29"/>
      <c r="O7292" s="29"/>
      <c r="P7292" s="29"/>
      <c r="Q7292" s="34"/>
      <c r="R7292" s="35"/>
      <c r="S7292" s="36"/>
      <c r="T7292" s="36"/>
      <c r="U7292" s="36"/>
      <c r="V7292" s="37"/>
    </row>
    <row r="7293" spans="13:22" x14ac:dyDescent="0.2">
      <c r="M7293" s="33"/>
      <c r="N7293" s="29"/>
      <c r="O7293" s="29"/>
      <c r="P7293" s="29"/>
      <c r="Q7293" s="34"/>
      <c r="R7293" s="35"/>
      <c r="S7293" s="36"/>
      <c r="T7293" s="36"/>
      <c r="U7293" s="36"/>
      <c r="V7293" s="37"/>
    </row>
    <row r="7294" spans="13:22" x14ac:dyDescent="0.2">
      <c r="M7294" s="26"/>
      <c r="N7294" s="15"/>
      <c r="O7294" s="15"/>
      <c r="P7294" s="15"/>
      <c r="Q7294" s="39"/>
      <c r="R7294" s="35"/>
      <c r="S7294" s="36"/>
      <c r="T7294" s="36"/>
      <c r="U7294" s="36"/>
      <c r="V7294" s="37"/>
    </row>
    <row r="7295" spans="13:22" x14ac:dyDescent="0.2">
      <c r="M7295" s="26"/>
      <c r="N7295" s="15"/>
      <c r="O7295" s="15"/>
      <c r="P7295" s="15"/>
      <c r="Q7295" s="39"/>
      <c r="R7295" s="35"/>
      <c r="S7295" s="36"/>
      <c r="T7295" s="36"/>
      <c r="U7295" s="36"/>
      <c r="V7295" s="37"/>
    </row>
    <row r="7296" spans="13:22" x14ac:dyDescent="0.2">
      <c r="M7296" s="40"/>
      <c r="N7296" s="15"/>
      <c r="O7296" s="15"/>
      <c r="P7296" s="15"/>
      <c r="Q7296" s="39"/>
      <c r="R7296" s="35"/>
      <c r="S7296" s="36"/>
      <c r="T7296" s="36"/>
      <c r="U7296" s="36"/>
      <c r="V7296" s="37"/>
    </row>
    <row r="7297" spans="13:22" x14ac:dyDescent="0.2">
      <c r="M7297" s="40"/>
      <c r="N7297" s="15"/>
      <c r="O7297" s="15"/>
      <c r="P7297" s="15"/>
      <c r="Q7297" s="39"/>
      <c r="R7297" s="41"/>
      <c r="S7297" s="36"/>
      <c r="T7297" s="36"/>
      <c r="U7297" s="36"/>
      <c r="V7297" s="37"/>
    </row>
    <row r="7298" spans="13:22" x14ac:dyDescent="0.2">
      <c r="M7298" s="40"/>
      <c r="N7298" s="15"/>
      <c r="O7298" s="15"/>
      <c r="P7298" s="15"/>
      <c r="Q7298" s="39"/>
      <c r="R7298" s="41"/>
      <c r="S7298" s="36"/>
      <c r="T7298" s="36"/>
      <c r="U7298" s="36"/>
      <c r="V7298" s="37"/>
    </row>
    <row r="7299" spans="13:22" x14ac:dyDescent="0.2">
      <c r="M7299" s="40"/>
      <c r="N7299" s="15"/>
      <c r="O7299" s="15"/>
      <c r="P7299" s="15"/>
      <c r="Q7299" s="39"/>
      <c r="R7299" s="41"/>
      <c r="S7299" s="36"/>
      <c r="T7299" s="36"/>
      <c r="U7299" s="36"/>
      <c r="V7299" s="37"/>
    </row>
    <row r="7300" spans="13:22" x14ac:dyDescent="0.2">
      <c r="M7300" s="40"/>
      <c r="N7300" s="15"/>
      <c r="O7300" s="15"/>
      <c r="P7300" s="15"/>
      <c r="Q7300" s="39"/>
      <c r="R7300" s="41"/>
      <c r="S7300" s="36"/>
      <c r="T7300" s="36"/>
      <c r="U7300" s="36"/>
      <c r="V7300" s="37"/>
    </row>
    <row r="7301" spans="13:22" x14ac:dyDescent="0.2">
      <c r="M7301" s="40"/>
      <c r="N7301" s="15"/>
      <c r="O7301" s="15"/>
      <c r="P7301" s="15"/>
      <c r="Q7301" s="39"/>
      <c r="R7301" s="41"/>
      <c r="S7301" s="36"/>
      <c r="T7301" s="36"/>
      <c r="U7301" s="36"/>
      <c r="V7301" s="37"/>
    </row>
    <row r="7302" spans="13:22" x14ac:dyDescent="0.2">
      <c r="M7302" s="40"/>
      <c r="N7302" s="15"/>
      <c r="O7302" s="15"/>
      <c r="P7302" s="15"/>
      <c r="Q7302" s="39"/>
      <c r="R7302" s="41"/>
      <c r="S7302" s="36"/>
      <c r="T7302" s="36"/>
      <c r="U7302" s="36"/>
      <c r="V7302" s="37"/>
    </row>
    <row r="7303" spans="13:22" x14ac:dyDescent="0.2">
      <c r="M7303" s="40"/>
      <c r="N7303" s="15"/>
      <c r="O7303" s="15"/>
      <c r="P7303" s="15"/>
      <c r="Q7303" s="39"/>
      <c r="R7303" s="41"/>
      <c r="S7303" s="36"/>
      <c r="T7303" s="36"/>
      <c r="U7303" s="36"/>
      <c r="V7303" s="37"/>
    </row>
    <row r="7304" spans="13:22" x14ac:dyDescent="0.2">
      <c r="M7304" s="40"/>
      <c r="N7304" s="15"/>
      <c r="O7304" s="15"/>
      <c r="P7304" s="15"/>
      <c r="Q7304" s="39"/>
      <c r="R7304" s="41"/>
      <c r="S7304" s="36"/>
      <c r="T7304" s="36"/>
      <c r="U7304" s="36"/>
      <c r="V7304" s="37"/>
    </row>
    <row r="7305" spans="13:22" x14ac:dyDescent="0.2">
      <c r="M7305" s="40"/>
      <c r="N7305" s="15"/>
      <c r="O7305" s="15"/>
      <c r="P7305" s="15"/>
      <c r="Q7305" s="39"/>
      <c r="R7305" s="41"/>
      <c r="S7305" s="36"/>
      <c r="T7305" s="36"/>
      <c r="U7305" s="36"/>
      <c r="V7305" s="37"/>
    </row>
    <row r="7306" spans="13:22" ht="13.5" thickBot="1" x14ac:dyDescent="0.25">
      <c r="M7306" s="42"/>
      <c r="N7306" s="43"/>
      <c r="O7306" s="43"/>
      <c r="P7306" s="43"/>
      <c r="Q7306" s="44"/>
      <c r="R7306" s="41"/>
      <c r="S7306" s="46"/>
      <c r="T7306" s="46"/>
      <c r="U7306" s="46"/>
      <c r="V7306" s="47"/>
    </row>
    <row r="7307" spans="13:22" ht="13.5" thickBot="1" x14ac:dyDescent="0.25">
      <c r="M7307" s="48"/>
      <c r="N7307" s="49"/>
      <c r="O7307" s="49"/>
      <c r="P7307" s="49"/>
      <c r="Q7307" s="50"/>
      <c r="R7307" s="45"/>
      <c r="S7307" s="52"/>
      <c r="T7307" s="52"/>
      <c r="U7307" s="52"/>
      <c r="V7307" s="53"/>
    </row>
    <row r="7308" spans="13:22" x14ac:dyDescent="0.2">
      <c r="M7308" s="54"/>
      <c r="N7308" s="29"/>
      <c r="O7308" s="29"/>
      <c r="P7308" s="29"/>
      <c r="Q7308" s="34"/>
      <c r="R7308" s="51"/>
      <c r="S7308" s="36"/>
      <c r="T7308" s="36"/>
      <c r="U7308" s="36"/>
      <c r="V7308" s="37"/>
    </row>
    <row r="7309" spans="13:22" x14ac:dyDescent="0.2">
      <c r="M7309" s="33"/>
      <c r="N7309" s="29"/>
      <c r="O7309" s="29"/>
      <c r="P7309" s="29"/>
      <c r="Q7309" s="34"/>
      <c r="R7309" s="41"/>
      <c r="S7309" s="36"/>
      <c r="T7309" s="36"/>
      <c r="U7309" s="36"/>
      <c r="V7309" s="37"/>
    </row>
    <row r="7310" spans="13:22" x14ac:dyDescent="0.2">
      <c r="M7310" s="33"/>
      <c r="N7310" s="29"/>
      <c r="O7310" s="29"/>
      <c r="P7310" s="29"/>
      <c r="Q7310" s="34"/>
      <c r="R7310" s="35"/>
      <c r="S7310" s="36"/>
      <c r="T7310" s="36"/>
      <c r="U7310" s="36"/>
      <c r="V7310" s="37"/>
    </row>
    <row r="7311" spans="13:22" x14ac:dyDescent="0.2">
      <c r="M7311" s="33"/>
      <c r="N7311" s="29"/>
      <c r="O7311" s="29"/>
      <c r="P7311" s="29"/>
      <c r="Q7311" s="34"/>
      <c r="R7311" s="35"/>
      <c r="S7311" s="36"/>
      <c r="T7311" s="36"/>
      <c r="U7311" s="36"/>
      <c r="V7311" s="37"/>
    </row>
    <row r="7312" spans="13:22" x14ac:dyDescent="0.2">
      <c r="M7312" s="33"/>
      <c r="N7312" s="29"/>
      <c r="O7312" s="29"/>
      <c r="P7312" s="29"/>
      <c r="Q7312" s="34"/>
      <c r="R7312" s="35"/>
      <c r="S7312" s="36"/>
      <c r="T7312" s="36"/>
      <c r="U7312" s="36"/>
      <c r="V7312" s="37"/>
    </row>
    <row r="7313" spans="13:22" x14ac:dyDescent="0.2">
      <c r="M7313" s="33"/>
      <c r="N7313" s="29"/>
      <c r="O7313" s="29"/>
      <c r="P7313" s="29"/>
      <c r="Q7313" s="34"/>
      <c r="R7313" s="35"/>
      <c r="S7313" s="36"/>
      <c r="T7313" s="36"/>
      <c r="U7313" s="36"/>
      <c r="V7313" s="37"/>
    </row>
    <row r="7314" spans="13:22" x14ac:dyDescent="0.2">
      <c r="M7314" s="33"/>
      <c r="N7314" s="29"/>
      <c r="O7314" s="29"/>
      <c r="P7314" s="29"/>
      <c r="Q7314" s="38"/>
      <c r="R7314" s="35"/>
      <c r="S7314" s="36"/>
      <c r="T7314" s="36"/>
      <c r="U7314" s="36"/>
      <c r="V7314" s="37"/>
    </row>
    <row r="7315" spans="13:22" x14ac:dyDescent="0.2">
      <c r="M7315" s="33"/>
      <c r="N7315" s="29"/>
      <c r="O7315" s="29"/>
      <c r="P7315" s="29"/>
      <c r="Q7315" s="34"/>
      <c r="R7315" s="35"/>
      <c r="S7315" s="36"/>
      <c r="T7315" s="36"/>
      <c r="U7315" s="36"/>
      <c r="V7315" s="37"/>
    </row>
    <row r="7316" spans="13:22" x14ac:dyDescent="0.2">
      <c r="M7316" s="33"/>
      <c r="N7316" s="29"/>
      <c r="O7316" s="29"/>
      <c r="P7316" s="29"/>
      <c r="Q7316" s="34"/>
      <c r="R7316" s="35"/>
      <c r="S7316" s="36"/>
      <c r="T7316" s="36"/>
      <c r="U7316" s="36"/>
      <c r="V7316" s="37"/>
    </row>
    <row r="7317" spans="13:22" x14ac:dyDescent="0.2">
      <c r="M7317" s="33"/>
      <c r="N7317" s="29"/>
      <c r="O7317" s="29"/>
      <c r="P7317" s="29"/>
      <c r="Q7317" s="34"/>
      <c r="R7317" s="35"/>
      <c r="S7317" s="36"/>
      <c r="T7317" s="36"/>
      <c r="U7317" s="36"/>
      <c r="V7317" s="37"/>
    </row>
    <row r="7318" spans="13:22" x14ac:dyDescent="0.2">
      <c r="M7318" s="33"/>
      <c r="N7318" s="29"/>
      <c r="O7318" s="29"/>
      <c r="P7318" s="29"/>
      <c r="Q7318" s="34"/>
      <c r="R7318" s="35"/>
      <c r="S7318" s="36"/>
      <c r="T7318" s="36"/>
      <c r="U7318" s="36"/>
      <c r="V7318" s="37"/>
    </row>
    <row r="7319" spans="13:22" x14ac:dyDescent="0.2">
      <c r="M7319" s="26"/>
      <c r="N7319" s="15"/>
      <c r="O7319" s="15"/>
      <c r="P7319" s="15"/>
      <c r="Q7319" s="39"/>
      <c r="R7319" s="35"/>
      <c r="S7319" s="36"/>
      <c r="T7319" s="36"/>
      <c r="U7319" s="36"/>
      <c r="V7319" s="37"/>
    </row>
    <row r="7320" spans="13:22" x14ac:dyDescent="0.2">
      <c r="M7320" s="26"/>
      <c r="N7320" s="15"/>
      <c r="O7320" s="15"/>
      <c r="P7320" s="15"/>
      <c r="Q7320" s="39"/>
      <c r="R7320" s="35"/>
      <c r="S7320" s="36"/>
      <c r="T7320" s="36"/>
      <c r="U7320" s="36"/>
      <c r="V7320" s="37"/>
    </row>
    <row r="7321" spans="13:22" x14ac:dyDescent="0.2">
      <c r="M7321" s="40"/>
      <c r="N7321" s="15"/>
      <c r="O7321" s="15"/>
      <c r="P7321" s="15"/>
      <c r="Q7321" s="39"/>
      <c r="R7321" s="35"/>
      <c r="S7321" s="36"/>
      <c r="T7321" s="36"/>
      <c r="U7321" s="36"/>
      <c r="V7321" s="37"/>
    </row>
    <row r="7322" spans="13:22" x14ac:dyDescent="0.2">
      <c r="M7322" s="40"/>
      <c r="N7322" s="15"/>
      <c r="O7322" s="15"/>
      <c r="P7322" s="15"/>
      <c r="Q7322" s="39"/>
      <c r="R7322" s="41"/>
      <c r="S7322" s="36"/>
      <c r="T7322" s="36"/>
      <c r="U7322" s="36"/>
      <c r="V7322" s="37"/>
    </row>
    <row r="7323" spans="13:22" x14ac:dyDescent="0.2">
      <c r="M7323" s="40"/>
      <c r="N7323" s="15"/>
      <c r="O7323" s="15"/>
      <c r="P7323" s="15"/>
      <c r="Q7323" s="39"/>
      <c r="R7323" s="41"/>
      <c r="S7323" s="36"/>
      <c r="T7323" s="36"/>
      <c r="U7323" s="36"/>
      <c r="V7323" s="37"/>
    </row>
    <row r="7324" spans="13:22" x14ac:dyDescent="0.2">
      <c r="M7324" s="40"/>
      <c r="N7324" s="15"/>
      <c r="O7324" s="15"/>
      <c r="P7324" s="15"/>
      <c r="Q7324" s="39"/>
      <c r="R7324" s="41"/>
      <c r="S7324" s="36"/>
      <c r="T7324" s="36"/>
      <c r="U7324" s="36"/>
      <c r="V7324" s="37"/>
    </row>
    <row r="7325" spans="13:22" x14ac:dyDescent="0.2">
      <c r="M7325" s="40"/>
      <c r="N7325" s="15"/>
      <c r="O7325" s="15"/>
      <c r="P7325" s="15"/>
      <c r="Q7325" s="39"/>
      <c r="R7325" s="41"/>
      <c r="S7325" s="36"/>
      <c r="T7325" s="36"/>
      <c r="U7325" s="36"/>
      <c r="V7325" s="37"/>
    </row>
    <row r="7326" spans="13:22" x14ac:dyDescent="0.2">
      <c r="M7326" s="40"/>
      <c r="N7326" s="15"/>
      <c r="O7326" s="15"/>
      <c r="P7326" s="15"/>
      <c r="Q7326" s="39"/>
      <c r="R7326" s="41"/>
      <c r="S7326" s="36"/>
      <c r="T7326" s="36"/>
      <c r="U7326" s="36"/>
      <c r="V7326" s="37"/>
    </row>
    <row r="7327" spans="13:22" x14ac:dyDescent="0.2">
      <c r="M7327" s="40"/>
      <c r="N7327" s="15"/>
      <c r="O7327" s="15"/>
      <c r="P7327" s="15"/>
      <c r="Q7327" s="39"/>
      <c r="R7327" s="41"/>
      <c r="S7327" s="36"/>
      <c r="T7327" s="36"/>
      <c r="U7327" s="36"/>
      <c r="V7327" s="37"/>
    </row>
    <row r="7328" spans="13:22" x14ac:dyDescent="0.2">
      <c r="M7328" s="40"/>
      <c r="N7328" s="15"/>
      <c r="O7328" s="15"/>
      <c r="P7328" s="15"/>
      <c r="Q7328" s="39"/>
      <c r="R7328" s="41"/>
      <c r="S7328" s="36"/>
      <c r="T7328" s="36"/>
      <c r="U7328" s="36"/>
      <c r="V7328" s="37"/>
    </row>
    <row r="7329" spans="13:22" x14ac:dyDescent="0.2">
      <c r="M7329" s="40"/>
      <c r="N7329" s="15"/>
      <c r="O7329" s="15"/>
      <c r="P7329" s="15"/>
      <c r="Q7329" s="39"/>
      <c r="R7329" s="41"/>
      <c r="S7329" s="36"/>
      <c r="T7329" s="36"/>
      <c r="U7329" s="36"/>
      <c r="V7329" s="37"/>
    </row>
    <row r="7330" spans="13:22" x14ac:dyDescent="0.2">
      <c r="M7330" s="40"/>
      <c r="N7330" s="15"/>
      <c r="O7330" s="15"/>
      <c r="P7330" s="15"/>
      <c r="Q7330" s="39"/>
      <c r="R7330" s="41"/>
      <c r="S7330" s="36"/>
      <c r="T7330" s="36"/>
      <c r="U7330" s="36"/>
      <c r="V7330" s="37"/>
    </row>
    <row r="7331" spans="13:22" ht="13.5" thickBot="1" x14ac:dyDescent="0.25">
      <c r="M7331" s="42"/>
      <c r="N7331" s="43"/>
      <c r="O7331" s="43"/>
      <c r="P7331" s="43"/>
      <c r="Q7331" s="44"/>
      <c r="R7331" s="41"/>
      <c r="S7331" s="46"/>
      <c r="T7331" s="46"/>
      <c r="U7331" s="46"/>
      <c r="V7331" s="47"/>
    </row>
    <row r="7332" spans="13:22" ht="13.5" thickBot="1" x14ac:dyDescent="0.25">
      <c r="M7332" s="48"/>
      <c r="N7332" s="49"/>
      <c r="O7332" s="49"/>
      <c r="P7332" s="49"/>
      <c r="Q7332" s="50"/>
      <c r="R7332" s="45"/>
      <c r="S7332" s="52"/>
      <c r="T7332" s="52"/>
      <c r="U7332" s="52"/>
      <c r="V7332" s="53"/>
    </row>
    <row r="7333" spans="13:22" x14ac:dyDescent="0.2">
      <c r="M7333" s="54"/>
      <c r="N7333" s="29"/>
      <c r="O7333" s="29"/>
      <c r="P7333" s="29"/>
      <c r="Q7333" s="34"/>
      <c r="R7333" s="51"/>
      <c r="S7333" s="36"/>
      <c r="T7333" s="36"/>
      <c r="U7333" s="36"/>
      <c r="V7333" s="37"/>
    </row>
    <row r="7334" spans="13:22" x14ac:dyDescent="0.2">
      <c r="M7334" s="33"/>
      <c r="N7334" s="29"/>
      <c r="O7334" s="29"/>
      <c r="P7334" s="29"/>
      <c r="Q7334" s="34"/>
      <c r="R7334" s="41"/>
      <c r="S7334" s="36"/>
      <c r="T7334" s="36"/>
      <c r="U7334" s="36"/>
      <c r="V7334" s="37"/>
    </row>
    <row r="7335" spans="13:22" x14ac:dyDescent="0.2">
      <c r="M7335" s="33"/>
      <c r="N7335" s="29"/>
      <c r="O7335" s="29"/>
      <c r="P7335" s="29"/>
      <c r="Q7335" s="34"/>
      <c r="R7335" s="35"/>
      <c r="S7335" s="36"/>
      <c r="T7335" s="36"/>
      <c r="U7335" s="36"/>
      <c r="V7335" s="37"/>
    </row>
    <row r="7336" spans="13:22" x14ac:dyDescent="0.2">
      <c r="M7336" s="33"/>
      <c r="N7336" s="29"/>
      <c r="O7336" s="29"/>
      <c r="P7336" s="29"/>
      <c r="Q7336" s="34"/>
      <c r="R7336" s="35"/>
      <c r="S7336" s="36"/>
      <c r="T7336" s="36"/>
      <c r="U7336" s="36"/>
      <c r="V7336" s="37"/>
    </row>
    <row r="7337" spans="13:22" x14ac:dyDescent="0.2">
      <c r="M7337" s="33"/>
      <c r="N7337" s="29"/>
      <c r="O7337" s="29"/>
      <c r="P7337" s="29"/>
      <c r="Q7337" s="34"/>
      <c r="R7337" s="35"/>
      <c r="S7337" s="36"/>
      <c r="T7337" s="36"/>
      <c r="U7337" s="36"/>
      <c r="V7337" s="37"/>
    </row>
    <row r="7338" spans="13:22" x14ac:dyDescent="0.2">
      <c r="M7338" s="33"/>
      <c r="N7338" s="29"/>
      <c r="O7338" s="29"/>
      <c r="P7338" s="29"/>
      <c r="Q7338" s="34"/>
      <c r="R7338" s="35"/>
      <c r="S7338" s="36"/>
      <c r="T7338" s="36"/>
      <c r="U7338" s="36"/>
      <c r="V7338" s="37"/>
    </row>
    <row r="7339" spans="13:22" x14ac:dyDescent="0.2">
      <c r="M7339" s="33"/>
      <c r="N7339" s="29"/>
      <c r="O7339" s="29"/>
      <c r="P7339" s="29"/>
      <c r="Q7339" s="38"/>
      <c r="R7339" s="35"/>
      <c r="S7339" s="36"/>
      <c r="T7339" s="36"/>
      <c r="U7339" s="36"/>
      <c r="V7339" s="37"/>
    </row>
    <row r="7340" spans="13:22" x14ac:dyDescent="0.2">
      <c r="M7340" s="33"/>
      <c r="N7340" s="29"/>
      <c r="O7340" s="29"/>
      <c r="P7340" s="29"/>
      <c r="Q7340" s="34"/>
      <c r="R7340" s="35"/>
      <c r="S7340" s="36"/>
      <c r="T7340" s="36"/>
      <c r="U7340" s="36"/>
      <c r="V7340" s="37"/>
    </row>
    <row r="7341" spans="13:22" x14ac:dyDescent="0.2">
      <c r="M7341" s="33"/>
      <c r="N7341" s="29"/>
      <c r="O7341" s="29"/>
      <c r="P7341" s="29"/>
      <c r="Q7341" s="34"/>
      <c r="R7341" s="35"/>
      <c r="S7341" s="36"/>
      <c r="T7341" s="36"/>
      <c r="U7341" s="36"/>
      <c r="V7341" s="37"/>
    </row>
    <row r="7342" spans="13:22" x14ac:dyDescent="0.2">
      <c r="M7342" s="33"/>
      <c r="N7342" s="29"/>
      <c r="O7342" s="29"/>
      <c r="P7342" s="29"/>
      <c r="Q7342" s="34"/>
      <c r="R7342" s="35"/>
      <c r="S7342" s="36"/>
      <c r="T7342" s="36"/>
      <c r="U7342" s="36"/>
      <c r="V7342" s="37"/>
    </row>
    <row r="7343" spans="13:22" x14ac:dyDescent="0.2">
      <c r="M7343" s="33"/>
      <c r="N7343" s="29"/>
      <c r="O7343" s="29"/>
      <c r="P7343" s="29"/>
      <c r="Q7343" s="34"/>
      <c r="R7343" s="35"/>
      <c r="S7343" s="36"/>
      <c r="T7343" s="36"/>
      <c r="U7343" s="36"/>
      <c r="V7343" s="37"/>
    </row>
    <row r="7344" spans="13:22" x14ac:dyDescent="0.2">
      <c r="M7344" s="26"/>
      <c r="N7344" s="15"/>
      <c r="O7344" s="15"/>
      <c r="P7344" s="15"/>
      <c r="Q7344" s="39"/>
      <c r="R7344" s="35"/>
      <c r="S7344" s="36"/>
      <c r="T7344" s="36"/>
      <c r="U7344" s="36"/>
      <c r="V7344" s="37"/>
    </row>
    <row r="7345" spans="13:22" x14ac:dyDescent="0.2">
      <c r="M7345" s="26"/>
      <c r="N7345" s="15"/>
      <c r="O7345" s="15"/>
      <c r="P7345" s="15"/>
      <c r="Q7345" s="39"/>
      <c r="R7345" s="35"/>
      <c r="S7345" s="36"/>
      <c r="T7345" s="36"/>
      <c r="U7345" s="36"/>
      <c r="V7345" s="37"/>
    </row>
    <row r="7346" spans="13:22" x14ac:dyDescent="0.2">
      <c r="M7346" s="40"/>
      <c r="N7346" s="15"/>
      <c r="O7346" s="15"/>
      <c r="P7346" s="15"/>
      <c r="Q7346" s="39"/>
      <c r="R7346" s="35"/>
      <c r="S7346" s="36"/>
      <c r="T7346" s="36"/>
      <c r="U7346" s="36"/>
      <c r="V7346" s="37"/>
    </row>
    <row r="7347" spans="13:22" x14ac:dyDescent="0.2">
      <c r="M7347" s="40"/>
      <c r="N7347" s="15"/>
      <c r="O7347" s="15"/>
      <c r="P7347" s="15"/>
      <c r="Q7347" s="39"/>
      <c r="R7347" s="41"/>
      <c r="S7347" s="36"/>
      <c r="T7347" s="36"/>
      <c r="U7347" s="36"/>
      <c r="V7347" s="37"/>
    </row>
    <row r="7348" spans="13:22" x14ac:dyDescent="0.2">
      <c r="M7348" s="40"/>
      <c r="N7348" s="15"/>
      <c r="O7348" s="15"/>
      <c r="P7348" s="15"/>
      <c r="Q7348" s="39"/>
      <c r="R7348" s="41"/>
      <c r="S7348" s="36"/>
      <c r="T7348" s="36"/>
      <c r="U7348" s="36"/>
      <c r="V7348" s="37"/>
    </row>
    <row r="7349" spans="13:22" x14ac:dyDescent="0.2">
      <c r="M7349" s="40"/>
      <c r="N7349" s="15"/>
      <c r="O7349" s="15"/>
      <c r="P7349" s="15"/>
      <c r="Q7349" s="39"/>
      <c r="R7349" s="41"/>
      <c r="S7349" s="36"/>
      <c r="T7349" s="36"/>
      <c r="U7349" s="36"/>
      <c r="V7349" s="37"/>
    </row>
    <row r="7350" spans="13:22" x14ac:dyDescent="0.2">
      <c r="M7350" s="40"/>
      <c r="N7350" s="15"/>
      <c r="O7350" s="15"/>
      <c r="P7350" s="15"/>
      <c r="Q7350" s="39"/>
      <c r="R7350" s="41"/>
      <c r="S7350" s="36"/>
      <c r="T7350" s="36"/>
      <c r="U7350" s="36"/>
      <c r="V7350" s="37"/>
    </row>
    <row r="7351" spans="13:22" x14ac:dyDescent="0.2">
      <c r="M7351" s="40"/>
      <c r="N7351" s="15"/>
      <c r="O7351" s="15"/>
      <c r="P7351" s="15"/>
      <c r="Q7351" s="39"/>
      <c r="R7351" s="41"/>
      <c r="S7351" s="36"/>
      <c r="T7351" s="36"/>
      <c r="U7351" s="36"/>
      <c r="V7351" s="37"/>
    </row>
    <row r="7352" spans="13:22" x14ac:dyDescent="0.2">
      <c r="M7352" s="40"/>
      <c r="N7352" s="15"/>
      <c r="O7352" s="15"/>
      <c r="P7352" s="15"/>
      <c r="Q7352" s="39"/>
      <c r="R7352" s="41"/>
      <c r="S7352" s="36"/>
      <c r="T7352" s="36"/>
      <c r="U7352" s="36"/>
      <c r="V7352" s="37"/>
    </row>
    <row r="7353" spans="13:22" x14ac:dyDescent="0.2">
      <c r="M7353" s="40"/>
      <c r="N7353" s="15"/>
      <c r="O7353" s="15"/>
      <c r="P7353" s="15"/>
      <c r="Q7353" s="39"/>
      <c r="R7353" s="41"/>
      <c r="S7353" s="36"/>
      <c r="T7353" s="36"/>
      <c r="U7353" s="36"/>
      <c r="V7353" s="37"/>
    </row>
    <row r="7354" spans="13:22" x14ac:dyDescent="0.2">
      <c r="M7354" s="40"/>
      <c r="N7354" s="15"/>
      <c r="O7354" s="15"/>
      <c r="P7354" s="15"/>
      <c r="Q7354" s="39"/>
      <c r="R7354" s="41"/>
      <c r="S7354" s="36"/>
      <c r="T7354" s="36"/>
      <c r="U7354" s="36"/>
      <c r="V7354" s="37"/>
    </row>
    <row r="7355" spans="13:22" x14ac:dyDescent="0.2">
      <c r="M7355" s="40"/>
      <c r="N7355" s="15"/>
      <c r="O7355" s="15"/>
      <c r="P7355" s="15"/>
      <c r="Q7355" s="39"/>
      <c r="R7355" s="41"/>
      <c r="S7355" s="36"/>
      <c r="T7355" s="36"/>
      <c r="U7355" s="36"/>
      <c r="V7355" s="37"/>
    </row>
    <row r="7356" spans="13:22" ht="13.5" thickBot="1" x14ac:dyDescent="0.25">
      <c r="M7356" s="42"/>
      <c r="N7356" s="43"/>
      <c r="O7356" s="43"/>
      <c r="P7356" s="43"/>
      <c r="Q7356" s="44"/>
      <c r="R7356" s="41"/>
      <c r="S7356" s="46"/>
      <c r="T7356" s="46"/>
      <c r="U7356" s="46"/>
      <c r="V7356" s="47"/>
    </row>
    <row r="7357" spans="13:22" ht="13.5" thickBot="1" x14ac:dyDescent="0.25">
      <c r="M7357" s="48"/>
      <c r="N7357" s="49"/>
      <c r="O7357" s="49"/>
      <c r="P7357" s="49"/>
      <c r="Q7357" s="50"/>
      <c r="R7357" s="45"/>
      <c r="S7357" s="52"/>
      <c r="T7357" s="52"/>
      <c r="U7357" s="52"/>
      <c r="V7357" s="53"/>
    </row>
    <row r="7358" spans="13:22" x14ac:dyDescent="0.2">
      <c r="M7358" s="54"/>
      <c r="N7358" s="29"/>
      <c r="O7358" s="29"/>
      <c r="P7358" s="29"/>
      <c r="Q7358" s="34"/>
      <c r="R7358" s="51"/>
      <c r="S7358" s="36"/>
      <c r="T7358" s="36"/>
      <c r="U7358" s="36"/>
      <c r="V7358" s="37"/>
    </row>
    <row r="7359" spans="13:22" x14ac:dyDescent="0.2">
      <c r="M7359" s="33"/>
      <c r="N7359" s="29"/>
      <c r="O7359" s="29"/>
      <c r="P7359" s="29"/>
      <c r="Q7359" s="34"/>
      <c r="R7359" s="41"/>
      <c r="S7359" s="36"/>
      <c r="T7359" s="36"/>
      <c r="U7359" s="36"/>
      <c r="V7359" s="37"/>
    </row>
    <row r="7360" spans="13:22" x14ac:dyDescent="0.2">
      <c r="M7360" s="33"/>
      <c r="N7360" s="29"/>
      <c r="O7360" s="29"/>
      <c r="P7360" s="29"/>
      <c r="Q7360" s="34"/>
      <c r="R7360" s="35"/>
      <c r="S7360" s="36"/>
      <c r="T7360" s="36"/>
      <c r="U7360" s="36"/>
      <c r="V7360" s="37"/>
    </row>
    <row r="7361" spans="13:22" x14ac:dyDescent="0.2">
      <c r="M7361" s="33"/>
      <c r="N7361" s="29"/>
      <c r="O7361" s="29"/>
      <c r="P7361" s="29"/>
      <c r="Q7361" s="34"/>
      <c r="R7361" s="35"/>
      <c r="S7361" s="36"/>
      <c r="T7361" s="36"/>
      <c r="U7361" s="36"/>
      <c r="V7361" s="37"/>
    </row>
    <row r="7362" spans="13:22" x14ac:dyDescent="0.2">
      <c r="M7362" s="33"/>
      <c r="N7362" s="29"/>
      <c r="O7362" s="29"/>
      <c r="P7362" s="29"/>
      <c r="Q7362" s="34"/>
      <c r="R7362" s="35"/>
      <c r="S7362" s="36"/>
      <c r="T7362" s="36"/>
      <c r="U7362" s="36"/>
      <c r="V7362" s="37"/>
    </row>
    <row r="7363" spans="13:22" x14ac:dyDescent="0.2">
      <c r="M7363" s="33"/>
      <c r="N7363" s="29"/>
      <c r="O7363" s="29"/>
      <c r="P7363" s="29"/>
      <c r="Q7363" s="34"/>
      <c r="R7363" s="35"/>
      <c r="S7363" s="36"/>
      <c r="T7363" s="36"/>
      <c r="U7363" s="36"/>
      <c r="V7363" s="37"/>
    </row>
    <row r="7364" spans="13:22" x14ac:dyDescent="0.2">
      <c r="M7364" s="33"/>
      <c r="N7364" s="29"/>
      <c r="O7364" s="29"/>
      <c r="P7364" s="29"/>
      <c r="Q7364" s="38"/>
      <c r="R7364" s="35"/>
      <c r="S7364" s="36"/>
      <c r="T7364" s="36"/>
      <c r="U7364" s="36"/>
      <c r="V7364" s="37"/>
    </row>
    <row r="7365" spans="13:22" x14ac:dyDescent="0.2">
      <c r="M7365" s="33"/>
      <c r="N7365" s="29"/>
      <c r="O7365" s="29"/>
      <c r="P7365" s="29"/>
      <c r="Q7365" s="34"/>
      <c r="R7365" s="35"/>
      <c r="S7365" s="36"/>
      <c r="T7365" s="36"/>
      <c r="U7365" s="36"/>
      <c r="V7365" s="37"/>
    </row>
    <row r="7366" spans="13:22" x14ac:dyDescent="0.2">
      <c r="M7366" s="33"/>
      <c r="N7366" s="29"/>
      <c r="O7366" s="29"/>
      <c r="P7366" s="29"/>
      <c r="Q7366" s="34"/>
      <c r="R7366" s="35"/>
      <c r="S7366" s="36"/>
      <c r="T7366" s="36"/>
      <c r="U7366" s="36"/>
      <c r="V7366" s="37"/>
    </row>
    <row r="7367" spans="13:22" x14ac:dyDescent="0.2">
      <c r="M7367" s="33"/>
      <c r="N7367" s="29"/>
      <c r="O7367" s="29"/>
      <c r="P7367" s="29"/>
      <c r="Q7367" s="34"/>
      <c r="R7367" s="35"/>
      <c r="S7367" s="36"/>
      <c r="T7367" s="36"/>
      <c r="U7367" s="36"/>
      <c r="V7367" s="37"/>
    </row>
    <row r="7368" spans="13:22" x14ac:dyDescent="0.2">
      <c r="M7368" s="33"/>
      <c r="N7368" s="29"/>
      <c r="O7368" s="29"/>
      <c r="P7368" s="29"/>
      <c r="Q7368" s="34"/>
      <c r="R7368" s="35"/>
      <c r="S7368" s="36"/>
      <c r="T7368" s="36"/>
      <c r="U7368" s="36"/>
      <c r="V7368" s="37"/>
    </row>
    <row r="7369" spans="13:22" x14ac:dyDescent="0.2">
      <c r="M7369" s="26"/>
      <c r="N7369" s="15"/>
      <c r="O7369" s="15"/>
      <c r="P7369" s="15"/>
      <c r="Q7369" s="39"/>
      <c r="R7369" s="35"/>
      <c r="S7369" s="36"/>
      <c r="T7369" s="36"/>
      <c r="U7369" s="36"/>
      <c r="V7369" s="37"/>
    </row>
    <row r="7370" spans="13:22" x14ac:dyDescent="0.2">
      <c r="M7370" s="26"/>
      <c r="N7370" s="15"/>
      <c r="O7370" s="15"/>
      <c r="P7370" s="15"/>
      <c r="Q7370" s="39"/>
      <c r="R7370" s="35"/>
      <c r="S7370" s="36"/>
      <c r="T7370" s="36"/>
      <c r="U7370" s="36"/>
      <c r="V7370" s="37"/>
    </row>
    <row r="7371" spans="13:22" x14ac:dyDescent="0.2">
      <c r="M7371" s="40"/>
      <c r="N7371" s="15"/>
      <c r="O7371" s="15"/>
      <c r="P7371" s="15"/>
      <c r="Q7371" s="39"/>
      <c r="R7371" s="35"/>
      <c r="S7371" s="36"/>
      <c r="T7371" s="36"/>
      <c r="U7371" s="36"/>
      <c r="V7371" s="37"/>
    </row>
    <row r="7372" spans="13:22" x14ac:dyDescent="0.2">
      <c r="M7372" s="40"/>
      <c r="N7372" s="15"/>
      <c r="O7372" s="15"/>
      <c r="P7372" s="15"/>
      <c r="Q7372" s="39"/>
      <c r="R7372" s="41"/>
      <c r="S7372" s="36"/>
      <c r="T7372" s="36"/>
      <c r="U7372" s="36"/>
      <c r="V7372" s="37"/>
    </row>
    <row r="7373" spans="13:22" x14ac:dyDescent="0.2">
      <c r="M7373" s="40"/>
      <c r="N7373" s="15"/>
      <c r="O7373" s="15"/>
      <c r="P7373" s="15"/>
      <c r="Q7373" s="39"/>
      <c r="R7373" s="41"/>
      <c r="S7373" s="36"/>
      <c r="T7373" s="36"/>
      <c r="U7373" s="36"/>
      <c r="V7373" s="37"/>
    </row>
    <row r="7374" spans="13:22" x14ac:dyDescent="0.2">
      <c r="M7374" s="40"/>
      <c r="N7374" s="15"/>
      <c r="O7374" s="15"/>
      <c r="P7374" s="15"/>
      <c r="Q7374" s="39"/>
      <c r="R7374" s="41"/>
      <c r="S7374" s="36"/>
      <c r="T7374" s="36"/>
      <c r="U7374" s="36"/>
      <c r="V7374" s="37"/>
    </row>
    <row r="7375" spans="13:22" x14ac:dyDescent="0.2">
      <c r="M7375" s="40"/>
      <c r="N7375" s="15"/>
      <c r="O7375" s="15"/>
      <c r="P7375" s="15"/>
      <c r="Q7375" s="39"/>
      <c r="R7375" s="41"/>
      <c r="S7375" s="36"/>
      <c r="T7375" s="36"/>
      <c r="U7375" s="36"/>
      <c r="V7375" s="37"/>
    </row>
    <row r="7376" spans="13:22" x14ac:dyDescent="0.2">
      <c r="M7376" s="40"/>
      <c r="N7376" s="15"/>
      <c r="O7376" s="15"/>
      <c r="P7376" s="15"/>
      <c r="Q7376" s="39"/>
      <c r="R7376" s="41"/>
      <c r="S7376" s="36"/>
      <c r="T7376" s="36"/>
      <c r="U7376" s="36"/>
      <c r="V7376" s="37"/>
    </row>
    <row r="7377" spans="13:22" x14ac:dyDescent="0.2">
      <c r="M7377" s="40"/>
      <c r="N7377" s="15"/>
      <c r="O7377" s="15"/>
      <c r="P7377" s="15"/>
      <c r="Q7377" s="39"/>
      <c r="R7377" s="41"/>
      <c r="S7377" s="36"/>
      <c r="T7377" s="36"/>
      <c r="U7377" s="36"/>
      <c r="V7377" s="37"/>
    </row>
    <row r="7378" spans="13:22" x14ac:dyDescent="0.2">
      <c r="M7378" s="40"/>
      <c r="N7378" s="15"/>
      <c r="O7378" s="15"/>
      <c r="P7378" s="15"/>
      <c r="Q7378" s="39"/>
      <c r="R7378" s="41"/>
      <c r="S7378" s="36"/>
      <c r="T7378" s="36"/>
      <c r="U7378" s="36"/>
      <c r="V7378" s="37"/>
    </row>
    <row r="7379" spans="13:22" x14ac:dyDescent="0.2">
      <c r="M7379" s="40"/>
      <c r="N7379" s="15"/>
      <c r="O7379" s="15"/>
      <c r="P7379" s="15"/>
      <c r="Q7379" s="39"/>
      <c r="R7379" s="41"/>
      <c r="S7379" s="36"/>
      <c r="T7379" s="36"/>
      <c r="U7379" s="36"/>
      <c r="V7379" s="37"/>
    </row>
    <row r="7380" spans="13:22" x14ac:dyDescent="0.2">
      <c r="M7380" s="40"/>
      <c r="N7380" s="15"/>
      <c r="O7380" s="15"/>
      <c r="P7380" s="15"/>
      <c r="Q7380" s="39"/>
      <c r="R7380" s="41"/>
      <c r="S7380" s="36"/>
      <c r="T7380" s="36"/>
      <c r="U7380" s="36"/>
      <c r="V7380" s="37"/>
    </row>
    <row r="7381" spans="13:22" ht="13.5" thickBot="1" x14ac:dyDescent="0.25">
      <c r="M7381" s="42"/>
      <c r="N7381" s="43"/>
      <c r="O7381" s="43"/>
      <c r="P7381" s="43"/>
      <c r="Q7381" s="44"/>
      <c r="R7381" s="41"/>
      <c r="S7381" s="46"/>
      <c r="T7381" s="46"/>
      <c r="U7381" s="46"/>
      <c r="V7381" s="47"/>
    </row>
    <row r="7382" spans="13:22" ht="13.5" thickBot="1" x14ac:dyDescent="0.25">
      <c r="M7382" s="48"/>
      <c r="N7382" s="49"/>
      <c r="O7382" s="49"/>
      <c r="P7382" s="49"/>
      <c r="Q7382" s="50"/>
      <c r="R7382" s="45"/>
      <c r="S7382" s="52"/>
      <c r="T7382" s="52"/>
      <c r="U7382" s="52"/>
      <c r="V7382" s="53"/>
    </row>
    <row r="7383" spans="13:22" x14ac:dyDescent="0.2">
      <c r="M7383" s="54"/>
      <c r="N7383" s="29"/>
      <c r="O7383" s="29"/>
      <c r="P7383" s="29"/>
      <c r="Q7383" s="34"/>
      <c r="R7383" s="51"/>
      <c r="S7383" s="36"/>
      <c r="T7383" s="36"/>
      <c r="U7383" s="36"/>
      <c r="V7383" s="37"/>
    </row>
    <row r="7384" spans="13:22" x14ac:dyDescent="0.2">
      <c r="M7384" s="33"/>
      <c r="N7384" s="29"/>
      <c r="O7384" s="29"/>
      <c r="P7384" s="29"/>
      <c r="Q7384" s="34"/>
      <c r="R7384" s="41"/>
      <c r="S7384" s="36"/>
      <c r="T7384" s="36"/>
      <c r="U7384" s="36"/>
      <c r="V7384" s="37"/>
    </row>
    <row r="7385" spans="13:22" x14ac:dyDescent="0.2">
      <c r="M7385" s="33"/>
      <c r="N7385" s="29"/>
      <c r="O7385" s="29"/>
      <c r="P7385" s="29"/>
      <c r="Q7385" s="34"/>
      <c r="R7385" s="35"/>
      <c r="S7385" s="36"/>
      <c r="T7385" s="36"/>
      <c r="U7385" s="36"/>
      <c r="V7385" s="37"/>
    </row>
    <row r="7386" spans="13:22" x14ac:dyDescent="0.2">
      <c r="M7386" s="33"/>
      <c r="N7386" s="29"/>
      <c r="O7386" s="29"/>
      <c r="P7386" s="29"/>
      <c r="Q7386" s="34"/>
      <c r="R7386" s="35"/>
      <c r="S7386" s="36"/>
      <c r="T7386" s="36"/>
      <c r="U7386" s="36"/>
      <c r="V7386" s="37"/>
    </row>
    <row r="7387" spans="13:22" x14ac:dyDescent="0.2">
      <c r="M7387" s="33"/>
      <c r="N7387" s="29"/>
      <c r="O7387" s="29"/>
      <c r="P7387" s="29"/>
      <c r="Q7387" s="34"/>
      <c r="R7387" s="35"/>
      <c r="S7387" s="36"/>
      <c r="T7387" s="36"/>
      <c r="U7387" s="36"/>
      <c r="V7387" s="37"/>
    </row>
    <row r="7388" spans="13:22" x14ac:dyDescent="0.2">
      <c r="M7388" s="33"/>
      <c r="N7388" s="29"/>
      <c r="O7388" s="29"/>
      <c r="P7388" s="29"/>
      <c r="Q7388" s="34"/>
      <c r="R7388" s="35"/>
      <c r="S7388" s="36"/>
      <c r="T7388" s="36"/>
      <c r="U7388" s="36"/>
      <c r="V7388" s="37"/>
    </row>
    <row r="7389" spans="13:22" x14ac:dyDescent="0.2">
      <c r="M7389" s="33"/>
      <c r="N7389" s="29"/>
      <c r="O7389" s="29"/>
      <c r="P7389" s="29"/>
      <c r="Q7389" s="38"/>
      <c r="R7389" s="35"/>
      <c r="S7389" s="36"/>
      <c r="T7389" s="36"/>
      <c r="U7389" s="36"/>
      <c r="V7389" s="37"/>
    </row>
    <row r="7390" spans="13:22" x14ac:dyDescent="0.2">
      <c r="M7390" s="33"/>
      <c r="N7390" s="29"/>
      <c r="O7390" s="29"/>
      <c r="P7390" s="29"/>
      <c r="Q7390" s="34"/>
      <c r="R7390" s="35"/>
      <c r="S7390" s="36"/>
      <c r="T7390" s="36"/>
      <c r="U7390" s="36"/>
      <c r="V7390" s="37"/>
    </row>
    <row r="7391" spans="13:22" x14ac:dyDescent="0.2">
      <c r="M7391" s="33"/>
      <c r="N7391" s="29"/>
      <c r="O7391" s="29"/>
      <c r="P7391" s="29"/>
      <c r="Q7391" s="34"/>
      <c r="R7391" s="35"/>
      <c r="S7391" s="36"/>
      <c r="T7391" s="36"/>
      <c r="U7391" s="36"/>
      <c r="V7391" s="37"/>
    </row>
    <row r="7392" spans="13:22" x14ac:dyDescent="0.2">
      <c r="M7392" s="33"/>
      <c r="N7392" s="29"/>
      <c r="O7392" s="29"/>
      <c r="P7392" s="29"/>
      <c r="Q7392" s="34"/>
      <c r="R7392" s="35"/>
      <c r="S7392" s="36"/>
      <c r="T7392" s="36"/>
      <c r="U7392" s="36"/>
      <c r="V7392" s="37"/>
    </row>
    <row r="7393" spans="13:22" x14ac:dyDescent="0.2">
      <c r="M7393" s="33"/>
      <c r="N7393" s="29"/>
      <c r="O7393" s="29"/>
      <c r="P7393" s="29"/>
      <c r="Q7393" s="34"/>
      <c r="R7393" s="35"/>
      <c r="S7393" s="36"/>
      <c r="T7393" s="36"/>
      <c r="U7393" s="36"/>
      <c r="V7393" s="37"/>
    </row>
    <row r="7394" spans="13:22" x14ac:dyDescent="0.2">
      <c r="M7394" s="26"/>
      <c r="N7394" s="15"/>
      <c r="O7394" s="15"/>
      <c r="P7394" s="15"/>
      <c r="Q7394" s="39"/>
      <c r="R7394" s="35"/>
      <c r="S7394" s="36"/>
      <c r="T7394" s="36"/>
      <c r="U7394" s="36"/>
      <c r="V7394" s="37"/>
    </row>
    <row r="7395" spans="13:22" x14ac:dyDescent="0.2">
      <c r="M7395" s="26"/>
      <c r="N7395" s="15"/>
      <c r="O7395" s="15"/>
      <c r="P7395" s="15"/>
      <c r="Q7395" s="39"/>
      <c r="R7395" s="35"/>
      <c r="S7395" s="36"/>
      <c r="T7395" s="36"/>
      <c r="U7395" s="36"/>
      <c r="V7395" s="37"/>
    </row>
    <row r="7396" spans="13:22" x14ac:dyDescent="0.2">
      <c r="M7396" s="40"/>
      <c r="N7396" s="15"/>
      <c r="O7396" s="15"/>
      <c r="P7396" s="15"/>
      <c r="Q7396" s="39"/>
      <c r="R7396" s="35"/>
      <c r="S7396" s="36"/>
      <c r="T7396" s="36"/>
      <c r="U7396" s="36"/>
      <c r="V7396" s="37"/>
    </row>
    <row r="7397" spans="13:22" x14ac:dyDescent="0.2">
      <c r="M7397" s="40"/>
      <c r="N7397" s="15"/>
      <c r="O7397" s="15"/>
      <c r="P7397" s="15"/>
      <c r="Q7397" s="39"/>
      <c r="R7397" s="41"/>
      <c r="S7397" s="36"/>
      <c r="T7397" s="36"/>
      <c r="U7397" s="36"/>
      <c r="V7397" s="37"/>
    </row>
    <row r="7398" spans="13:22" x14ac:dyDescent="0.2">
      <c r="M7398" s="40"/>
      <c r="N7398" s="15"/>
      <c r="O7398" s="15"/>
      <c r="P7398" s="15"/>
      <c r="Q7398" s="39"/>
      <c r="R7398" s="41"/>
      <c r="S7398" s="36"/>
      <c r="T7398" s="36"/>
      <c r="U7398" s="36"/>
      <c r="V7398" s="37"/>
    </row>
    <row r="7399" spans="13:22" x14ac:dyDescent="0.2">
      <c r="M7399" s="40"/>
      <c r="N7399" s="15"/>
      <c r="O7399" s="15"/>
      <c r="P7399" s="15"/>
      <c r="Q7399" s="39"/>
      <c r="R7399" s="41"/>
      <c r="S7399" s="36"/>
      <c r="T7399" s="36"/>
      <c r="U7399" s="36"/>
      <c r="V7399" s="37"/>
    </row>
    <row r="7400" spans="13:22" x14ac:dyDescent="0.2">
      <c r="M7400" s="40"/>
      <c r="N7400" s="15"/>
      <c r="O7400" s="15"/>
      <c r="P7400" s="15"/>
      <c r="Q7400" s="39"/>
      <c r="R7400" s="41"/>
      <c r="S7400" s="36"/>
      <c r="T7400" s="36"/>
      <c r="U7400" s="36"/>
      <c r="V7400" s="37"/>
    </row>
    <row r="7401" spans="13:22" x14ac:dyDescent="0.2">
      <c r="M7401" s="40"/>
      <c r="N7401" s="15"/>
      <c r="O7401" s="15"/>
      <c r="P7401" s="15"/>
      <c r="Q7401" s="39"/>
      <c r="R7401" s="41"/>
      <c r="S7401" s="36"/>
      <c r="T7401" s="36"/>
      <c r="U7401" s="36"/>
      <c r="V7401" s="37"/>
    </row>
    <row r="7402" spans="13:22" x14ac:dyDescent="0.2">
      <c r="M7402" s="40"/>
      <c r="N7402" s="15"/>
      <c r="O7402" s="15"/>
      <c r="P7402" s="15"/>
      <c r="Q7402" s="39"/>
      <c r="R7402" s="41"/>
      <c r="S7402" s="36"/>
      <c r="T7402" s="36"/>
      <c r="U7402" s="36"/>
      <c r="V7402" s="37"/>
    </row>
    <row r="7403" spans="13:22" x14ac:dyDescent="0.2">
      <c r="M7403" s="40"/>
      <c r="N7403" s="15"/>
      <c r="O7403" s="15"/>
      <c r="P7403" s="15"/>
      <c r="Q7403" s="39"/>
      <c r="R7403" s="41"/>
      <c r="S7403" s="36"/>
      <c r="T7403" s="36"/>
      <c r="U7403" s="36"/>
      <c r="V7403" s="37"/>
    </row>
    <row r="7404" spans="13:22" x14ac:dyDescent="0.2">
      <c r="M7404" s="40"/>
      <c r="N7404" s="15"/>
      <c r="O7404" s="15"/>
      <c r="P7404" s="15"/>
      <c r="Q7404" s="39"/>
      <c r="R7404" s="41"/>
      <c r="S7404" s="36"/>
      <c r="T7404" s="36"/>
      <c r="U7404" s="36"/>
      <c r="V7404" s="37"/>
    </row>
    <row r="7405" spans="13:22" x14ac:dyDescent="0.2">
      <c r="M7405" s="40"/>
      <c r="N7405" s="15"/>
      <c r="O7405" s="15"/>
      <c r="P7405" s="15"/>
      <c r="Q7405" s="39"/>
      <c r="R7405" s="41"/>
      <c r="S7405" s="36"/>
      <c r="T7405" s="36"/>
      <c r="U7405" s="36"/>
      <c r="V7405" s="37"/>
    </row>
    <row r="7406" spans="13:22" ht="13.5" thickBot="1" x14ac:dyDescent="0.25">
      <c r="M7406" s="42"/>
      <c r="N7406" s="43"/>
      <c r="O7406" s="43"/>
      <c r="P7406" s="43"/>
      <c r="Q7406" s="44"/>
      <c r="R7406" s="41"/>
      <c r="S7406" s="46"/>
      <c r="T7406" s="46"/>
      <c r="U7406" s="46"/>
      <c r="V7406" s="47"/>
    </row>
    <row r="7407" spans="13:22" ht="13.5" thickBot="1" x14ac:dyDescent="0.25">
      <c r="M7407" s="48"/>
      <c r="N7407" s="49"/>
      <c r="O7407" s="49"/>
      <c r="P7407" s="49"/>
      <c r="Q7407" s="50"/>
      <c r="R7407" s="45"/>
      <c r="S7407" s="52"/>
      <c r="T7407" s="52"/>
      <c r="U7407" s="52"/>
      <c r="V7407" s="53"/>
    </row>
    <row r="7408" spans="13:22" x14ac:dyDescent="0.2">
      <c r="M7408" s="54"/>
      <c r="N7408" s="29"/>
      <c r="O7408" s="29"/>
      <c r="P7408" s="29"/>
      <c r="Q7408" s="34"/>
      <c r="R7408" s="51"/>
      <c r="S7408" s="36"/>
      <c r="T7408" s="36"/>
      <c r="U7408" s="36"/>
      <c r="V7408" s="37"/>
    </row>
    <row r="7409" spans="13:22" x14ac:dyDescent="0.2">
      <c r="M7409" s="33"/>
      <c r="N7409" s="29"/>
      <c r="O7409" s="29"/>
      <c r="P7409" s="29"/>
      <c r="Q7409" s="34"/>
      <c r="R7409" s="41"/>
      <c r="S7409" s="36"/>
      <c r="T7409" s="36"/>
      <c r="U7409" s="36"/>
      <c r="V7409" s="37"/>
    </row>
    <row r="7410" spans="13:22" x14ac:dyDescent="0.2">
      <c r="M7410" s="33"/>
      <c r="N7410" s="29"/>
      <c r="O7410" s="29"/>
      <c r="P7410" s="29"/>
      <c r="Q7410" s="34"/>
      <c r="R7410" s="35"/>
      <c r="S7410" s="36"/>
      <c r="T7410" s="36"/>
      <c r="U7410" s="36"/>
      <c r="V7410" s="37"/>
    </row>
    <row r="7411" spans="13:22" x14ac:dyDescent="0.2">
      <c r="M7411" s="33"/>
      <c r="N7411" s="29"/>
      <c r="O7411" s="29"/>
      <c r="P7411" s="29"/>
      <c r="Q7411" s="34"/>
      <c r="R7411" s="35"/>
      <c r="S7411" s="36"/>
      <c r="T7411" s="36"/>
      <c r="U7411" s="36"/>
      <c r="V7411" s="37"/>
    </row>
    <row r="7412" spans="13:22" x14ac:dyDescent="0.2">
      <c r="M7412" s="33"/>
      <c r="N7412" s="29"/>
      <c r="O7412" s="29"/>
      <c r="P7412" s="29"/>
      <c r="Q7412" s="34"/>
      <c r="R7412" s="35"/>
      <c r="S7412" s="36"/>
      <c r="T7412" s="36"/>
      <c r="U7412" s="36"/>
      <c r="V7412" s="37"/>
    </row>
    <row r="7413" spans="13:22" x14ac:dyDescent="0.2">
      <c r="M7413" s="33"/>
      <c r="N7413" s="29"/>
      <c r="O7413" s="29"/>
      <c r="P7413" s="29"/>
      <c r="Q7413" s="34"/>
      <c r="R7413" s="35"/>
      <c r="S7413" s="36"/>
      <c r="T7413" s="36"/>
      <c r="U7413" s="36"/>
      <c r="V7413" s="37"/>
    </row>
    <row r="7414" spans="13:22" x14ac:dyDescent="0.2">
      <c r="M7414" s="33"/>
      <c r="N7414" s="29"/>
      <c r="O7414" s="29"/>
      <c r="P7414" s="29"/>
      <c r="Q7414" s="38"/>
      <c r="R7414" s="35"/>
      <c r="S7414" s="36"/>
      <c r="T7414" s="36"/>
      <c r="U7414" s="36"/>
      <c r="V7414" s="37"/>
    </row>
    <row r="7415" spans="13:22" x14ac:dyDescent="0.2">
      <c r="M7415" s="33"/>
      <c r="N7415" s="29"/>
      <c r="O7415" s="29"/>
      <c r="P7415" s="29"/>
      <c r="Q7415" s="34"/>
      <c r="R7415" s="35"/>
      <c r="S7415" s="36"/>
      <c r="T7415" s="36"/>
      <c r="U7415" s="36"/>
      <c r="V7415" s="37"/>
    </row>
    <row r="7416" spans="13:22" x14ac:dyDescent="0.2">
      <c r="M7416" s="33"/>
      <c r="N7416" s="29"/>
      <c r="O7416" s="29"/>
      <c r="P7416" s="29"/>
      <c r="Q7416" s="34"/>
      <c r="R7416" s="35"/>
      <c r="S7416" s="36"/>
      <c r="T7416" s="36"/>
      <c r="U7416" s="36"/>
      <c r="V7416" s="37"/>
    </row>
    <row r="7417" spans="13:22" x14ac:dyDescent="0.2">
      <c r="M7417" s="33"/>
      <c r="N7417" s="29"/>
      <c r="O7417" s="29"/>
      <c r="P7417" s="29"/>
      <c r="Q7417" s="34"/>
      <c r="R7417" s="35"/>
      <c r="S7417" s="36"/>
      <c r="T7417" s="36"/>
      <c r="U7417" s="36"/>
      <c r="V7417" s="37"/>
    </row>
    <row r="7418" spans="13:22" x14ac:dyDescent="0.2">
      <c r="M7418" s="33"/>
      <c r="N7418" s="29"/>
      <c r="O7418" s="29"/>
      <c r="P7418" s="29"/>
      <c r="Q7418" s="34"/>
      <c r="R7418" s="35"/>
      <c r="S7418" s="36"/>
      <c r="T7418" s="36"/>
      <c r="U7418" s="36"/>
      <c r="V7418" s="37"/>
    </row>
    <row r="7419" spans="13:22" x14ac:dyDescent="0.2">
      <c r="M7419" s="26"/>
      <c r="N7419" s="15"/>
      <c r="O7419" s="15"/>
      <c r="P7419" s="15"/>
      <c r="Q7419" s="39"/>
      <c r="R7419" s="35"/>
      <c r="S7419" s="36"/>
      <c r="T7419" s="36"/>
      <c r="U7419" s="36"/>
      <c r="V7419" s="37"/>
    </row>
    <row r="7420" spans="13:22" x14ac:dyDescent="0.2">
      <c r="M7420" s="26"/>
      <c r="N7420" s="15"/>
      <c r="O7420" s="15"/>
      <c r="P7420" s="15"/>
      <c r="Q7420" s="39"/>
      <c r="R7420" s="35"/>
      <c r="S7420" s="36"/>
      <c r="T7420" s="36"/>
      <c r="U7420" s="36"/>
      <c r="V7420" s="37"/>
    </row>
    <row r="7421" spans="13:22" x14ac:dyDescent="0.2">
      <c r="M7421" s="40"/>
      <c r="N7421" s="15"/>
      <c r="O7421" s="15"/>
      <c r="P7421" s="15"/>
      <c r="Q7421" s="39"/>
      <c r="R7421" s="35"/>
      <c r="S7421" s="36"/>
      <c r="T7421" s="36"/>
      <c r="U7421" s="36"/>
      <c r="V7421" s="37"/>
    </row>
    <row r="7422" spans="13:22" x14ac:dyDescent="0.2">
      <c r="M7422" s="40"/>
      <c r="N7422" s="15"/>
      <c r="O7422" s="15"/>
      <c r="P7422" s="15"/>
      <c r="Q7422" s="39"/>
      <c r="R7422" s="41"/>
      <c r="S7422" s="36"/>
      <c r="T7422" s="36"/>
      <c r="U7422" s="36"/>
      <c r="V7422" s="37"/>
    </row>
    <row r="7423" spans="13:22" x14ac:dyDescent="0.2">
      <c r="M7423" s="40"/>
      <c r="N7423" s="15"/>
      <c r="O7423" s="15"/>
      <c r="P7423" s="15"/>
      <c r="Q7423" s="39"/>
      <c r="R7423" s="41"/>
      <c r="S7423" s="36"/>
      <c r="T7423" s="36"/>
      <c r="U7423" s="36"/>
      <c r="V7423" s="37"/>
    </row>
    <row r="7424" spans="13:22" x14ac:dyDescent="0.2">
      <c r="M7424" s="40"/>
      <c r="N7424" s="15"/>
      <c r="O7424" s="15"/>
      <c r="P7424" s="15"/>
      <c r="Q7424" s="39"/>
      <c r="R7424" s="41"/>
      <c r="S7424" s="36"/>
      <c r="T7424" s="36"/>
      <c r="U7424" s="36"/>
      <c r="V7424" s="37"/>
    </row>
    <row r="7425" spans="13:22" x14ac:dyDescent="0.2">
      <c r="M7425" s="40"/>
      <c r="N7425" s="15"/>
      <c r="O7425" s="15"/>
      <c r="P7425" s="15"/>
      <c r="Q7425" s="39"/>
      <c r="R7425" s="41"/>
      <c r="S7425" s="36"/>
      <c r="T7425" s="36"/>
      <c r="U7425" s="36"/>
      <c r="V7425" s="37"/>
    </row>
    <row r="7426" spans="13:22" x14ac:dyDescent="0.2">
      <c r="M7426" s="40"/>
      <c r="N7426" s="15"/>
      <c r="O7426" s="15"/>
      <c r="P7426" s="15"/>
      <c r="Q7426" s="39"/>
      <c r="R7426" s="41"/>
      <c r="S7426" s="36"/>
      <c r="T7426" s="36"/>
      <c r="U7426" s="36"/>
      <c r="V7426" s="37"/>
    </row>
    <row r="7427" spans="13:22" x14ac:dyDescent="0.2">
      <c r="M7427" s="40"/>
      <c r="N7427" s="15"/>
      <c r="O7427" s="15"/>
      <c r="P7427" s="15"/>
      <c r="Q7427" s="39"/>
      <c r="R7427" s="41"/>
      <c r="S7427" s="36"/>
      <c r="T7427" s="36"/>
      <c r="U7427" s="36"/>
      <c r="V7427" s="37"/>
    </row>
    <row r="7428" spans="13:22" x14ac:dyDescent="0.2">
      <c r="M7428" s="40"/>
      <c r="N7428" s="15"/>
      <c r="O7428" s="15"/>
      <c r="P7428" s="15"/>
      <c r="Q7428" s="39"/>
      <c r="R7428" s="41"/>
      <c r="S7428" s="36"/>
      <c r="T7428" s="36"/>
      <c r="U7428" s="36"/>
      <c r="V7428" s="37"/>
    </row>
    <row r="7429" spans="13:22" x14ac:dyDescent="0.2">
      <c r="M7429" s="40"/>
      <c r="N7429" s="15"/>
      <c r="O7429" s="15"/>
      <c r="P7429" s="15"/>
      <c r="Q7429" s="39"/>
      <c r="R7429" s="41"/>
      <c r="S7429" s="36"/>
      <c r="T7429" s="36"/>
      <c r="U7429" s="36"/>
      <c r="V7429" s="37"/>
    </row>
    <row r="7430" spans="13:22" x14ac:dyDescent="0.2">
      <c r="M7430" s="40"/>
      <c r="N7430" s="15"/>
      <c r="O7430" s="15"/>
      <c r="P7430" s="15"/>
      <c r="Q7430" s="39"/>
      <c r="R7430" s="41"/>
      <c r="S7430" s="36"/>
      <c r="T7430" s="36"/>
      <c r="U7430" s="36"/>
      <c r="V7430" s="37"/>
    </row>
    <row r="7431" spans="13:22" ht="13.5" thickBot="1" x14ac:dyDescent="0.25">
      <c r="M7431" s="42"/>
      <c r="N7431" s="43"/>
      <c r="O7431" s="43"/>
      <c r="P7431" s="43"/>
      <c r="Q7431" s="44"/>
      <c r="R7431" s="41"/>
      <c r="S7431" s="46"/>
      <c r="T7431" s="46"/>
      <c r="U7431" s="46"/>
      <c r="V7431" s="47"/>
    </row>
    <row r="7432" spans="13:22" ht="13.5" thickBot="1" x14ac:dyDescent="0.25">
      <c r="M7432" s="48"/>
      <c r="N7432" s="49"/>
      <c r="O7432" s="49"/>
      <c r="P7432" s="49"/>
      <c r="Q7432" s="50"/>
      <c r="R7432" s="45"/>
      <c r="S7432" s="52"/>
      <c r="T7432" s="52"/>
      <c r="U7432" s="52"/>
      <c r="V7432" s="53"/>
    </row>
    <row r="7433" spans="13:22" x14ac:dyDescent="0.2">
      <c r="M7433" s="54"/>
      <c r="N7433" s="29"/>
      <c r="O7433" s="29"/>
      <c r="P7433" s="29"/>
      <c r="Q7433" s="34"/>
      <c r="R7433" s="51"/>
      <c r="S7433" s="36"/>
      <c r="T7433" s="36"/>
      <c r="U7433" s="36"/>
      <c r="V7433" s="37"/>
    </row>
    <row r="7434" spans="13:22" x14ac:dyDescent="0.2">
      <c r="M7434" s="33"/>
      <c r="N7434" s="29"/>
      <c r="O7434" s="29"/>
      <c r="P7434" s="29"/>
      <c r="Q7434" s="34"/>
      <c r="R7434" s="41"/>
      <c r="S7434" s="36"/>
      <c r="T7434" s="36"/>
      <c r="U7434" s="36"/>
      <c r="V7434" s="37"/>
    </row>
    <row r="7435" spans="13:22" x14ac:dyDescent="0.2">
      <c r="M7435" s="33"/>
      <c r="N7435" s="29"/>
      <c r="O7435" s="29"/>
      <c r="P7435" s="29"/>
      <c r="Q7435" s="34"/>
      <c r="R7435" s="35"/>
      <c r="S7435" s="36"/>
      <c r="T7435" s="36"/>
      <c r="U7435" s="36"/>
      <c r="V7435" s="37"/>
    </row>
    <row r="7436" spans="13:22" x14ac:dyDescent="0.2">
      <c r="M7436" s="33"/>
      <c r="N7436" s="29"/>
      <c r="O7436" s="29"/>
      <c r="P7436" s="29"/>
      <c r="Q7436" s="34"/>
      <c r="R7436" s="35"/>
      <c r="S7436" s="36"/>
      <c r="T7436" s="36"/>
      <c r="U7436" s="36"/>
      <c r="V7436" s="37"/>
    </row>
    <row r="7437" spans="13:22" x14ac:dyDescent="0.2">
      <c r="M7437" s="33"/>
      <c r="N7437" s="29"/>
      <c r="O7437" s="29"/>
      <c r="P7437" s="29"/>
      <c r="Q7437" s="34"/>
      <c r="R7437" s="35"/>
      <c r="S7437" s="36"/>
      <c r="T7437" s="36"/>
      <c r="U7437" s="36"/>
      <c r="V7437" s="37"/>
    </row>
    <row r="7438" spans="13:22" x14ac:dyDescent="0.2">
      <c r="M7438" s="33"/>
      <c r="N7438" s="29"/>
      <c r="O7438" s="29"/>
      <c r="P7438" s="29"/>
      <c r="Q7438" s="34"/>
      <c r="R7438" s="35"/>
      <c r="S7438" s="36"/>
      <c r="T7438" s="36"/>
      <c r="U7438" s="36"/>
      <c r="V7438" s="37"/>
    </row>
    <row r="7439" spans="13:22" x14ac:dyDescent="0.2">
      <c r="M7439" s="33"/>
      <c r="N7439" s="29"/>
      <c r="O7439" s="29"/>
      <c r="P7439" s="29"/>
      <c r="Q7439" s="38"/>
      <c r="R7439" s="35"/>
      <c r="S7439" s="36"/>
      <c r="T7439" s="36"/>
      <c r="U7439" s="36"/>
      <c r="V7439" s="37"/>
    </row>
    <row r="7440" spans="13:22" x14ac:dyDescent="0.2">
      <c r="M7440" s="33"/>
      <c r="N7440" s="29"/>
      <c r="O7440" s="29"/>
      <c r="P7440" s="29"/>
      <c r="Q7440" s="34"/>
      <c r="R7440" s="35"/>
      <c r="S7440" s="36"/>
      <c r="T7440" s="36"/>
      <c r="U7440" s="36"/>
      <c r="V7440" s="37"/>
    </row>
    <row r="7441" spans="13:22" x14ac:dyDescent="0.2">
      <c r="M7441" s="33"/>
      <c r="N7441" s="29"/>
      <c r="O7441" s="29"/>
      <c r="P7441" s="29"/>
      <c r="Q7441" s="34"/>
      <c r="R7441" s="35"/>
      <c r="S7441" s="36"/>
      <c r="T7441" s="36"/>
      <c r="U7441" s="36"/>
      <c r="V7441" s="37"/>
    </row>
    <row r="7442" spans="13:22" x14ac:dyDescent="0.2">
      <c r="M7442" s="33"/>
      <c r="N7442" s="29"/>
      <c r="O7442" s="29"/>
      <c r="P7442" s="29"/>
      <c r="Q7442" s="34"/>
      <c r="R7442" s="35"/>
      <c r="S7442" s="36"/>
      <c r="T7442" s="36"/>
      <c r="U7442" s="36"/>
      <c r="V7442" s="37"/>
    </row>
    <row r="7443" spans="13:22" x14ac:dyDescent="0.2">
      <c r="M7443" s="33"/>
      <c r="N7443" s="29"/>
      <c r="O7443" s="29"/>
      <c r="P7443" s="29"/>
      <c r="Q7443" s="34"/>
      <c r="R7443" s="35"/>
      <c r="S7443" s="36"/>
      <c r="T7443" s="36"/>
      <c r="U7443" s="36"/>
      <c r="V7443" s="37"/>
    </row>
    <row r="7444" spans="13:22" x14ac:dyDescent="0.2">
      <c r="M7444" s="26"/>
      <c r="N7444" s="15"/>
      <c r="O7444" s="15"/>
      <c r="P7444" s="15"/>
      <c r="Q7444" s="39"/>
      <c r="R7444" s="35"/>
      <c r="S7444" s="36"/>
      <c r="T7444" s="36"/>
      <c r="U7444" s="36"/>
      <c r="V7444" s="37"/>
    </row>
    <row r="7445" spans="13:22" x14ac:dyDescent="0.2">
      <c r="M7445" s="26"/>
      <c r="N7445" s="15"/>
      <c r="O7445" s="15"/>
      <c r="P7445" s="15"/>
      <c r="Q7445" s="39"/>
      <c r="R7445" s="35"/>
      <c r="S7445" s="36"/>
      <c r="T7445" s="36"/>
      <c r="U7445" s="36"/>
      <c r="V7445" s="37"/>
    </row>
    <row r="7446" spans="13:22" x14ac:dyDescent="0.2">
      <c r="M7446" s="40"/>
      <c r="N7446" s="15"/>
      <c r="O7446" s="15"/>
      <c r="P7446" s="15"/>
      <c r="Q7446" s="39"/>
      <c r="R7446" s="35"/>
      <c r="S7446" s="36"/>
      <c r="T7446" s="36"/>
      <c r="U7446" s="36"/>
      <c r="V7446" s="37"/>
    </row>
    <row r="7447" spans="13:22" x14ac:dyDescent="0.2">
      <c r="M7447" s="40"/>
      <c r="N7447" s="15"/>
      <c r="O7447" s="15"/>
      <c r="P7447" s="15"/>
      <c r="Q7447" s="39"/>
      <c r="R7447" s="41"/>
      <c r="S7447" s="36"/>
      <c r="T7447" s="36"/>
      <c r="U7447" s="36"/>
      <c r="V7447" s="37"/>
    </row>
    <row r="7448" spans="13:22" x14ac:dyDescent="0.2">
      <c r="M7448" s="40"/>
      <c r="N7448" s="15"/>
      <c r="O7448" s="15"/>
      <c r="P7448" s="15"/>
      <c r="Q7448" s="39"/>
      <c r="R7448" s="41"/>
      <c r="S7448" s="36"/>
      <c r="T7448" s="36"/>
      <c r="U7448" s="36"/>
      <c r="V7448" s="37"/>
    </row>
    <row r="7449" spans="13:22" x14ac:dyDescent="0.2">
      <c r="M7449" s="40"/>
      <c r="N7449" s="15"/>
      <c r="O7449" s="15"/>
      <c r="P7449" s="15"/>
      <c r="Q7449" s="39"/>
      <c r="R7449" s="41"/>
      <c r="S7449" s="36"/>
      <c r="T7449" s="36"/>
      <c r="U7449" s="36"/>
      <c r="V7449" s="37"/>
    </row>
    <row r="7450" spans="13:22" x14ac:dyDescent="0.2">
      <c r="M7450" s="40"/>
      <c r="N7450" s="15"/>
      <c r="O7450" s="15"/>
      <c r="P7450" s="15"/>
      <c r="Q7450" s="39"/>
      <c r="R7450" s="41"/>
      <c r="S7450" s="36"/>
      <c r="T7450" s="36"/>
      <c r="U7450" s="36"/>
      <c r="V7450" s="37"/>
    </row>
    <row r="7451" spans="13:22" x14ac:dyDescent="0.2">
      <c r="M7451" s="40"/>
      <c r="N7451" s="15"/>
      <c r="O7451" s="15"/>
      <c r="P7451" s="15"/>
      <c r="Q7451" s="39"/>
      <c r="R7451" s="41"/>
      <c r="S7451" s="36"/>
      <c r="T7451" s="36"/>
      <c r="U7451" s="36"/>
      <c r="V7451" s="37"/>
    </row>
    <row r="7452" spans="13:22" x14ac:dyDescent="0.2">
      <c r="M7452" s="40"/>
      <c r="N7452" s="15"/>
      <c r="O7452" s="15"/>
      <c r="P7452" s="15"/>
      <c r="Q7452" s="39"/>
      <c r="R7452" s="41"/>
      <c r="S7452" s="36"/>
      <c r="T7452" s="36"/>
      <c r="U7452" s="36"/>
      <c r="V7452" s="37"/>
    </row>
    <row r="7453" spans="13:22" x14ac:dyDescent="0.2">
      <c r="M7453" s="40"/>
      <c r="N7453" s="15"/>
      <c r="O7453" s="15"/>
      <c r="P7453" s="15"/>
      <c r="Q7453" s="39"/>
      <c r="R7453" s="41"/>
      <c r="S7453" s="36"/>
      <c r="T7453" s="36"/>
      <c r="U7453" s="36"/>
      <c r="V7453" s="37"/>
    </row>
    <row r="7454" spans="13:22" x14ac:dyDescent="0.2">
      <c r="M7454" s="40"/>
      <c r="N7454" s="15"/>
      <c r="O7454" s="15"/>
      <c r="P7454" s="15"/>
      <c r="Q7454" s="39"/>
      <c r="R7454" s="41"/>
      <c r="S7454" s="36"/>
      <c r="T7454" s="36"/>
      <c r="U7454" s="36"/>
      <c r="V7454" s="37"/>
    </row>
    <row r="7455" spans="13:22" x14ac:dyDescent="0.2">
      <c r="M7455" s="40"/>
      <c r="N7455" s="15"/>
      <c r="O7455" s="15"/>
      <c r="P7455" s="15"/>
      <c r="Q7455" s="39"/>
      <c r="R7455" s="41"/>
      <c r="S7455" s="36"/>
      <c r="T7455" s="36"/>
      <c r="U7455" s="36"/>
      <c r="V7455" s="37"/>
    </row>
    <row r="7456" spans="13:22" ht="13.5" thickBot="1" x14ac:dyDescent="0.25">
      <c r="M7456" s="42"/>
      <c r="N7456" s="43"/>
      <c r="O7456" s="43"/>
      <c r="P7456" s="43"/>
      <c r="Q7456" s="44"/>
      <c r="R7456" s="41"/>
      <c r="S7456" s="46"/>
      <c r="T7456" s="46"/>
      <c r="U7456" s="46"/>
      <c r="V7456" s="47"/>
    </row>
    <row r="7457" spans="13:22" ht="13.5" thickBot="1" x14ac:dyDescent="0.25">
      <c r="M7457" s="48"/>
      <c r="N7457" s="49"/>
      <c r="O7457" s="49"/>
      <c r="P7457" s="49"/>
      <c r="Q7457" s="50"/>
      <c r="R7457" s="45"/>
      <c r="S7457" s="52"/>
      <c r="T7457" s="52"/>
      <c r="U7457" s="52"/>
      <c r="V7457" s="53"/>
    </row>
    <row r="7458" spans="13:22" x14ac:dyDescent="0.2">
      <c r="M7458" s="54"/>
      <c r="N7458" s="29"/>
      <c r="O7458" s="29"/>
      <c r="P7458" s="29"/>
      <c r="Q7458" s="34"/>
      <c r="R7458" s="51"/>
      <c r="S7458" s="36"/>
      <c r="T7458" s="36"/>
      <c r="U7458" s="36"/>
      <c r="V7458" s="37"/>
    </row>
    <row r="7459" spans="13:22" x14ac:dyDescent="0.2">
      <c r="M7459" s="33"/>
      <c r="N7459" s="29"/>
      <c r="O7459" s="29"/>
      <c r="P7459" s="29"/>
      <c r="Q7459" s="34"/>
      <c r="R7459" s="41"/>
      <c r="S7459" s="36"/>
      <c r="T7459" s="36"/>
      <c r="U7459" s="36"/>
      <c r="V7459" s="37"/>
    </row>
    <row r="7460" spans="13:22" x14ac:dyDescent="0.2">
      <c r="M7460" s="33"/>
      <c r="N7460" s="29"/>
      <c r="O7460" s="29"/>
      <c r="P7460" s="29"/>
      <c r="Q7460" s="34"/>
      <c r="R7460" s="35"/>
      <c r="S7460" s="36"/>
      <c r="T7460" s="36"/>
      <c r="U7460" s="36"/>
      <c r="V7460" s="37"/>
    </row>
    <row r="7461" spans="13:22" x14ac:dyDescent="0.2">
      <c r="M7461" s="33"/>
      <c r="N7461" s="29"/>
      <c r="O7461" s="29"/>
      <c r="P7461" s="29"/>
      <c r="Q7461" s="34"/>
      <c r="R7461" s="35"/>
      <c r="S7461" s="36"/>
      <c r="T7461" s="36"/>
      <c r="U7461" s="36"/>
      <c r="V7461" s="37"/>
    </row>
    <row r="7462" spans="13:22" x14ac:dyDescent="0.2">
      <c r="M7462" s="33"/>
      <c r="N7462" s="29"/>
      <c r="O7462" s="29"/>
      <c r="P7462" s="29"/>
      <c r="Q7462" s="34"/>
      <c r="R7462" s="35"/>
      <c r="S7462" s="36"/>
      <c r="T7462" s="36"/>
      <c r="U7462" s="36"/>
      <c r="V7462" s="37"/>
    </row>
    <row r="7463" spans="13:22" x14ac:dyDescent="0.2">
      <c r="M7463" s="33"/>
      <c r="N7463" s="29"/>
      <c r="O7463" s="29"/>
      <c r="P7463" s="29"/>
      <c r="Q7463" s="34"/>
      <c r="R7463" s="35"/>
      <c r="S7463" s="36"/>
      <c r="T7463" s="36"/>
      <c r="U7463" s="36"/>
      <c r="V7463" s="37"/>
    </row>
    <row r="7464" spans="13:22" x14ac:dyDescent="0.2">
      <c r="M7464" s="33"/>
      <c r="N7464" s="29"/>
      <c r="O7464" s="29"/>
      <c r="P7464" s="29"/>
      <c r="Q7464" s="38"/>
      <c r="R7464" s="35"/>
      <c r="S7464" s="36"/>
      <c r="T7464" s="36"/>
      <c r="U7464" s="36"/>
      <c r="V7464" s="37"/>
    </row>
    <row r="7465" spans="13:22" x14ac:dyDescent="0.2">
      <c r="M7465" s="33"/>
      <c r="N7465" s="29"/>
      <c r="O7465" s="29"/>
      <c r="P7465" s="29"/>
      <c r="Q7465" s="34"/>
      <c r="R7465" s="35"/>
      <c r="S7465" s="36"/>
      <c r="T7465" s="36"/>
      <c r="U7465" s="36"/>
      <c r="V7465" s="37"/>
    </row>
    <row r="7466" spans="13:22" x14ac:dyDescent="0.2">
      <c r="M7466" s="33"/>
      <c r="N7466" s="29"/>
      <c r="O7466" s="29"/>
      <c r="P7466" s="29"/>
      <c r="Q7466" s="34"/>
      <c r="R7466" s="35"/>
      <c r="S7466" s="36"/>
      <c r="T7466" s="36"/>
      <c r="U7466" s="36"/>
      <c r="V7466" s="37"/>
    </row>
    <row r="7467" spans="13:22" x14ac:dyDescent="0.2">
      <c r="M7467" s="33"/>
      <c r="N7467" s="29"/>
      <c r="O7467" s="29"/>
      <c r="P7467" s="29"/>
      <c r="Q7467" s="34"/>
      <c r="R7467" s="35"/>
      <c r="S7467" s="36"/>
      <c r="T7467" s="36"/>
      <c r="U7467" s="36"/>
      <c r="V7467" s="37"/>
    </row>
    <row r="7468" spans="13:22" x14ac:dyDescent="0.2">
      <c r="M7468" s="33"/>
      <c r="N7468" s="29"/>
      <c r="O7468" s="29"/>
      <c r="P7468" s="29"/>
      <c r="Q7468" s="34"/>
      <c r="R7468" s="35"/>
      <c r="S7468" s="36"/>
      <c r="T7468" s="36"/>
      <c r="U7468" s="36"/>
      <c r="V7468" s="37"/>
    </row>
    <row r="7469" spans="13:22" x14ac:dyDescent="0.2">
      <c r="M7469" s="26"/>
      <c r="N7469" s="15"/>
      <c r="O7469" s="15"/>
      <c r="P7469" s="15"/>
      <c r="Q7469" s="39"/>
      <c r="R7469" s="35"/>
      <c r="S7469" s="36"/>
      <c r="T7469" s="36"/>
      <c r="U7469" s="36"/>
      <c r="V7469" s="37"/>
    </row>
    <row r="7470" spans="13:22" x14ac:dyDescent="0.2">
      <c r="M7470" s="26"/>
      <c r="N7470" s="15"/>
      <c r="O7470" s="15"/>
      <c r="P7470" s="15"/>
      <c r="Q7470" s="39"/>
      <c r="R7470" s="35"/>
      <c r="S7470" s="36"/>
      <c r="T7470" s="36"/>
      <c r="U7470" s="36"/>
      <c r="V7470" s="37"/>
    </row>
    <row r="7471" spans="13:22" x14ac:dyDescent="0.2">
      <c r="M7471" s="40"/>
      <c r="N7471" s="15"/>
      <c r="O7471" s="15"/>
      <c r="P7471" s="15"/>
      <c r="Q7471" s="39"/>
      <c r="R7471" s="35"/>
      <c r="S7471" s="36"/>
      <c r="T7471" s="36"/>
      <c r="U7471" s="36"/>
      <c r="V7471" s="37"/>
    </row>
    <row r="7472" spans="13:22" x14ac:dyDescent="0.2">
      <c r="M7472" s="40"/>
      <c r="N7472" s="15"/>
      <c r="O7472" s="15"/>
      <c r="P7472" s="15"/>
      <c r="Q7472" s="39"/>
      <c r="R7472" s="41"/>
      <c r="S7472" s="36"/>
      <c r="T7472" s="36"/>
      <c r="U7472" s="36"/>
      <c r="V7472" s="37"/>
    </row>
    <row r="7473" spans="13:22" x14ac:dyDescent="0.2">
      <c r="M7473" s="40"/>
      <c r="N7473" s="15"/>
      <c r="O7473" s="15"/>
      <c r="P7473" s="15"/>
      <c r="Q7473" s="39"/>
      <c r="R7473" s="41"/>
      <c r="S7473" s="36"/>
      <c r="T7473" s="36"/>
      <c r="U7473" s="36"/>
      <c r="V7473" s="37"/>
    </row>
    <row r="7474" spans="13:22" x14ac:dyDescent="0.2">
      <c r="M7474" s="40"/>
      <c r="N7474" s="15"/>
      <c r="O7474" s="15"/>
      <c r="P7474" s="15"/>
      <c r="Q7474" s="39"/>
      <c r="R7474" s="41"/>
      <c r="S7474" s="36"/>
      <c r="T7474" s="36"/>
      <c r="U7474" s="36"/>
      <c r="V7474" s="37"/>
    </row>
    <row r="7475" spans="13:22" x14ac:dyDescent="0.2">
      <c r="M7475" s="40"/>
      <c r="N7475" s="15"/>
      <c r="O7475" s="15"/>
      <c r="P7475" s="15"/>
      <c r="Q7475" s="39"/>
      <c r="R7475" s="41"/>
      <c r="S7475" s="36"/>
      <c r="T7475" s="36"/>
      <c r="U7475" s="36"/>
      <c r="V7475" s="37"/>
    </row>
    <row r="7476" spans="13:22" x14ac:dyDescent="0.2">
      <c r="M7476" s="40"/>
      <c r="N7476" s="15"/>
      <c r="O7476" s="15"/>
      <c r="P7476" s="15"/>
      <c r="Q7476" s="39"/>
      <c r="R7476" s="41"/>
      <c r="S7476" s="36"/>
      <c r="T7476" s="36"/>
      <c r="U7476" s="36"/>
      <c r="V7476" s="37"/>
    </row>
    <row r="7477" spans="13:22" x14ac:dyDescent="0.2">
      <c r="M7477" s="40"/>
      <c r="N7477" s="15"/>
      <c r="O7477" s="15"/>
      <c r="P7477" s="15"/>
      <c r="Q7477" s="39"/>
      <c r="R7477" s="41"/>
      <c r="S7477" s="36"/>
      <c r="T7477" s="36"/>
      <c r="U7477" s="36"/>
      <c r="V7477" s="37"/>
    </row>
    <row r="7478" spans="13:22" x14ac:dyDescent="0.2">
      <c r="M7478" s="40"/>
      <c r="N7478" s="15"/>
      <c r="O7478" s="15"/>
      <c r="P7478" s="15"/>
      <c r="Q7478" s="39"/>
      <c r="R7478" s="41"/>
      <c r="S7478" s="36"/>
      <c r="T7478" s="36"/>
      <c r="U7478" s="36"/>
      <c r="V7478" s="37"/>
    </row>
    <row r="7479" spans="13:22" x14ac:dyDescent="0.2">
      <c r="M7479" s="40"/>
      <c r="N7479" s="15"/>
      <c r="O7479" s="15"/>
      <c r="P7479" s="15"/>
      <c r="Q7479" s="39"/>
      <c r="R7479" s="41"/>
      <c r="S7479" s="36"/>
      <c r="T7479" s="36"/>
      <c r="U7479" s="36"/>
      <c r="V7479" s="37"/>
    </row>
    <row r="7480" spans="13:22" x14ac:dyDescent="0.2">
      <c r="M7480" s="40"/>
      <c r="N7480" s="15"/>
      <c r="O7480" s="15"/>
      <c r="P7480" s="15"/>
      <c r="Q7480" s="39"/>
      <c r="R7480" s="41"/>
      <c r="S7480" s="36"/>
      <c r="T7480" s="36"/>
      <c r="U7480" s="36"/>
      <c r="V7480" s="37"/>
    </row>
    <row r="7481" spans="13:22" ht="13.5" thickBot="1" x14ac:dyDescent="0.25">
      <c r="M7481" s="42"/>
      <c r="N7481" s="43"/>
      <c r="O7481" s="43"/>
      <c r="P7481" s="43"/>
      <c r="Q7481" s="44"/>
      <c r="R7481" s="41"/>
      <c r="S7481" s="46"/>
      <c r="T7481" s="46"/>
      <c r="U7481" s="46"/>
      <c r="V7481" s="47"/>
    </row>
    <row r="7482" spans="13:22" ht="13.5" thickBot="1" x14ac:dyDescent="0.25">
      <c r="M7482" s="48"/>
      <c r="N7482" s="49"/>
      <c r="O7482" s="49"/>
      <c r="P7482" s="49"/>
      <c r="Q7482" s="50"/>
      <c r="R7482" s="45"/>
      <c r="S7482" s="52"/>
      <c r="T7482" s="52"/>
      <c r="U7482" s="52"/>
      <c r="V7482" s="53"/>
    </row>
    <row r="7483" spans="13:22" x14ac:dyDescent="0.2">
      <c r="M7483" s="54"/>
      <c r="N7483" s="29"/>
      <c r="O7483" s="29"/>
      <c r="P7483" s="29"/>
      <c r="Q7483" s="34"/>
      <c r="R7483" s="51"/>
      <c r="S7483" s="36"/>
      <c r="T7483" s="36"/>
      <c r="U7483" s="36"/>
      <c r="V7483" s="37"/>
    </row>
    <row r="7484" spans="13:22" x14ac:dyDescent="0.2">
      <c r="M7484" s="33"/>
      <c r="N7484" s="29"/>
      <c r="O7484" s="29"/>
      <c r="P7484" s="29"/>
      <c r="Q7484" s="34"/>
      <c r="R7484" s="41"/>
      <c r="S7484" s="36"/>
      <c r="T7484" s="36"/>
      <c r="U7484" s="36"/>
      <c r="V7484" s="37"/>
    </row>
    <row r="7485" spans="13:22" x14ac:dyDescent="0.2">
      <c r="M7485" s="33"/>
      <c r="N7485" s="29"/>
      <c r="O7485" s="29"/>
      <c r="P7485" s="29"/>
      <c r="Q7485" s="34"/>
      <c r="R7485" s="35"/>
      <c r="S7485" s="36"/>
      <c r="T7485" s="36"/>
      <c r="U7485" s="36"/>
      <c r="V7485" s="37"/>
    </row>
    <row r="7486" spans="13:22" x14ac:dyDescent="0.2">
      <c r="M7486" s="33"/>
      <c r="N7486" s="29"/>
      <c r="O7486" s="29"/>
      <c r="P7486" s="29"/>
      <c r="Q7486" s="34"/>
      <c r="R7486" s="35"/>
      <c r="S7486" s="36"/>
      <c r="T7486" s="36"/>
      <c r="U7486" s="36"/>
      <c r="V7486" s="37"/>
    </row>
    <row r="7487" spans="13:22" x14ac:dyDescent="0.2">
      <c r="M7487" s="33"/>
      <c r="N7487" s="29"/>
      <c r="O7487" s="29"/>
      <c r="P7487" s="29"/>
      <c r="Q7487" s="34"/>
      <c r="R7487" s="35"/>
      <c r="S7487" s="36"/>
      <c r="T7487" s="36"/>
      <c r="U7487" s="36"/>
      <c r="V7487" s="37"/>
    </row>
    <row r="7488" spans="13:22" x14ac:dyDescent="0.2">
      <c r="M7488" s="33"/>
      <c r="N7488" s="29"/>
      <c r="O7488" s="29"/>
      <c r="P7488" s="29"/>
      <c r="Q7488" s="34"/>
      <c r="R7488" s="35"/>
      <c r="S7488" s="36"/>
      <c r="T7488" s="36"/>
      <c r="U7488" s="36"/>
      <c r="V7488" s="37"/>
    </row>
    <row r="7489" spans="13:22" x14ac:dyDescent="0.2">
      <c r="M7489" s="33"/>
      <c r="N7489" s="29"/>
      <c r="O7489" s="29"/>
      <c r="P7489" s="29"/>
      <c r="Q7489" s="38"/>
      <c r="R7489" s="35"/>
      <c r="S7489" s="36"/>
      <c r="T7489" s="36"/>
      <c r="U7489" s="36"/>
      <c r="V7489" s="37"/>
    </row>
    <row r="7490" spans="13:22" x14ac:dyDescent="0.2">
      <c r="M7490" s="33"/>
      <c r="N7490" s="29"/>
      <c r="O7490" s="29"/>
      <c r="P7490" s="29"/>
      <c r="Q7490" s="34"/>
      <c r="R7490" s="35"/>
      <c r="S7490" s="36"/>
      <c r="T7490" s="36"/>
      <c r="U7490" s="36"/>
      <c r="V7490" s="37"/>
    </row>
    <row r="7491" spans="13:22" x14ac:dyDescent="0.2">
      <c r="M7491" s="33"/>
      <c r="N7491" s="29"/>
      <c r="O7491" s="29"/>
      <c r="P7491" s="29"/>
      <c r="Q7491" s="34"/>
      <c r="R7491" s="35"/>
      <c r="S7491" s="36"/>
      <c r="T7491" s="36"/>
      <c r="U7491" s="36"/>
      <c r="V7491" s="37"/>
    </row>
    <row r="7492" spans="13:22" x14ac:dyDescent="0.2">
      <c r="M7492" s="33"/>
      <c r="N7492" s="29"/>
      <c r="O7492" s="29"/>
      <c r="P7492" s="29"/>
      <c r="Q7492" s="34"/>
      <c r="R7492" s="35"/>
      <c r="S7492" s="36"/>
      <c r="T7492" s="36"/>
      <c r="U7492" s="36"/>
      <c r="V7492" s="37"/>
    </row>
    <row r="7493" spans="13:22" x14ac:dyDescent="0.2">
      <c r="M7493" s="33"/>
      <c r="N7493" s="29"/>
      <c r="O7493" s="29"/>
      <c r="P7493" s="29"/>
      <c r="Q7493" s="34"/>
      <c r="R7493" s="35"/>
      <c r="S7493" s="36"/>
      <c r="T7493" s="36"/>
      <c r="U7493" s="36"/>
      <c r="V7493" s="37"/>
    </row>
    <row r="7494" spans="13:22" x14ac:dyDescent="0.2">
      <c r="M7494" s="26"/>
      <c r="N7494" s="15"/>
      <c r="O7494" s="15"/>
      <c r="P7494" s="15"/>
      <c r="Q7494" s="39"/>
      <c r="R7494" s="35"/>
      <c r="S7494" s="36"/>
      <c r="T7494" s="36"/>
      <c r="U7494" s="36"/>
      <c r="V7494" s="37"/>
    </row>
    <row r="7495" spans="13:22" x14ac:dyDescent="0.2">
      <c r="M7495" s="26"/>
      <c r="N7495" s="15"/>
      <c r="O7495" s="15"/>
      <c r="P7495" s="15"/>
      <c r="Q7495" s="39"/>
      <c r="R7495" s="35"/>
      <c r="S7495" s="36"/>
      <c r="T7495" s="36"/>
      <c r="U7495" s="36"/>
      <c r="V7495" s="37"/>
    </row>
    <row r="7496" spans="13:22" x14ac:dyDescent="0.2">
      <c r="M7496" s="40"/>
      <c r="N7496" s="15"/>
      <c r="O7496" s="15"/>
      <c r="P7496" s="15"/>
      <c r="Q7496" s="39"/>
      <c r="R7496" s="35"/>
      <c r="S7496" s="36"/>
      <c r="T7496" s="36"/>
      <c r="U7496" s="36"/>
      <c r="V7496" s="37"/>
    </row>
    <row r="7497" spans="13:22" x14ac:dyDescent="0.2">
      <c r="M7497" s="40"/>
      <c r="N7497" s="15"/>
      <c r="O7497" s="15"/>
      <c r="P7497" s="15"/>
      <c r="Q7497" s="39"/>
      <c r="R7497" s="41"/>
      <c r="S7497" s="36"/>
      <c r="T7497" s="36"/>
      <c r="U7497" s="36"/>
      <c r="V7497" s="37"/>
    </row>
    <row r="7498" spans="13:22" x14ac:dyDescent="0.2">
      <c r="M7498" s="40"/>
      <c r="N7498" s="15"/>
      <c r="O7498" s="15"/>
      <c r="P7498" s="15"/>
      <c r="Q7498" s="39"/>
      <c r="R7498" s="41"/>
      <c r="S7498" s="36"/>
      <c r="T7498" s="36"/>
      <c r="U7498" s="36"/>
      <c r="V7498" s="37"/>
    </row>
    <row r="7499" spans="13:22" x14ac:dyDescent="0.2">
      <c r="M7499" s="40"/>
      <c r="N7499" s="15"/>
      <c r="O7499" s="15"/>
      <c r="P7499" s="15"/>
      <c r="Q7499" s="39"/>
      <c r="R7499" s="41"/>
      <c r="S7499" s="36"/>
      <c r="T7499" s="36"/>
      <c r="U7499" s="36"/>
      <c r="V7499" s="37"/>
    </row>
    <row r="7500" spans="13:22" x14ac:dyDescent="0.2">
      <c r="M7500" s="40"/>
      <c r="N7500" s="15"/>
      <c r="O7500" s="15"/>
      <c r="P7500" s="15"/>
      <c r="Q7500" s="39"/>
      <c r="R7500" s="41"/>
      <c r="S7500" s="36"/>
      <c r="T7500" s="36"/>
      <c r="U7500" s="36"/>
      <c r="V7500" s="37"/>
    </row>
    <row r="7501" spans="13:22" x14ac:dyDescent="0.2">
      <c r="M7501" s="40"/>
      <c r="N7501" s="15"/>
      <c r="O7501" s="15"/>
      <c r="P7501" s="15"/>
      <c r="Q7501" s="39"/>
      <c r="R7501" s="41"/>
      <c r="S7501" s="36"/>
      <c r="T7501" s="36"/>
      <c r="U7501" s="36"/>
      <c r="V7501" s="37"/>
    </row>
    <row r="7502" spans="13:22" x14ac:dyDescent="0.2">
      <c r="M7502" s="40"/>
      <c r="N7502" s="15"/>
      <c r="O7502" s="15"/>
      <c r="P7502" s="15"/>
      <c r="Q7502" s="39"/>
      <c r="R7502" s="41"/>
      <c r="S7502" s="36"/>
      <c r="T7502" s="36"/>
      <c r="U7502" s="36"/>
      <c r="V7502" s="37"/>
    </row>
    <row r="7503" spans="13:22" x14ac:dyDescent="0.2">
      <c r="M7503" s="40"/>
      <c r="N7503" s="15"/>
      <c r="O7503" s="15"/>
      <c r="P7503" s="15"/>
      <c r="Q7503" s="39"/>
      <c r="R7503" s="41"/>
      <c r="S7503" s="36"/>
      <c r="T7503" s="36"/>
      <c r="U7503" s="36"/>
      <c r="V7503" s="37"/>
    </row>
    <row r="7504" spans="13:22" x14ac:dyDescent="0.2">
      <c r="M7504" s="40"/>
      <c r="N7504" s="15"/>
      <c r="O7504" s="15"/>
      <c r="P7504" s="15"/>
      <c r="Q7504" s="39"/>
      <c r="R7504" s="41"/>
      <c r="S7504" s="36"/>
      <c r="T7504" s="36"/>
      <c r="U7504" s="36"/>
      <c r="V7504" s="37"/>
    </row>
    <row r="7505" spans="13:22" x14ac:dyDescent="0.2">
      <c r="M7505" s="40"/>
      <c r="N7505" s="15"/>
      <c r="O7505" s="15"/>
      <c r="P7505" s="15"/>
      <c r="Q7505" s="39"/>
      <c r="R7505" s="41"/>
      <c r="S7505" s="36"/>
      <c r="T7505" s="36"/>
      <c r="U7505" s="36"/>
      <c r="V7505" s="37"/>
    </row>
    <row r="7506" spans="13:22" ht="13.5" thickBot="1" x14ac:dyDescent="0.25">
      <c r="M7506" s="42"/>
      <c r="N7506" s="43"/>
      <c r="O7506" s="43"/>
      <c r="P7506" s="43"/>
      <c r="Q7506" s="44"/>
      <c r="R7506" s="41"/>
      <c r="S7506" s="46"/>
      <c r="T7506" s="46"/>
      <c r="U7506" s="46"/>
      <c r="V7506" s="47"/>
    </row>
    <row r="7507" spans="13:22" ht="13.5" thickBot="1" x14ac:dyDescent="0.25">
      <c r="M7507" s="48"/>
      <c r="N7507" s="49"/>
      <c r="O7507" s="49"/>
      <c r="P7507" s="49"/>
      <c r="Q7507" s="50"/>
      <c r="R7507" s="45"/>
      <c r="S7507" s="52"/>
      <c r="T7507" s="52"/>
      <c r="U7507" s="52"/>
      <c r="V7507" s="53"/>
    </row>
    <row r="7508" spans="13:22" x14ac:dyDescent="0.2">
      <c r="M7508" s="54"/>
      <c r="N7508" s="29"/>
      <c r="O7508" s="29"/>
      <c r="P7508" s="29"/>
      <c r="Q7508" s="34"/>
      <c r="R7508" s="51"/>
      <c r="S7508" s="36"/>
      <c r="T7508" s="36"/>
      <c r="U7508" s="36"/>
      <c r="V7508" s="37"/>
    </row>
    <row r="7509" spans="13:22" x14ac:dyDescent="0.2">
      <c r="M7509" s="33"/>
      <c r="N7509" s="29"/>
      <c r="O7509" s="29"/>
      <c r="P7509" s="29"/>
      <c r="Q7509" s="34"/>
      <c r="R7509" s="41"/>
      <c r="S7509" s="36"/>
      <c r="T7509" s="36"/>
      <c r="U7509" s="36"/>
      <c r="V7509" s="37"/>
    </row>
    <row r="7510" spans="13:22" x14ac:dyDescent="0.2">
      <c r="M7510" s="33"/>
      <c r="N7510" s="29"/>
      <c r="O7510" s="29"/>
      <c r="P7510" s="29"/>
      <c r="Q7510" s="34"/>
      <c r="R7510" s="35"/>
      <c r="S7510" s="36"/>
      <c r="T7510" s="36"/>
      <c r="U7510" s="36"/>
      <c r="V7510" s="37"/>
    </row>
    <row r="7511" spans="13:22" x14ac:dyDescent="0.2">
      <c r="M7511" s="33"/>
      <c r="N7511" s="29"/>
      <c r="O7511" s="29"/>
      <c r="P7511" s="29"/>
      <c r="Q7511" s="34"/>
      <c r="R7511" s="35"/>
      <c r="S7511" s="36"/>
      <c r="T7511" s="36"/>
      <c r="U7511" s="36"/>
      <c r="V7511" s="37"/>
    </row>
    <row r="7512" spans="13:22" x14ac:dyDescent="0.2">
      <c r="M7512" s="33"/>
      <c r="N7512" s="29"/>
      <c r="O7512" s="29"/>
      <c r="P7512" s="29"/>
      <c r="Q7512" s="34"/>
      <c r="R7512" s="35"/>
      <c r="S7512" s="36"/>
      <c r="T7512" s="36"/>
      <c r="U7512" s="36"/>
      <c r="V7512" s="37"/>
    </row>
    <row r="7513" spans="13:22" x14ac:dyDescent="0.2">
      <c r="M7513" s="33"/>
      <c r="N7513" s="29"/>
      <c r="O7513" s="29"/>
      <c r="P7513" s="29"/>
      <c r="Q7513" s="34"/>
      <c r="R7513" s="35"/>
      <c r="S7513" s="36"/>
      <c r="T7513" s="36"/>
      <c r="U7513" s="36"/>
      <c r="V7513" s="37"/>
    </row>
    <row r="7514" spans="13:22" x14ac:dyDescent="0.2">
      <c r="M7514" s="33"/>
      <c r="N7514" s="29"/>
      <c r="O7514" s="29"/>
      <c r="P7514" s="29"/>
      <c r="Q7514" s="38"/>
      <c r="R7514" s="35"/>
      <c r="S7514" s="36"/>
      <c r="T7514" s="36"/>
      <c r="U7514" s="36"/>
      <c r="V7514" s="37"/>
    </row>
    <row r="7515" spans="13:22" x14ac:dyDescent="0.2">
      <c r="M7515" s="33"/>
      <c r="N7515" s="29"/>
      <c r="O7515" s="29"/>
      <c r="P7515" s="29"/>
      <c r="Q7515" s="34"/>
      <c r="R7515" s="35"/>
      <c r="S7515" s="36"/>
      <c r="T7515" s="36"/>
      <c r="U7515" s="36"/>
      <c r="V7515" s="37"/>
    </row>
    <row r="7516" spans="13:22" x14ac:dyDescent="0.2">
      <c r="M7516" s="33"/>
      <c r="N7516" s="29"/>
      <c r="O7516" s="29"/>
      <c r="P7516" s="29"/>
      <c r="Q7516" s="34"/>
      <c r="R7516" s="35"/>
      <c r="S7516" s="36"/>
      <c r="T7516" s="36"/>
      <c r="U7516" s="36"/>
      <c r="V7516" s="37"/>
    </row>
    <row r="7517" spans="13:22" x14ac:dyDescent="0.2">
      <c r="M7517" s="33"/>
      <c r="N7517" s="29"/>
      <c r="O7517" s="29"/>
      <c r="P7517" s="29"/>
      <c r="Q7517" s="34"/>
      <c r="R7517" s="35"/>
      <c r="S7517" s="36"/>
      <c r="T7517" s="36"/>
      <c r="U7517" s="36"/>
      <c r="V7517" s="37"/>
    </row>
    <row r="7518" spans="13:22" x14ac:dyDescent="0.2">
      <c r="M7518" s="33"/>
      <c r="N7518" s="29"/>
      <c r="O7518" s="29"/>
      <c r="P7518" s="29"/>
      <c r="Q7518" s="34"/>
      <c r="R7518" s="35"/>
      <c r="S7518" s="36"/>
      <c r="T7518" s="36"/>
      <c r="U7518" s="36"/>
      <c r="V7518" s="37"/>
    </row>
    <row r="7519" spans="13:22" x14ac:dyDescent="0.2">
      <c r="M7519" s="26"/>
      <c r="N7519" s="15"/>
      <c r="O7519" s="15"/>
      <c r="P7519" s="15"/>
      <c r="Q7519" s="39"/>
      <c r="R7519" s="35"/>
      <c r="S7519" s="36"/>
      <c r="T7519" s="36"/>
      <c r="U7519" s="36"/>
      <c r="V7519" s="37"/>
    </row>
    <row r="7520" spans="13:22" x14ac:dyDescent="0.2">
      <c r="M7520" s="26"/>
      <c r="N7520" s="15"/>
      <c r="O7520" s="15"/>
      <c r="P7520" s="15"/>
      <c r="Q7520" s="39"/>
      <c r="R7520" s="35"/>
      <c r="S7520" s="36"/>
      <c r="T7520" s="36"/>
      <c r="U7520" s="36"/>
      <c r="V7520" s="37"/>
    </row>
    <row r="7521" spans="13:22" x14ac:dyDescent="0.2">
      <c r="M7521" s="40"/>
      <c r="N7521" s="15"/>
      <c r="O7521" s="15"/>
      <c r="P7521" s="15"/>
      <c r="Q7521" s="39"/>
      <c r="R7521" s="35"/>
      <c r="S7521" s="36"/>
      <c r="T7521" s="36"/>
      <c r="U7521" s="36"/>
      <c r="V7521" s="37"/>
    </row>
    <row r="7522" spans="13:22" x14ac:dyDescent="0.2">
      <c r="M7522" s="40"/>
      <c r="N7522" s="15"/>
      <c r="O7522" s="15"/>
      <c r="P7522" s="15"/>
      <c r="Q7522" s="39"/>
      <c r="R7522" s="41"/>
      <c r="S7522" s="36"/>
      <c r="T7522" s="36"/>
      <c r="U7522" s="36"/>
      <c r="V7522" s="37"/>
    </row>
    <row r="7523" spans="13:22" x14ac:dyDescent="0.2">
      <c r="M7523" s="40"/>
      <c r="N7523" s="15"/>
      <c r="O7523" s="15"/>
      <c r="P7523" s="15"/>
      <c r="Q7523" s="39"/>
      <c r="R7523" s="41"/>
      <c r="S7523" s="36"/>
      <c r="T7523" s="36"/>
      <c r="U7523" s="36"/>
      <c r="V7523" s="37"/>
    </row>
    <row r="7524" spans="13:22" x14ac:dyDescent="0.2">
      <c r="M7524" s="40"/>
      <c r="N7524" s="15"/>
      <c r="O7524" s="15"/>
      <c r="P7524" s="15"/>
      <c r="Q7524" s="39"/>
      <c r="R7524" s="41"/>
      <c r="S7524" s="36"/>
      <c r="T7524" s="36"/>
      <c r="U7524" s="36"/>
      <c r="V7524" s="37"/>
    </row>
    <row r="7525" spans="13:22" x14ac:dyDescent="0.2">
      <c r="M7525" s="40"/>
      <c r="N7525" s="15"/>
      <c r="O7525" s="15"/>
      <c r="P7525" s="15"/>
      <c r="Q7525" s="39"/>
      <c r="R7525" s="41"/>
      <c r="S7525" s="36"/>
      <c r="T7525" s="36"/>
      <c r="U7525" s="36"/>
      <c r="V7525" s="37"/>
    </row>
    <row r="7526" spans="13:22" x14ac:dyDescent="0.2">
      <c r="M7526" s="40"/>
      <c r="N7526" s="15"/>
      <c r="O7526" s="15"/>
      <c r="P7526" s="15"/>
      <c r="Q7526" s="39"/>
      <c r="R7526" s="41"/>
      <c r="S7526" s="36"/>
      <c r="T7526" s="36"/>
      <c r="U7526" s="36"/>
      <c r="V7526" s="37"/>
    </row>
    <row r="7527" spans="13:22" x14ac:dyDescent="0.2">
      <c r="M7527" s="40"/>
      <c r="N7527" s="15"/>
      <c r="O7527" s="15"/>
      <c r="P7527" s="15"/>
      <c r="Q7527" s="39"/>
      <c r="R7527" s="41"/>
      <c r="S7527" s="36"/>
      <c r="T7527" s="36"/>
      <c r="U7527" s="36"/>
      <c r="V7527" s="37"/>
    </row>
    <row r="7528" spans="13:22" x14ac:dyDescent="0.2">
      <c r="M7528" s="40"/>
      <c r="N7528" s="15"/>
      <c r="O7528" s="15"/>
      <c r="P7528" s="15"/>
      <c r="Q7528" s="39"/>
      <c r="R7528" s="41"/>
      <c r="S7528" s="36"/>
      <c r="T7528" s="36"/>
      <c r="U7528" s="36"/>
      <c r="V7528" s="37"/>
    </row>
    <row r="7529" spans="13:22" x14ac:dyDescent="0.2">
      <c r="M7529" s="40"/>
      <c r="N7529" s="15"/>
      <c r="O7529" s="15"/>
      <c r="P7529" s="15"/>
      <c r="Q7529" s="39"/>
      <c r="R7529" s="41"/>
      <c r="S7529" s="36"/>
      <c r="T7529" s="36"/>
      <c r="U7529" s="36"/>
      <c r="V7529" s="37"/>
    </row>
    <row r="7530" spans="13:22" x14ac:dyDescent="0.2">
      <c r="M7530" s="40"/>
      <c r="N7530" s="15"/>
      <c r="O7530" s="15"/>
      <c r="P7530" s="15"/>
      <c r="Q7530" s="39"/>
      <c r="R7530" s="41"/>
      <c r="S7530" s="36"/>
      <c r="T7530" s="36"/>
      <c r="U7530" s="36"/>
      <c r="V7530" s="37"/>
    </row>
    <row r="7531" spans="13:22" ht="13.5" thickBot="1" x14ac:dyDescent="0.25">
      <c r="M7531" s="42"/>
      <c r="N7531" s="43"/>
      <c r="O7531" s="43"/>
      <c r="P7531" s="43"/>
      <c r="Q7531" s="44"/>
      <c r="R7531" s="41"/>
      <c r="S7531" s="46"/>
      <c r="T7531" s="46"/>
      <c r="U7531" s="46"/>
      <c r="V7531" s="47"/>
    </row>
    <row r="7532" spans="13:22" ht="13.5" thickBot="1" x14ac:dyDescent="0.25">
      <c r="M7532" s="48"/>
      <c r="N7532" s="49"/>
      <c r="O7532" s="49"/>
      <c r="P7532" s="49"/>
      <c r="Q7532" s="50"/>
      <c r="R7532" s="45"/>
      <c r="S7532" s="52"/>
      <c r="T7532" s="52"/>
      <c r="U7532" s="52"/>
      <c r="V7532" s="53"/>
    </row>
    <row r="7533" spans="13:22" x14ac:dyDescent="0.2">
      <c r="M7533" s="54"/>
      <c r="N7533" s="29"/>
      <c r="O7533" s="29"/>
      <c r="P7533" s="29"/>
      <c r="Q7533" s="34"/>
      <c r="R7533" s="51"/>
      <c r="S7533" s="36"/>
      <c r="T7533" s="36"/>
      <c r="U7533" s="36"/>
      <c r="V7533" s="37"/>
    </row>
    <row r="7534" spans="13:22" x14ac:dyDescent="0.2">
      <c r="M7534" s="33"/>
      <c r="N7534" s="29"/>
      <c r="O7534" s="29"/>
      <c r="P7534" s="29"/>
      <c r="Q7534" s="34"/>
      <c r="R7534" s="41"/>
      <c r="S7534" s="36"/>
      <c r="T7534" s="36"/>
      <c r="U7534" s="36"/>
      <c r="V7534" s="37"/>
    </row>
    <row r="7535" spans="13:22" x14ac:dyDescent="0.2">
      <c r="M7535" s="33"/>
      <c r="N7535" s="29"/>
      <c r="O7535" s="29"/>
      <c r="P7535" s="29"/>
      <c r="Q7535" s="34"/>
      <c r="R7535" s="35"/>
      <c r="S7535" s="36"/>
      <c r="T7535" s="36"/>
      <c r="U7535" s="36"/>
      <c r="V7535" s="37"/>
    </row>
    <row r="7536" spans="13:22" x14ac:dyDescent="0.2">
      <c r="M7536" s="33"/>
      <c r="N7536" s="29"/>
      <c r="O7536" s="29"/>
      <c r="P7536" s="29"/>
      <c r="Q7536" s="34"/>
      <c r="R7536" s="35"/>
      <c r="S7536" s="36"/>
      <c r="T7536" s="36"/>
      <c r="U7536" s="36"/>
      <c r="V7536" s="37"/>
    </row>
    <row r="7537" spans="13:22" x14ac:dyDescent="0.2">
      <c r="M7537" s="33"/>
      <c r="N7537" s="29"/>
      <c r="O7537" s="29"/>
      <c r="P7537" s="29"/>
      <c r="Q7537" s="34"/>
      <c r="R7537" s="35"/>
      <c r="S7537" s="36"/>
      <c r="T7537" s="36"/>
      <c r="U7537" s="36"/>
      <c r="V7537" s="37"/>
    </row>
    <row r="7538" spans="13:22" x14ac:dyDescent="0.2">
      <c r="M7538" s="33"/>
      <c r="N7538" s="29"/>
      <c r="O7538" s="29"/>
      <c r="P7538" s="29"/>
      <c r="Q7538" s="34"/>
      <c r="R7538" s="35"/>
      <c r="S7538" s="36"/>
      <c r="T7538" s="36"/>
      <c r="U7538" s="36"/>
      <c r="V7538" s="37"/>
    </row>
    <row r="7539" spans="13:22" x14ac:dyDescent="0.2">
      <c r="M7539" s="33"/>
      <c r="N7539" s="29"/>
      <c r="O7539" s="29"/>
      <c r="P7539" s="29"/>
      <c r="Q7539" s="38"/>
      <c r="R7539" s="35"/>
      <c r="S7539" s="36"/>
      <c r="T7539" s="36"/>
      <c r="U7539" s="36"/>
      <c r="V7539" s="37"/>
    </row>
    <row r="7540" spans="13:22" x14ac:dyDescent="0.2">
      <c r="M7540" s="33"/>
      <c r="N7540" s="29"/>
      <c r="O7540" s="29"/>
      <c r="P7540" s="29"/>
      <c r="Q7540" s="34"/>
      <c r="R7540" s="35"/>
      <c r="S7540" s="36"/>
      <c r="T7540" s="36"/>
      <c r="U7540" s="36"/>
      <c r="V7540" s="37"/>
    </row>
    <row r="7541" spans="13:22" x14ac:dyDescent="0.2">
      <c r="M7541" s="33"/>
      <c r="N7541" s="29"/>
      <c r="O7541" s="29"/>
      <c r="P7541" s="29"/>
      <c r="Q7541" s="34"/>
      <c r="R7541" s="35"/>
      <c r="S7541" s="36"/>
      <c r="T7541" s="36"/>
      <c r="U7541" s="36"/>
      <c r="V7541" s="37"/>
    </row>
    <row r="7542" spans="13:22" x14ac:dyDescent="0.2">
      <c r="M7542" s="33"/>
      <c r="N7542" s="29"/>
      <c r="O7542" s="29"/>
      <c r="P7542" s="29"/>
      <c r="Q7542" s="34"/>
      <c r="R7542" s="35"/>
      <c r="S7542" s="36"/>
      <c r="T7542" s="36"/>
      <c r="U7542" s="36"/>
      <c r="V7542" s="37"/>
    </row>
    <row r="7543" spans="13:22" x14ac:dyDescent="0.2">
      <c r="M7543" s="33"/>
      <c r="N7543" s="29"/>
      <c r="O7543" s="29"/>
      <c r="P7543" s="29"/>
      <c r="Q7543" s="34"/>
      <c r="R7543" s="35"/>
      <c r="S7543" s="36"/>
      <c r="T7543" s="36"/>
      <c r="U7543" s="36"/>
      <c r="V7543" s="37"/>
    </row>
    <row r="7544" spans="13:22" x14ac:dyDescent="0.2">
      <c r="M7544" s="26"/>
      <c r="N7544" s="15"/>
      <c r="O7544" s="15"/>
      <c r="P7544" s="15"/>
      <c r="Q7544" s="39"/>
      <c r="R7544" s="35"/>
      <c r="S7544" s="36"/>
      <c r="T7544" s="36"/>
      <c r="U7544" s="36"/>
      <c r="V7544" s="37"/>
    </row>
    <row r="7545" spans="13:22" x14ac:dyDescent="0.2">
      <c r="M7545" s="26"/>
      <c r="N7545" s="15"/>
      <c r="O7545" s="15"/>
      <c r="P7545" s="15"/>
      <c r="Q7545" s="39"/>
      <c r="R7545" s="35"/>
      <c r="S7545" s="36"/>
      <c r="T7545" s="36"/>
      <c r="U7545" s="36"/>
      <c r="V7545" s="37"/>
    </row>
    <row r="7546" spans="13:22" x14ac:dyDescent="0.2">
      <c r="M7546" s="40"/>
      <c r="N7546" s="15"/>
      <c r="O7546" s="15"/>
      <c r="P7546" s="15"/>
      <c r="Q7546" s="39"/>
      <c r="R7546" s="35"/>
      <c r="S7546" s="36"/>
      <c r="T7546" s="36"/>
      <c r="U7546" s="36"/>
      <c r="V7546" s="37"/>
    </row>
    <row r="7547" spans="13:22" x14ac:dyDescent="0.2">
      <c r="M7547" s="40"/>
      <c r="N7547" s="15"/>
      <c r="O7547" s="15"/>
      <c r="P7547" s="15"/>
      <c r="Q7547" s="39"/>
      <c r="R7547" s="41"/>
      <c r="S7547" s="36"/>
      <c r="T7547" s="36"/>
      <c r="U7547" s="36"/>
      <c r="V7547" s="37"/>
    </row>
    <row r="7548" spans="13:22" x14ac:dyDescent="0.2">
      <c r="M7548" s="40"/>
      <c r="N7548" s="15"/>
      <c r="O7548" s="15"/>
      <c r="P7548" s="15"/>
      <c r="Q7548" s="39"/>
      <c r="R7548" s="41"/>
      <c r="S7548" s="36"/>
      <c r="T7548" s="36"/>
      <c r="U7548" s="36"/>
      <c r="V7548" s="37"/>
    </row>
    <row r="7549" spans="13:22" x14ac:dyDescent="0.2">
      <c r="M7549" s="40"/>
      <c r="N7549" s="15"/>
      <c r="O7549" s="15"/>
      <c r="P7549" s="15"/>
      <c r="Q7549" s="39"/>
      <c r="R7549" s="41"/>
      <c r="S7549" s="36"/>
      <c r="T7549" s="36"/>
      <c r="U7549" s="36"/>
      <c r="V7549" s="37"/>
    </row>
    <row r="7550" spans="13:22" x14ac:dyDescent="0.2">
      <c r="M7550" s="40"/>
      <c r="N7550" s="15"/>
      <c r="O7550" s="15"/>
      <c r="P7550" s="15"/>
      <c r="Q7550" s="39"/>
      <c r="R7550" s="41"/>
      <c r="S7550" s="36"/>
      <c r="T7550" s="36"/>
      <c r="U7550" s="36"/>
      <c r="V7550" s="37"/>
    </row>
    <row r="7551" spans="13:22" x14ac:dyDescent="0.2">
      <c r="M7551" s="40"/>
      <c r="N7551" s="15"/>
      <c r="O7551" s="15"/>
      <c r="P7551" s="15"/>
      <c r="Q7551" s="39"/>
      <c r="R7551" s="41"/>
      <c r="S7551" s="36"/>
      <c r="T7551" s="36"/>
      <c r="U7551" s="36"/>
      <c r="V7551" s="37"/>
    </row>
    <row r="7552" spans="13:22" x14ac:dyDescent="0.2">
      <c r="M7552" s="40"/>
      <c r="N7552" s="15"/>
      <c r="O7552" s="15"/>
      <c r="P7552" s="15"/>
      <c r="Q7552" s="39"/>
      <c r="R7552" s="41"/>
      <c r="S7552" s="36"/>
      <c r="T7552" s="36"/>
      <c r="U7552" s="36"/>
      <c r="V7552" s="37"/>
    </row>
    <row r="7553" spans="13:22" x14ac:dyDescent="0.2">
      <c r="M7553" s="40"/>
      <c r="N7553" s="15"/>
      <c r="O7553" s="15"/>
      <c r="P7553" s="15"/>
      <c r="Q7553" s="39"/>
      <c r="R7553" s="41"/>
      <c r="S7553" s="36"/>
      <c r="T7553" s="36"/>
      <c r="U7553" s="36"/>
      <c r="V7553" s="37"/>
    </row>
    <row r="7554" spans="13:22" x14ac:dyDescent="0.2">
      <c r="M7554" s="40"/>
      <c r="N7554" s="15"/>
      <c r="O7554" s="15"/>
      <c r="P7554" s="15"/>
      <c r="Q7554" s="39"/>
      <c r="R7554" s="41"/>
      <c r="S7554" s="36"/>
      <c r="T7554" s="36"/>
      <c r="U7554" s="36"/>
      <c r="V7554" s="37"/>
    </row>
    <row r="7555" spans="13:22" x14ac:dyDescent="0.2">
      <c r="M7555" s="40"/>
      <c r="N7555" s="15"/>
      <c r="O7555" s="15"/>
      <c r="P7555" s="15"/>
      <c r="Q7555" s="39"/>
      <c r="R7555" s="41"/>
      <c r="S7555" s="36"/>
      <c r="T7555" s="36"/>
      <c r="U7555" s="36"/>
      <c r="V7555" s="37"/>
    </row>
    <row r="7556" spans="13:22" ht="13.5" thickBot="1" x14ac:dyDescent="0.25">
      <c r="M7556" s="42"/>
      <c r="N7556" s="43"/>
      <c r="O7556" s="43"/>
      <c r="P7556" s="43"/>
      <c r="Q7556" s="44"/>
      <c r="R7556" s="41"/>
      <c r="S7556" s="46"/>
      <c r="T7556" s="46"/>
      <c r="U7556" s="46"/>
      <c r="V7556" s="47"/>
    </row>
    <row r="7557" spans="13:22" ht="13.5" thickBot="1" x14ac:dyDescent="0.25">
      <c r="M7557" s="48"/>
      <c r="N7557" s="49"/>
      <c r="O7557" s="49"/>
      <c r="P7557" s="49"/>
      <c r="Q7557" s="50"/>
      <c r="R7557" s="45"/>
      <c r="S7557" s="52"/>
      <c r="T7557" s="52"/>
      <c r="U7557" s="52"/>
      <c r="V7557" s="53"/>
    </row>
    <row r="7558" spans="13:22" x14ac:dyDescent="0.2">
      <c r="M7558" s="54"/>
      <c r="N7558" s="29"/>
      <c r="O7558" s="29"/>
      <c r="P7558" s="29"/>
      <c r="Q7558" s="34"/>
      <c r="R7558" s="51"/>
      <c r="S7558" s="36"/>
      <c r="T7558" s="36"/>
      <c r="U7558" s="36"/>
      <c r="V7558" s="37"/>
    </row>
    <row r="7559" spans="13:22" x14ac:dyDescent="0.2">
      <c r="M7559" s="33"/>
      <c r="N7559" s="29"/>
      <c r="O7559" s="29"/>
      <c r="P7559" s="29"/>
      <c r="Q7559" s="34"/>
      <c r="R7559" s="41"/>
      <c r="S7559" s="36"/>
      <c r="T7559" s="36"/>
      <c r="U7559" s="36"/>
      <c r="V7559" s="37"/>
    </row>
    <row r="7560" spans="13:22" x14ac:dyDescent="0.2">
      <c r="M7560" s="33"/>
      <c r="N7560" s="29"/>
      <c r="O7560" s="29"/>
      <c r="P7560" s="29"/>
      <c r="Q7560" s="34"/>
      <c r="R7560" s="35"/>
      <c r="S7560" s="36"/>
      <c r="T7560" s="36"/>
      <c r="U7560" s="36"/>
      <c r="V7560" s="37"/>
    </row>
    <row r="7561" spans="13:22" x14ac:dyDescent="0.2">
      <c r="M7561" s="33"/>
      <c r="N7561" s="29"/>
      <c r="O7561" s="29"/>
      <c r="P7561" s="29"/>
      <c r="Q7561" s="34"/>
      <c r="R7561" s="35"/>
      <c r="S7561" s="36"/>
      <c r="T7561" s="36"/>
      <c r="U7561" s="36"/>
      <c r="V7561" s="37"/>
    </row>
    <row r="7562" spans="13:22" x14ac:dyDescent="0.2">
      <c r="M7562" s="33"/>
      <c r="N7562" s="29"/>
      <c r="O7562" s="29"/>
      <c r="P7562" s="29"/>
      <c r="Q7562" s="34"/>
      <c r="R7562" s="35"/>
      <c r="S7562" s="36"/>
      <c r="T7562" s="36"/>
      <c r="U7562" s="36"/>
      <c r="V7562" s="37"/>
    </row>
    <row r="7563" spans="13:22" x14ac:dyDescent="0.2">
      <c r="M7563" s="33"/>
      <c r="N7563" s="29"/>
      <c r="O7563" s="29"/>
      <c r="P7563" s="29"/>
      <c r="Q7563" s="34"/>
      <c r="R7563" s="35"/>
      <c r="S7563" s="36"/>
      <c r="T7563" s="36"/>
      <c r="U7563" s="36"/>
      <c r="V7563" s="37"/>
    </row>
    <row r="7564" spans="13:22" x14ac:dyDescent="0.2">
      <c r="M7564" s="33"/>
      <c r="N7564" s="29"/>
      <c r="O7564" s="29"/>
      <c r="P7564" s="29"/>
      <c r="Q7564" s="38"/>
      <c r="R7564" s="35"/>
      <c r="S7564" s="36"/>
      <c r="T7564" s="36"/>
      <c r="U7564" s="36"/>
      <c r="V7564" s="37"/>
    </row>
    <row r="7565" spans="13:22" x14ac:dyDescent="0.2">
      <c r="M7565" s="33"/>
      <c r="N7565" s="29"/>
      <c r="O7565" s="29"/>
      <c r="P7565" s="29"/>
      <c r="Q7565" s="34"/>
      <c r="R7565" s="35"/>
      <c r="S7565" s="36"/>
      <c r="T7565" s="36"/>
      <c r="U7565" s="36"/>
      <c r="V7565" s="37"/>
    </row>
    <row r="7566" spans="13:22" x14ac:dyDescent="0.2">
      <c r="M7566" s="33"/>
      <c r="N7566" s="29"/>
      <c r="O7566" s="29"/>
      <c r="P7566" s="29"/>
      <c r="Q7566" s="34"/>
      <c r="R7566" s="35"/>
      <c r="S7566" s="36"/>
      <c r="T7566" s="36"/>
      <c r="U7566" s="36"/>
      <c r="V7566" s="37"/>
    </row>
    <row r="7567" spans="13:22" x14ac:dyDescent="0.2">
      <c r="M7567" s="33"/>
      <c r="N7567" s="29"/>
      <c r="O7567" s="29"/>
      <c r="P7567" s="29"/>
      <c r="Q7567" s="34"/>
      <c r="R7567" s="35"/>
      <c r="S7567" s="36"/>
      <c r="T7567" s="36"/>
      <c r="U7567" s="36"/>
      <c r="V7567" s="37"/>
    </row>
    <row r="7568" spans="13:22" x14ac:dyDescent="0.2">
      <c r="M7568" s="33"/>
      <c r="N7568" s="29"/>
      <c r="O7568" s="29"/>
      <c r="P7568" s="29"/>
      <c r="Q7568" s="34"/>
      <c r="R7568" s="35"/>
      <c r="S7568" s="36"/>
      <c r="T7568" s="36"/>
      <c r="U7568" s="36"/>
      <c r="V7568" s="37"/>
    </row>
    <row r="7569" spans="13:22" x14ac:dyDescent="0.2">
      <c r="M7569" s="26"/>
      <c r="N7569" s="15"/>
      <c r="O7569" s="15"/>
      <c r="P7569" s="15"/>
      <c r="Q7569" s="39"/>
      <c r="R7569" s="35"/>
      <c r="S7569" s="36"/>
      <c r="T7569" s="36"/>
      <c r="U7569" s="36"/>
      <c r="V7569" s="37"/>
    </row>
    <row r="7570" spans="13:22" x14ac:dyDescent="0.2">
      <c r="M7570" s="26"/>
      <c r="N7570" s="15"/>
      <c r="O7570" s="15"/>
      <c r="P7570" s="15"/>
      <c r="Q7570" s="39"/>
      <c r="R7570" s="35"/>
      <c r="S7570" s="36"/>
      <c r="T7570" s="36"/>
      <c r="U7570" s="36"/>
      <c r="V7570" s="37"/>
    </row>
    <row r="7571" spans="13:22" x14ac:dyDescent="0.2">
      <c r="M7571" s="40"/>
      <c r="N7571" s="15"/>
      <c r="O7571" s="15"/>
      <c r="P7571" s="15"/>
      <c r="Q7571" s="39"/>
      <c r="R7571" s="35"/>
      <c r="S7571" s="36"/>
      <c r="T7571" s="36"/>
      <c r="U7571" s="36"/>
      <c r="V7571" s="37"/>
    </row>
    <row r="7572" spans="13:22" x14ac:dyDescent="0.2">
      <c r="M7572" s="40"/>
      <c r="N7572" s="15"/>
      <c r="O7572" s="15"/>
      <c r="P7572" s="15"/>
      <c r="Q7572" s="39"/>
      <c r="R7572" s="41"/>
      <c r="S7572" s="36"/>
      <c r="T7572" s="36"/>
      <c r="U7572" s="36"/>
      <c r="V7572" s="37"/>
    </row>
    <row r="7573" spans="13:22" x14ac:dyDescent="0.2">
      <c r="M7573" s="40"/>
      <c r="N7573" s="15"/>
      <c r="O7573" s="15"/>
      <c r="P7573" s="15"/>
      <c r="Q7573" s="39"/>
      <c r="R7573" s="41"/>
      <c r="S7573" s="36"/>
      <c r="T7573" s="36"/>
      <c r="U7573" s="36"/>
      <c r="V7573" s="37"/>
    </row>
    <row r="7574" spans="13:22" x14ac:dyDescent="0.2">
      <c r="M7574" s="40"/>
      <c r="N7574" s="15"/>
      <c r="O7574" s="15"/>
      <c r="P7574" s="15"/>
      <c r="Q7574" s="39"/>
      <c r="R7574" s="41"/>
      <c r="S7574" s="36"/>
      <c r="T7574" s="36"/>
      <c r="U7574" s="36"/>
      <c r="V7574" s="37"/>
    </row>
    <row r="7575" spans="13:22" x14ac:dyDescent="0.2">
      <c r="M7575" s="40"/>
      <c r="N7575" s="15"/>
      <c r="O7575" s="15"/>
      <c r="P7575" s="15"/>
      <c r="Q7575" s="39"/>
      <c r="R7575" s="41"/>
      <c r="S7575" s="36"/>
      <c r="T7575" s="36"/>
      <c r="U7575" s="36"/>
      <c r="V7575" s="37"/>
    </row>
    <row r="7576" spans="13:22" x14ac:dyDescent="0.2">
      <c r="M7576" s="40"/>
      <c r="N7576" s="15"/>
      <c r="O7576" s="15"/>
      <c r="P7576" s="15"/>
      <c r="Q7576" s="39"/>
      <c r="R7576" s="41"/>
      <c r="S7576" s="36"/>
      <c r="T7576" s="36"/>
      <c r="U7576" s="36"/>
      <c r="V7576" s="37"/>
    </row>
    <row r="7577" spans="13:22" x14ac:dyDescent="0.2">
      <c r="M7577" s="40"/>
      <c r="N7577" s="15"/>
      <c r="O7577" s="15"/>
      <c r="P7577" s="15"/>
      <c r="Q7577" s="39"/>
      <c r="R7577" s="41"/>
      <c r="S7577" s="36"/>
      <c r="T7577" s="36"/>
      <c r="U7577" s="36"/>
      <c r="V7577" s="37"/>
    </row>
    <row r="7578" spans="13:22" x14ac:dyDescent="0.2">
      <c r="M7578" s="40"/>
      <c r="N7578" s="15"/>
      <c r="O7578" s="15"/>
      <c r="P7578" s="15"/>
      <c r="Q7578" s="39"/>
      <c r="R7578" s="41"/>
      <c r="S7578" s="36"/>
      <c r="T7578" s="36"/>
      <c r="U7578" s="36"/>
      <c r="V7578" s="37"/>
    </row>
    <row r="7579" spans="13:22" x14ac:dyDescent="0.2">
      <c r="M7579" s="40"/>
      <c r="N7579" s="15"/>
      <c r="O7579" s="15"/>
      <c r="P7579" s="15"/>
      <c r="Q7579" s="39"/>
      <c r="R7579" s="41"/>
      <c r="S7579" s="36"/>
      <c r="T7579" s="36"/>
      <c r="U7579" s="36"/>
      <c r="V7579" s="37"/>
    </row>
    <row r="7580" spans="13:22" x14ac:dyDescent="0.2">
      <c r="M7580" s="40"/>
      <c r="N7580" s="15"/>
      <c r="O7580" s="15"/>
      <c r="P7580" s="15"/>
      <c r="Q7580" s="39"/>
      <c r="R7580" s="41"/>
      <c r="S7580" s="36"/>
      <c r="T7580" s="36"/>
      <c r="U7580" s="36"/>
      <c r="V7580" s="37"/>
    </row>
    <row r="7581" spans="13:22" ht="13.5" thickBot="1" x14ac:dyDescent="0.25">
      <c r="M7581" s="42"/>
      <c r="N7581" s="43"/>
      <c r="O7581" s="43"/>
      <c r="P7581" s="43"/>
      <c r="Q7581" s="44"/>
      <c r="R7581" s="41"/>
      <c r="S7581" s="46"/>
      <c r="T7581" s="46"/>
      <c r="U7581" s="46"/>
      <c r="V7581" s="47"/>
    </row>
    <row r="7582" spans="13:22" ht="13.5" thickBot="1" x14ac:dyDescent="0.25">
      <c r="M7582" s="48"/>
      <c r="N7582" s="49"/>
      <c r="O7582" s="49"/>
      <c r="P7582" s="49"/>
      <c r="Q7582" s="50"/>
      <c r="R7582" s="45"/>
      <c r="S7582" s="52"/>
      <c r="T7582" s="52"/>
      <c r="U7582" s="52"/>
      <c r="V7582" s="53"/>
    </row>
    <row r="7583" spans="13:22" x14ac:dyDescent="0.2">
      <c r="M7583" s="54"/>
      <c r="N7583" s="29"/>
      <c r="O7583" s="29"/>
      <c r="P7583" s="29"/>
      <c r="Q7583" s="34"/>
      <c r="R7583" s="51"/>
      <c r="S7583" s="36"/>
      <c r="T7583" s="36"/>
      <c r="U7583" s="36"/>
      <c r="V7583" s="37"/>
    </row>
    <row r="7584" spans="13:22" x14ac:dyDescent="0.2">
      <c r="M7584" s="33"/>
      <c r="N7584" s="29"/>
      <c r="O7584" s="29"/>
      <c r="P7584" s="29"/>
      <c r="Q7584" s="34"/>
      <c r="R7584" s="41"/>
      <c r="S7584" s="36"/>
      <c r="T7584" s="36"/>
      <c r="U7584" s="36"/>
      <c r="V7584" s="37"/>
    </row>
    <row r="7585" spans="13:22" x14ac:dyDescent="0.2">
      <c r="M7585" s="33"/>
      <c r="N7585" s="29"/>
      <c r="O7585" s="29"/>
      <c r="P7585" s="29"/>
      <c r="Q7585" s="34"/>
      <c r="R7585" s="35"/>
      <c r="S7585" s="36"/>
      <c r="T7585" s="36"/>
      <c r="U7585" s="36"/>
      <c r="V7585" s="37"/>
    </row>
    <row r="7586" spans="13:22" x14ac:dyDescent="0.2">
      <c r="M7586" s="33"/>
      <c r="N7586" s="29"/>
      <c r="O7586" s="29"/>
      <c r="P7586" s="29"/>
      <c r="Q7586" s="34"/>
      <c r="R7586" s="35"/>
      <c r="S7586" s="36"/>
      <c r="T7586" s="36"/>
      <c r="U7586" s="36"/>
      <c r="V7586" s="37"/>
    </row>
    <row r="7587" spans="13:22" x14ac:dyDescent="0.2">
      <c r="M7587" s="33"/>
      <c r="N7587" s="29"/>
      <c r="O7587" s="29"/>
      <c r="P7587" s="29"/>
      <c r="Q7587" s="34"/>
      <c r="R7587" s="35"/>
      <c r="S7587" s="36"/>
      <c r="T7587" s="36"/>
      <c r="U7587" s="36"/>
      <c r="V7587" s="37"/>
    </row>
    <row r="7588" spans="13:22" x14ac:dyDescent="0.2">
      <c r="M7588" s="33"/>
      <c r="N7588" s="29"/>
      <c r="O7588" s="29"/>
      <c r="P7588" s="29"/>
      <c r="Q7588" s="34"/>
      <c r="R7588" s="35"/>
      <c r="S7588" s="36"/>
      <c r="T7588" s="36"/>
      <c r="U7588" s="36"/>
      <c r="V7588" s="37"/>
    </row>
    <row r="7589" spans="13:22" x14ac:dyDescent="0.2">
      <c r="M7589" s="33"/>
      <c r="N7589" s="29"/>
      <c r="O7589" s="29"/>
      <c r="P7589" s="29"/>
      <c r="Q7589" s="38"/>
      <c r="R7589" s="35"/>
      <c r="S7589" s="36"/>
      <c r="T7589" s="36"/>
      <c r="U7589" s="36"/>
      <c r="V7589" s="37"/>
    </row>
    <row r="7590" spans="13:22" x14ac:dyDescent="0.2">
      <c r="M7590" s="33"/>
      <c r="N7590" s="29"/>
      <c r="O7590" s="29"/>
      <c r="P7590" s="29"/>
      <c r="Q7590" s="34"/>
      <c r="R7590" s="35"/>
      <c r="S7590" s="36"/>
      <c r="T7590" s="36"/>
      <c r="U7590" s="36"/>
      <c r="V7590" s="37"/>
    </row>
    <row r="7591" spans="13:22" x14ac:dyDescent="0.2">
      <c r="M7591" s="33"/>
      <c r="N7591" s="29"/>
      <c r="O7591" s="29"/>
      <c r="P7591" s="29"/>
      <c r="Q7591" s="34"/>
      <c r="R7591" s="35"/>
      <c r="S7591" s="36"/>
      <c r="T7591" s="36"/>
      <c r="U7591" s="36"/>
      <c r="V7591" s="37"/>
    </row>
    <row r="7592" spans="13:22" x14ac:dyDescent="0.2">
      <c r="M7592" s="33"/>
      <c r="N7592" s="29"/>
      <c r="O7592" s="29"/>
      <c r="P7592" s="29"/>
      <c r="Q7592" s="34"/>
      <c r="R7592" s="35"/>
      <c r="S7592" s="36"/>
      <c r="T7592" s="36"/>
      <c r="U7592" s="36"/>
      <c r="V7592" s="37"/>
    </row>
    <row r="7593" spans="13:22" x14ac:dyDescent="0.2">
      <c r="M7593" s="33"/>
      <c r="N7593" s="29"/>
      <c r="O7593" s="29"/>
      <c r="P7593" s="29"/>
      <c r="Q7593" s="34"/>
      <c r="R7593" s="35"/>
      <c r="S7593" s="36"/>
      <c r="T7593" s="36"/>
      <c r="U7593" s="36"/>
      <c r="V7593" s="37"/>
    </row>
    <row r="7594" spans="13:22" x14ac:dyDescent="0.2">
      <c r="M7594" s="26"/>
      <c r="N7594" s="15"/>
      <c r="O7594" s="15"/>
      <c r="P7594" s="15"/>
      <c r="Q7594" s="39"/>
      <c r="R7594" s="35"/>
      <c r="S7594" s="36"/>
      <c r="T7594" s="36"/>
      <c r="U7594" s="36"/>
      <c r="V7594" s="37"/>
    </row>
    <row r="7595" spans="13:22" x14ac:dyDescent="0.2">
      <c r="M7595" s="26"/>
      <c r="N7595" s="15"/>
      <c r="O7595" s="15"/>
      <c r="P7595" s="15"/>
      <c r="Q7595" s="39"/>
      <c r="R7595" s="35"/>
      <c r="S7595" s="36"/>
      <c r="T7595" s="36"/>
      <c r="U7595" s="36"/>
      <c r="V7595" s="37"/>
    </row>
    <row r="7596" spans="13:22" x14ac:dyDescent="0.2">
      <c r="M7596" s="40"/>
      <c r="N7596" s="15"/>
      <c r="O7596" s="15"/>
      <c r="P7596" s="15"/>
      <c r="Q7596" s="39"/>
      <c r="R7596" s="35"/>
      <c r="S7596" s="36"/>
      <c r="T7596" s="36"/>
      <c r="U7596" s="36"/>
      <c r="V7596" s="37"/>
    </row>
    <row r="7597" spans="13:22" x14ac:dyDescent="0.2">
      <c r="M7597" s="40"/>
      <c r="N7597" s="15"/>
      <c r="O7597" s="15"/>
      <c r="P7597" s="15"/>
      <c r="Q7597" s="39"/>
      <c r="R7597" s="41"/>
      <c r="S7597" s="36"/>
      <c r="T7597" s="36"/>
      <c r="U7597" s="36"/>
      <c r="V7597" s="37"/>
    </row>
    <row r="7598" spans="13:22" x14ac:dyDescent="0.2">
      <c r="M7598" s="40"/>
      <c r="N7598" s="15"/>
      <c r="O7598" s="15"/>
      <c r="P7598" s="15"/>
      <c r="Q7598" s="39"/>
      <c r="R7598" s="41"/>
      <c r="S7598" s="36"/>
      <c r="T7598" s="36"/>
      <c r="U7598" s="36"/>
      <c r="V7598" s="37"/>
    </row>
    <row r="7599" spans="13:22" x14ac:dyDescent="0.2">
      <c r="M7599" s="40"/>
      <c r="N7599" s="15"/>
      <c r="O7599" s="15"/>
      <c r="P7599" s="15"/>
      <c r="Q7599" s="39"/>
      <c r="R7599" s="41"/>
      <c r="S7599" s="36"/>
      <c r="T7599" s="36"/>
      <c r="U7599" s="36"/>
      <c r="V7599" s="37"/>
    </row>
    <row r="7600" spans="13:22" x14ac:dyDescent="0.2">
      <c r="M7600" s="40"/>
      <c r="N7600" s="15"/>
      <c r="O7600" s="15"/>
      <c r="P7600" s="15"/>
      <c r="Q7600" s="39"/>
      <c r="R7600" s="41"/>
      <c r="S7600" s="36"/>
      <c r="T7600" s="36"/>
      <c r="U7600" s="36"/>
      <c r="V7600" s="37"/>
    </row>
    <row r="7601" spans="13:22" x14ac:dyDescent="0.2">
      <c r="M7601" s="40"/>
      <c r="N7601" s="15"/>
      <c r="O7601" s="15"/>
      <c r="P7601" s="15"/>
      <c r="Q7601" s="39"/>
      <c r="R7601" s="41"/>
      <c r="S7601" s="36"/>
      <c r="T7601" s="36"/>
      <c r="U7601" s="36"/>
      <c r="V7601" s="37"/>
    </row>
    <row r="7602" spans="13:22" x14ac:dyDescent="0.2">
      <c r="M7602" s="40"/>
      <c r="N7602" s="15"/>
      <c r="O7602" s="15"/>
      <c r="P7602" s="15"/>
      <c r="Q7602" s="39"/>
      <c r="R7602" s="41"/>
      <c r="S7602" s="36"/>
      <c r="T7602" s="36"/>
      <c r="U7602" s="36"/>
      <c r="V7602" s="37"/>
    </row>
    <row r="7603" spans="13:22" x14ac:dyDescent="0.2">
      <c r="M7603" s="40"/>
      <c r="N7603" s="15"/>
      <c r="O7603" s="15"/>
      <c r="P7603" s="15"/>
      <c r="Q7603" s="39"/>
      <c r="R7603" s="41"/>
      <c r="S7603" s="36"/>
      <c r="T7603" s="36"/>
      <c r="U7603" s="36"/>
      <c r="V7603" s="37"/>
    </row>
    <row r="7604" spans="13:22" x14ac:dyDescent="0.2">
      <c r="M7604" s="40"/>
      <c r="N7604" s="15"/>
      <c r="O7604" s="15"/>
      <c r="P7604" s="15"/>
      <c r="Q7604" s="39"/>
      <c r="R7604" s="41"/>
      <c r="S7604" s="36"/>
      <c r="T7604" s="36"/>
      <c r="U7604" s="36"/>
      <c r="V7604" s="37"/>
    </row>
    <row r="7605" spans="13:22" x14ac:dyDescent="0.2">
      <c r="M7605" s="40"/>
      <c r="N7605" s="15"/>
      <c r="O7605" s="15"/>
      <c r="P7605" s="15"/>
      <c r="Q7605" s="39"/>
      <c r="R7605" s="41"/>
      <c r="S7605" s="36"/>
      <c r="T7605" s="36"/>
      <c r="U7605" s="36"/>
      <c r="V7605" s="37"/>
    </row>
    <row r="7606" spans="13:22" ht="13.5" thickBot="1" x14ac:dyDescent="0.25">
      <c r="M7606" s="42"/>
      <c r="N7606" s="43"/>
      <c r="O7606" s="43"/>
      <c r="P7606" s="43"/>
      <c r="Q7606" s="44"/>
      <c r="R7606" s="41"/>
      <c r="S7606" s="46"/>
      <c r="T7606" s="46"/>
      <c r="U7606" s="46"/>
      <c r="V7606" s="47"/>
    </row>
    <row r="7607" spans="13:22" ht="13.5" thickBot="1" x14ac:dyDescent="0.25">
      <c r="M7607" s="48"/>
      <c r="N7607" s="49"/>
      <c r="O7607" s="49"/>
      <c r="P7607" s="49"/>
      <c r="Q7607" s="50"/>
      <c r="R7607" s="45"/>
      <c r="S7607" s="52"/>
      <c r="T7607" s="52"/>
      <c r="U7607" s="52"/>
      <c r="V7607" s="53"/>
    </row>
    <row r="7608" spans="13:22" x14ac:dyDescent="0.2">
      <c r="M7608" s="54"/>
      <c r="N7608" s="29"/>
      <c r="O7608" s="29"/>
      <c r="P7608" s="29"/>
      <c r="Q7608" s="34"/>
      <c r="R7608" s="51"/>
      <c r="S7608" s="36"/>
      <c r="T7608" s="36"/>
      <c r="U7608" s="36"/>
      <c r="V7608" s="37"/>
    </row>
    <row r="7609" spans="13:22" x14ac:dyDescent="0.2">
      <c r="M7609" s="33"/>
      <c r="N7609" s="29"/>
      <c r="O7609" s="29"/>
      <c r="P7609" s="29"/>
      <c r="Q7609" s="34"/>
      <c r="R7609" s="41"/>
      <c r="S7609" s="36"/>
      <c r="T7609" s="36"/>
      <c r="U7609" s="36"/>
      <c r="V7609" s="37"/>
    </row>
    <row r="7610" spans="13:22" x14ac:dyDescent="0.2">
      <c r="M7610" s="33"/>
      <c r="N7610" s="29"/>
      <c r="O7610" s="29"/>
      <c r="P7610" s="29"/>
      <c r="Q7610" s="34"/>
      <c r="R7610" s="35"/>
      <c r="S7610" s="36"/>
      <c r="T7610" s="36"/>
      <c r="U7610" s="36"/>
      <c r="V7610" s="37"/>
    </row>
    <row r="7611" spans="13:22" x14ac:dyDescent="0.2">
      <c r="M7611" s="33"/>
      <c r="N7611" s="29"/>
      <c r="O7611" s="29"/>
      <c r="P7611" s="29"/>
      <c r="Q7611" s="34"/>
      <c r="R7611" s="35"/>
      <c r="S7611" s="36"/>
      <c r="T7611" s="36"/>
      <c r="U7611" s="36"/>
      <c r="V7611" s="37"/>
    </row>
    <row r="7612" spans="13:22" x14ac:dyDescent="0.2">
      <c r="M7612" s="33"/>
      <c r="N7612" s="29"/>
      <c r="O7612" s="29"/>
      <c r="P7612" s="29"/>
      <c r="Q7612" s="34"/>
      <c r="R7612" s="35"/>
      <c r="S7612" s="36"/>
      <c r="T7612" s="36"/>
      <c r="U7612" s="36"/>
      <c r="V7612" s="37"/>
    </row>
    <row r="7613" spans="13:22" x14ac:dyDescent="0.2">
      <c r="M7613" s="33"/>
      <c r="N7613" s="29"/>
      <c r="O7613" s="29"/>
      <c r="P7613" s="29"/>
      <c r="Q7613" s="34"/>
      <c r="R7613" s="35"/>
      <c r="S7613" s="36"/>
      <c r="T7613" s="36"/>
      <c r="U7613" s="36"/>
      <c r="V7613" s="37"/>
    </row>
    <row r="7614" spans="13:22" x14ac:dyDescent="0.2">
      <c r="M7614" s="33"/>
      <c r="N7614" s="29"/>
      <c r="O7614" s="29"/>
      <c r="P7614" s="29"/>
      <c r="Q7614" s="38"/>
      <c r="R7614" s="35"/>
      <c r="S7614" s="36"/>
      <c r="T7614" s="36"/>
      <c r="U7614" s="36"/>
      <c r="V7614" s="37"/>
    </row>
    <row r="7615" spans="13:22" x14ac:dyDescent="0.2">
      <c r="M7615" s="33"/>
      <c r="N7615" s="29"/>
      <c r="O7615" s="29"/>
      <c r="P7615" s="29"/>
      <c r="Q7615" s="34"/>
      <c r="R7615" s="35"/>
      <c r="S7615" s="36"/>
      <c r="T7615" s="36"/>
      <c r="U7615" s="36"/>
      <c r="V7615" s="37"/>
    </row>
    <row r="7616" spans="13:22" x14ac:dyDescent="0.2">
      <c r="M7616" s="33"/>
      <c r="N7616" s="29"/>
      <c r="O7616" s="29"/>
      <c r="P7616" s="29"/>
      <c r="Q7616" s="34"/>
      <c r="R7616" s="35"/>
      <c r="S7616" s="36"/>
      <c r="T7616" s="36"/>
      <c r="U7616" s="36"/>
      <c r="V7616" s="37"/>
    </row>
    <row r="7617" spans="13:22" x14ac:dyDescent="0.2">
      <c r="M7617" s="33"/>
      <c r="N7617" s="29"/>
      <c r="O7617" s="29"/>
      <c r="P7617" s="29"/>
      <c r="Q7617" s="34"/>
      <c r="R7617" s="35"/>
      <c r="S7617" s="36"/>
      <c r="T7617" s="36"/>
      <c r="U7617" s="36"/>
      <c r="V7617" s="37"/>
    </row>
    <row r="7618" spans="13:22" x14ac:dyDescent="0.2">
      <c r="M7618" s="33"/>
      <c r="N7618" s="29"/>
      <c r="O7618" s="29"/>
      <c r="P7618" s="29"/>
      <c r="Q7618" s="34"/>
      <c r="R7618" s="35"/>
      <c r="S7618" s="36"/>
      <c r="T7618" s="36"/>
      <c r="U7618" s="36"/>
      <c r="V7618" s="37"/>
    </row>
    <row r="7619" spans="13:22" x14ac:dyDescent="0.2">
      <c r="M7619" s="26"/>
      <c r="N7619" s="15"/>
      <c r="O7619" s="15"/>
      <c r="P7619" s="15"/>
      <c r="Q7619" s="39"/>
      <c r="R7619" s="35"/>
      <c r="S7619" s="36"/>
      <c r="T7619" s="36"/>
      <c r="U7619" s="36"/>
      <c r="V7619" s="37"/>
    </row>
    <row r="7620" spans="13:22" x14ac:dyDescent="0.2">
      <c r="M7620" s="26"/>
      <c r="N7620" s="15"/>
      <c r="O7620" s="15"/>
      <c r="P7620" s="15"/>
      <c r="Q7620" s="39"/>
      <c r="R7620" s="35"/>
      <c r="S7620" s="36"/>
      <c r="T7620" s="36"/>
      <c r="U7620" s="36"/>
      <c r="V7620" s="37"/>
    </row>
    <row r="7621" spans="13:22" x14ac:dyDescent="0.2">
      <c r="M7621" s="40"/>
      <c r="N7621" s="15"/>
      <c r="O7621" s="15"/>
      <c r="P7621" s="15"/>
      <c r="Q7621" s="39"/>
      <c r="R7621" s="35"/>
      <c r="S7621" s="36"/>
      <c r="T7621" s="36"/>
      <c r="U7621" s="36"/>
      <c r="V7621" s="37"/>
    </row>
    <row r="7622" spans="13:22" x14ac:dyDescent="0.2">
      <c r="M7622" s="40"/>
      <c r="N7622" s="15"/>
      <c r="O7622" s="15"/>
      <c r="P7622" s="15"/>
      <c r="Q7622" s="39"/>
      <c r="R7622" s="41"/>
      <c r="S7622" s="36"/>
      <c r="T7622" s="36"/>
      <c r="U7622" s="36"/>
      <c r="V7622" s="37"/>
    </row>
    <row r="7623" spans="13:22" x14ac:dyDescent="0.2">
      <c r="M7623" s="40"/>
      <c r="N7623" s="15"/>
      <c r="O7623" s="15"/>
      <c r="P7623" s="15"/>
      <c r="Q7623" s="39"/>
      <c r="R7623" s="41"/>
      <c r="S7623" s="36"/>
      <c r="T7623" s="36"/>
      <c r="U7623" s="36"/>
      <c r="V7623" s="37"/>
    </row>
    <row r="7624" spans="13:22" x14ac:dyDescent="0.2">
      <c r="M7624" s="40"/>
      <c r="N7624" s="15"/>
      <c r="O7624" s="15"/>
      <c r="P7624" s="15"/>
      <c r="Q7624" s="39"/>
      <c r="R7624" s="41"/>
      <c r="S7624" s="36"/>
      <c r="T7624" s="36"/>
      <c r="U7624" s="36"/>
      <c r="V7624" s="37"/>
    </row>
    <row r="7625" spans="13:22" x14ac:dyDescent="0.2">
      <c r="M7625" s="40"/>
      <c r="N7625" s="15"/>
      <c r="O7625" s="15"/>
      <c r="P7625" s="15"/>
      <c r="Q7625" s="39"/>
      <c r="R7625" s="41"/>
      <c r="S7625" s="36"/>
      <c r="T7625" s="36"/>
      <c r="U7625" s="36"/>
      <c r="V7625" s="37"/>
    </row>
    <row r="7626" spans="13:22" x14ac:dyDescent="0.2">
      <c r="M7626" s="40"/>
      <c r="N7626" s="15"/>
      <c r="O7626" s="15"/>
      <c r="P7626" s="15"/>
      <c r="Q7626" s="39"/>
      <c r="R7626" s="41"/>
      <c r="S7626" s="36"/>
      <c r="T7626" s="36"/>
      <c r="U7626" s="36"/>
      <c r="V7626" s="37"/>
    </row>
    <row r="7627" spans="13:22" x14ac:dyDescent="0.2">
      <c r="M7627" s="40"/>
      <c r="N7627" s="15"/>
      <c r="O7627" s="15"/>
      <c r="P7627" s="15"/>
      <c r="Q7627" s="39"/>
      <c r="R7627" s="41"/>
      <c r="S7627" s="36"/>
      <c r="T7627" s="36"/>
      <c r="U7627" s="36"/>
      <c r="V7627" s="37"/>
    </row>
    <row r="7628" spans="13:22" x14ac:dyDescent="0.2">
      <c r="M7628" s="40"/>
      <c r="N7628" s="15"/>
      <c r="O7628" s="15"/>
      <c r="P7628" s="15"/>
      <c r="Q7628" s="39"/>
      <c r="R7628" s="41"/>
      <c r="S7628" s="36"/>
      <c r="T7628" s="36"/>
      <c r="U7628" s="36"/>
      <c r="V7628" s="37"/>
    </row>
    <row r="7629" spans="13:22" x14ac:dyDescent="0.2">
      <c r="M7629" s="40"/>
      <c r="N7629" s="15"/>
      <c r="O7629" s="15"/>
      <c r="P7629" s="15"/>
      <c r="Q7629" s="39"/>
      <c r="R7629" s="41"/>
      <c r="S7629" s="36"/>
      <c r="T7629" s="36"/>
      <c r="U7629" s="36"/>
      <c r="V7629" s="37"/>
    </row>
    <row r="7630" spans="13:22" x14ac:dyDescent="0.2">
      <c r="M7630" s="40"/>
      <c r="N7630" s="15"/>
      <c r="O7630" s="15"/>
      <c r="P7630" s="15"/>
      <c r="Q7630" s="39"/>
      <c r="R7630" s="41"/>
      <c r="S7630" s="36"/>
      <c r="T7630" s="36"/>
      <c r="U7630" s="36"/>
      <c r="V7630" s="37"/>
    </row>
    <row r="7631" spans="13:22" ht="13.5" thickBot="1" x14ac:dyDescent="0.25">
      <c r="M7631" s="42"/>
      <c r="N7631" s="43"/>
      <c r="O7631" s="43"/>
      <c r="P7631" s="43"/>
      <c r="Q7631" s="44"/>
      <c r="R7631" s="41"/>
      <c r="S7631" s="46"/>
      <c r="T7631" s="46"/>
      <c r="U7631" s="46"/>
      <c r="V7631" s="47"/>
    </row>
    <row r="7632" spans="13:22" ht="13.5" thickBot="1" x14ac:dyDescent="0.25">
      <c r="M7632" s="48"/>
      <c r="N7632" s="49"/>
      <c r="O7632" s="49"/>
      <c r="P7632" s="49"/>
      <c r="Q7632" s="50"/>
      <c r="R7632" s="45"/>
      <c r="S7632" s="52"/>
      <c r="T7632" s="52"/>
      <c r="U7632" s="52"/>
      <c r="V7632" s="53"/>
    </row>
    <row r="7633" spans="13:22" x14ac:dyDescent="0.2">
      <c r="M7633" s="54"/>
      <c r="N7633" s="29"/>
      <c r="O7633" s="29"/>
      <c r="P7633" s="29"/>
      <c r="Q7633" s="34"/>
      <c r="R7633" s="51"/>
      <c r="S7633" s="36"/>
      <c r="T7633" s="36"/>
      <c r="U7633" s="36"/>
      <c r="V7633" s="37"/>
    </row>
    <row r="7634" spans="13:22" x14ac:dyDescent="0.2">
      <c r="M7634" s="33"/>
      <c r="N7634" s="29"/>
      <c r="O7634" s="29"/>
      <c r="P7634" s="29"/>
      <c r="Q7634" s="34"/>
      <c r="R7634" s="41"/>
      <c r="S7634" s="36"/>
      <c r="T7634" s="36"/>
      <c r="U7634" s="36"/>
      <c r="V7634" s="37"/>
    </row>
    <row r="7635" spans="13:22" x14ac:dyDescent="0.2">
      <c r="M7635" s="33"/>
      <c r="N7635" s="29"/>
      <c r="O7635" s="29"/>
      <c r="P7635" s="29"/>
      <c r="Q7635" s="34"/>
      <c r="R7635" s="35"/>
      <c r="S7635" s="36"/>
      <c r="T7635" s="36"/>
      <c r="U7635" s="36"/>
      <c r="V7635" s="37"/>
    </row>
    <row r="7636" spans="13:22" x14ac:dyDescent="0.2">
      <c r="M7636" s="33"/>
      <c r="N7636" s="29"/>
      <c r="O7636" s="29"/>
      <c r="P7636" s="29"/>
      <c r="Q7636" s="34"/>
      <c r="R7636" s="35"/>
      <c r="S7636" s="36"/>
      <c r="T7636" s="36"/>
      <c r="U7636" s="36"/>
      <c r="V7636" s="37"/>
    </row>
    <row r="7637" spans="13:22" x14ac:dyDescent="0.2">
      <c r="M7637" s="33"/>
      <c r="N7637" s="29"/>
      <c r="O7637" s="29"/>
      <c r="P7637" s="29"/>
      <c r="Q7637" s="34"/>
      <c r="R7637" s="35"/>
      <c r="S7637" s="36"/>
      <c r="T7637" s="36"/>
      <c r="U7637" s="36"/>
      <c r="V7637" s="37"/>
    </row>
    <row r="7638" spans="13:22" x14ac:dyDescent="0.2">
      <c r="M7638" s="33"/>
      <c r="N7638" s="29"/>
      <c r="O7638" s="29"/>
      <c r="P7638" s="29"/>
      <c r="Q7638" s="34"/>
      <c r="R7638" s="35"/>
      <c r="S7638" s="36"/>
      <c r="T7638" s="36"/>
      <c r="U7638" s="36"/>
      <c r="V7638" s="37"/>
    </row>
    <row r="7639" spans="13:22" x14ac:dyDescent="0.2">
      <c r="M7639" s="33"/>
      <c r="N7639" s="29"/>
      <c r="O7639" s="29"/>
      <c r="P7639" s="29"/>
      <c r="Q7639" s="38"/>
      <c r="R7639" s="35"/>
      <c r="S7639" s="36"/>
      <c r="T7639" s="36"/>
      <c r="U7639" s="36"/>
      <c r="V7639" s="37"/>
    </row>
    <row r="7640" spans="13:22" x14ac:dyDescent="0.2">
      <c r="M7640" s="33"/>
      <c r="N7640" s="29"/>
      <c r="O7640" s="29"/>
      <c r="P7640" s="29"/>
      <c r="Q7640" s="34"/>
      <c r="R7640" s="35"/>
      <c r="S7640" s="36"/>
      <c r="T7640" s="36"/>
      <c r="U7640" s="36"/>
      <c r="V7640" s="37"/>
    </row>
    <row r="7641" spans="13:22" x14ac:dyDescent="0.2">
      <c r="M7641" s="33"/>
      <c r="N7641" s="29"/>
      <c r="O7641" s="29"/>
      <c r="P7641" s="29"/>
      <c r="Q7641" s="34"/>
      <c r="R7641" s="35"/>
      <c r="S7641" s="36"/>
      <c r="T7641" s="36"/>
      <c r="U7641" s="36"/>
      <c r="V7641" s="37"/>
    </row>
    <row r="7642" spans="13:22" x14ac:dyDescent="0.2">
      <c r="M7642" s="33"/>
      <c r="N7642" s="29"/>
      <c r="O7642" s="29"/>
      <c r="P7642" s="29"/>
      <c r="Q7642" s="34"/>
      <c r="R7642" s="35"/>
      <c r="S7642" s="36"/>
      <c r="T7642" s="36"/>
      <c r="U7642" s="36"/>
      <c r="V7642" s="37"/>
    </row>
    <row r="7643" spans="13:22" x14ac:dyDescent="0.2">
      <c r="M7643" s="33"/>
      <c r="N7643" s="29"/>
      <c r="O7643" s="29"/>
      <c r="P7643" s="29"/>
      <c r="Q7643" s="34"/>
      <c r="R7643" s="35"/>
      <c r="S7643" s="36"/>
      <c r="T7643" s="36"/>
      <c r="U7643" s="36"/>
      <c r="V7643" s="37"/>
    </row>
    <row r="7644" spans="13:22" x14ac:dyDescent="0.2">
      <c r="M7644" s="26"/>
      <c r="N7644" s="15"/>
      <c r="O7644" s="15"/>
      <c r="P7644" s="15"/>
      <c r="Q7644" s="39"/>
      <c r="R7644" s="35"/>
      <c r="S7644" s="36"/>
      <c r="T7644" s="36"/>
      <c r="U7644" s="36"/>
      <c r="V7644" s="37"/>
    </row>
    <row r="7645" spans="13:22" x14ac:dyDescent="0.2">
      <c r="M7645" s="26"/>
      <c r="N7645" s="15"/>
      <c r="O7645" s="15"/>
      <c r="P7645" s="15"/>
      <c r="Q7645" s="39"/>
      <c r="R7645" s="35"/>
      <c r="S7645" s="36"/>
      <c r="T7645" s="36"/>
      <c r="U7645" s="36"/>
      <c r="V7645" s="37"/>
    </row>
    <row r="7646" spans="13:22" x14ac:dyDescent="0.2">
      <c r="M7646" s="40"/>
      <c r="N7646" s="15"/>
      <c r="O7646" s="15"/>
      <c r="P7646" s="15"/>
      <c r="Q7646" s="39"/>
      <c r="R7646" s="35"/>
      <c r="S7646" s="36"/>
      <c r="T7646" s="36"/>
      <c r="U7646" s="36"/>
      <c r="V7646" s="37"/>
    </row>
    <row r="7647" spans="13:22" x14ac:dyDescent="0.2">
      <c r="M7647" s="40"/>
      <c r="N7647" s="15"/>
      <c r="O7647" s="15"/>
      <c r="P7647" s="15"/>
      <c r="Q7647" s="39"/>
      <c r="R7647" s="41"/>
      <c r="S7647" s="36"/>
      <c r="T7647" s="36"/>
      <c r="U7647" s="36"/>
      <c r="V7647" s="37"/>
    </row>
    <row r="7648" spans="13:22" x14ac:dyDescent="0.2">
      <c r="M7648" s="40"/>
      <c r="N7648" s="15"/>
      <c r="O7648" s="15"/>
      <c r="P7648" s="15"/>
      <c r="Q7648" s="39"/>
      <c r="R7648" s="41"/>
      <c r="S7648" s="36"/>
      <c r="T7648" s="36"/>
      <c r="U7648" s="36"/>
      <c r="V7648" s="37"/>
    </row>
    <row r="7649" spans="13:22" x14ac:dyDescent="0.2">
      <c r="M7649" s="40"/>
      <c r="N7649" s="15"/>
      <c r="O7649" s="15"/>
      <c r="P7649" s="15"/>
      <c r="Q7649" s="39"/>
      <c r="R7649" s="41"/>
      <c r="S7649" s="36"/>
      <c r="T7649" s="36"/>
      <c r="U7649" s="36"/>
      <c r="V7649" s="37"/>
    </row>
    <row r="7650" spans="13:22" x14ac:dyDescent="0.2">
      <c r="M7650" s="40"/>
      <c r="N7650" s="15"/>
      <c r="O7650" s="15"/>
      <c r="P7650" s="15"/>
      <c r="Q7650" s="39"/>
      <c r="R7650" s="41"/>
      <c r="S7650" s="36"/>
      <c r="T7650" s="36"/>
      <c r="U7650" s="36"/>
      <c r="V7650" s="37"/>
    </row>
    <row r="7651" spans="13:22" x14ac:dyDescent="0.2">
      <c r="M7651" s="40"/>
      <c r="N7651" s="15"/>
      <c r="O7651" s="15"/>
      <c r="P7651" s="15"/>
      <c r="Q7651" s="39"/>
      <c r="R7651" s="41"/>
      <c r="S7651" s="36"/>
      <c r="T7651" s="36"/>
      <c r="U7651" s="36"/>
      <c r="V7651" s="37"/>
    </row>
    <row r="7652" spans="13:22" x14ac:dyDescent="0.2">
      <c r="M7652" s="40"/>
      <c r="N7652" s="15"/>
      <c r="O7652" s="15"/>
      <c r="P7652" s="15"/>
      <c r="Q7652" s="39"/>
      <c r="R7652" s="41"/>
      <c r="S7652" s="36"/>
      <c r="T7652" s="36"/>
      <c r="U7652" s="36"/>
      <c r="V7652" s="37"/>
    </row>
    <row r="7653" spans="13:22" x14ac:dyDescent="0.2">
      <c r="M7653" s="40"/>
      <c r="N7653" s="15"/>
      <c r="O7653" s="15"/>
      <c r="P7653" s="15"/>
      <c r="Q7653" s="39"/>
      <c r="R7653" s="41"/>
      <c r="S7653" s="36"/>
      <c r="T7653" s="36"/>
      <c r="U7653" s="36"/>
      <c r="V7653" s="37"/>
    </row>
    <row r="7654" spans="13:22" x14ac:dyDescent="0.2">
      <c r="M7654" s="40"/>
      <c r="N7654" s="15"/>
      <c r="O7654" s="15"/>
      <c r="P7654" s="15"/>
      <c r="Q7654" s="39"/>
      <c r="R7654" s="41"/>
      <c r="S7654" s="36"/>
      <c r="T7654" s="36"/>
      <c r="U7654" s="36"/>
      <c r="V7654" s="37"/>
    </row>
    <row r="7655" spans="13:22" x14ac:dyDescent="0.2">
      <c r="M7655" s="40"/>
      <c r="N7655" s="15"/>
      <c r="O7655" s="15"/>
      <c r="P7655" s="15"/>
      <c r="Q7655" s="39"/>
      <c r="R7655" s="41"/>
      <c r="S7655" s="36"/>
      <c r="T7655" s="36"/>
      <c r="U7655" s="36"/>
      <c r="V7655" s="37"/>
    </row>
    <row r="7656" spans="13:22" ht="13.5" thickBot="1" x14ac:dyDescent="0.25">
      <c r="M7656" s="42"/>
      <c r="N7656" s="43"/>
      <c r="O7656" s="43"/>
      <c r="P7656" s="43"/>
      <c r="Q7656" s="44"/>
      <c r="R7656" s="41"/>
      <c r="S7656" s="46"/>
      <c r="T7656" s="46"/>
      <c r="U7656" s="46"/>
      <c r="V7656" s="47"/>
    </row>
    <row r="7657" spans="13:22" ht="13.5" thickBot="1" x14ac:dyDescent="0.25">
      <c r="M7657" s="48"/>
      <c r="N7657" s="49"/>
      <c r="O7657" s="49"/>
      <c r="P7657" s="49"/>
      <c r="Q7657" s="50"/>
      <c r="R7657" s="45"/>
      <c r="S7657" s="52"/>
      <c r="T7657" s="52"/>
      <c r="U7657" s="52"/>
      <c r="V7657" s="53"/>
    </row>
    <row r="7658" spans="13:22" x14ac:dyDescent="0.2">
      <c r="M7658" s="54"/>
      <c r="N7658" s="29"/>
      <c r="O7658" s="29"/>
      <c r="P7658" s="29"/>
      <c r="Q7658" s="34"/>
      <c r="R7658" s="51"/>
      <c r="S7658" s="36"/>
      <c r="T7658" s="36"/>
      <c r="U7658" s="36"/>
      <c r="V7658" s="37"/>
    </row>
    <row r="7659" spans="13:22" x14ac:dyDescent="0.2">
      <c r="M7659" s="33"/>
      <c r="N7659" s="29"/>
      <c r="O7659" s="29"/>
      <c r="P7659" s="29"/>
      <c r="Q7659" s="34"/>
      <c r="R7659" s="41"/>
      <c r="S7659" s="36"/>
      <c r="T7659" s="36"/>
      <c r="U7659" s="36"/>
      <c r="V7659" s="37"/>
    </row>
    <row r="7660" spans="13:22" x14ac:dyDescent="0.2">
      <c r="M7660" s="33"/>
      <c r="N7660" s="29"/>
      <c r="O7660" s="29"/>
      <c r="P7660" s="29"/>
      <c r="Q7660" s="34"/>
      <c r="R7660" s="35"/>
      <c r="S7660" s="36"/>
      <c r="T7660" s="36"/>
      <c r="U7660" s="36"/>
      <c r="V7660" s="37"/>
    </row>
    <row r="7661" spans="13:22" x14ac:dyDescent="0.2">
      <c r="M7661" s="33"/>
      <c r="N7661" s="29"/>
      <c r="O7661" s="29"/>
      <c r="P7661" s="29"/>
      <c r="Q7661" s="34"/>
      <c r="R7661" s="35"/>
      <c r="S7661" s="36"/>
      <c r="T7661" s="36"/>
      <c r="U7661" s="36"/>
      <c r="V7661" s="37"/>
    </row>
    <row r="7662" spans="13:22" x14ac:dyDescent="0.2">
      <c r="M7662" s="33"/>
      <c r="N7662" s="29"/>
      <c r="O7662" s="29"/>
      <c r="P7662" s="29"/>
      <c r="Q7662" s="34"/>
      <c r="R7662" s="35"/>
      <c r="S7662" s="36"/>
      <c r="T7662" s="36"/>
      <c r="U7662" s="36"/>
      <c r="V7662" s="37"/>
    </row>
    <row r="7663" spans="13:22" x14ac:dyDescent="0.2">
      <c r="M7663" s="33"/>
      <c r="N7663" s="29"/>
      <c r="O7663" s="29"/>
      <c r="P7663" s="29"/>
      <c r="Q7663" s="34"/>
      <c r="R7663" s="35"/>
      <c r="S7663" s="36"/>
      <c r="T7663" s="36"/>
      <c r="U7663" s="36"/>
      <c r="V7663" s="37"/>
    </row>
    <row r="7664" spans="13:22" x14ac:dyDescent="0.2">
      <c r="M7664" s="33"/>
      <c r="N7664" s="29"/>
      <c r="O7664" s="29"/>
      <c r="P7664" s="29"/>
      <c r="Q7664" s="38"/>
      <c r="R7664" s="35"/>
      <c r="S7664" s="36"/>
      <c r="T7664" s="36"/>
      <c r="U7664" s="36"/>
      <c r="V7664" s="37"/>
    </row>
    <row r="7665" spans="13:22" x14ac:dyDescent="0.2">
      <c r="M7665" s="33"/>
      <c r="N7665" s="29"/>
      <c r="O7665" s="29"/>
      <c r="P7665" s="29"/>
      <c r="Q7665" s="34"/>
      <c r="R7665" s="35"/>
      <c r="S7665" s="36"/>
      <c r="T7665" s="36"/>
      <c r="U7665" s="36"/>
      <c r="V7665" s="37"/>
    </row>
    <row r="7666" spans="13:22" x14ac:dyDescent="0.2">
      <c r="M7666" s="33"/>
      <c r="N7666" s="29"/>
      <c r="O7666" s="29"/>
      <c r="P7666" s="29"/>
      <c r="Q7666" s="34"/>
      <c r="R7666" s="35"/>
      <c r="S7666" s="36"/>
      <c r="T7666" s="36"/>
      <c r="U7666" s="36"/>
      <c r="V7666" s="37"/>
    </row>
    <row r="7667" spans="13:22" x14ac:dyDescent="0.2">
      <c r="M7667" s="33"/>
      <c r="N7667" s="29"/>
      <c r="O7667" s="29"/>
      <c r="P7667" s="29"/>
      <c r="Q7667" s="34"/>
      <c r="R7667" s="35"/>
      <c r="S7667" s="36"/>
      <c r="T7667" s="36"/>
      <c r="U7667" s="36"/>
      <c r="V7667" s="37"/>
    </row>
    <row r="7668" spans="13:22" x14ac:dyDescent="0.2">
      <c r="M7668" s="33"/>
      <c r="N7668" s="29"/>
      <c r="O7668" s="29"/>
      <c r="P7668" s="29"/>
      <c r="Q7668" s="34"/>
      <c r="R7668" s="35"/>
      <c r="S7668" s="36"/>
      <c r="T7668" s="36"/>
      <c r="U7668" s="36"/>
      <c r="V7668" s="37"/>
    </row>
    <row r="7669" spans="13:22" x14ac:dyDescent="0.2">
      <c r="M7669" s="26"/>
      <c r="N7669" s="15"/>
      <c r="O7669" s="15"/>
      <c r="P7669" s="15"/>
      <c r="Q7669" s="39"/>
      <c r="R7669" s="35"/>
      <c r="S7669" s="36"/>
      <c r="T7669" s="36"/>
      <c r="U7669" s="36"/>
      <c r="V7669" s="37"/>
    </row>
    <row r="7670" spans="13:22" x14ac:dyDescent="0.2">
      <c r="M7670" s="26"/>
      <c r="N7670" s="15"/>
      <c r="O7670" s="15"/>
      <c r="P7670" s="15"/>
      <c r="Q7670" s="39"/>
      <c r="R7670" s="35"/>
      <c r="S7670" s="36"/>
      <c r="T7670" s="36"/>
      <c r="U7670" s="36"/>
      <c r="V7670" s="37"/>
    </row>
    <row r="7671" spans="13:22" x14ac:dyDescent="0.2">
      <c r="M7671" s="40"/>
      <c r="N7671" s="15"/>
      <c r="O7671" s="15"/>
      <c r="P7671" s="15"/>
      <c r="Q7671" s="39"/>
      <c r="R7671" s="35"/>
      <c r="S7671" s="36"/>
      <c r="T7671" s="36"/>
      <c r="U7671" s="36"/>
      <c r="V7671" s="37"/>
    </row>
    <row r="7672" spans="13:22" x14ac:dyDescent="0.2">
      <c r="M7672" s="40"/>
      <c r="N7672" s="15"/>
      <c r="O7672" s="15"/>
      <c r="P7672" s="15"/>
      <c r="Q7672" s="39"/>
      <c r="R7672" s="41"/>
      <c r="S7672" s="36"/>
      <c r="T7672" s="36"/>
      <c r="U7672" s="36"/>
      <c r="V7672" s="37"/>
    </row>
    <row r="7673" spans="13:22" x14ac:dyDescent="0.2">
      <c r="M7673" s="40"/>
      <c r="N7673" s="15"/>
      <c r="O7673" s="15"/>
      <c r="P7673" s="15"/>
      <c r="Q7673" s="39"/>
      <c r="R7673" s="41"/>
      <c r="S7673" s="36"/>
      <c r="T7673" s="36"/>
      <c r="U7673" s="36"/>
      <c r="V7673" s="37"/>
    </row>
    <row r="7674" spans="13:22" x14ac:dyDescent="0.2">
      <c r="M7674" s="40"/>
      <c r="N7674" s="15"/>
      <c r="O7674" s="15"/>
      <c r="P7674" s="15"/>
      <c r="Q7674" s="39"/>
      <c r="R7674" s="41"/>
      <c r="S7674" s="36"/>
      <c r="T7674" s="36"/>
      <c r="U7674" s="36"/>
      <c r="V7674" s="37"/>
    </row>
    <row r="7675" spans="13:22" x14ac:dyDescent="0.2">
      <c r="M7675" s="40"/>
      <c r="N7675" s="15"/>
      <c r="O7675" s="15"/>
      <c r="P7675" s="15"/>
      <c r="Q7675" s="39"/>
      <c r="R7675" s="41"/>
      <c r="S7675" s="36"/>
      <c r="T7675" s="36"/>
      <c r="U7675" s="36"/>
      <c r="V7675" s="37"/>
    </row>
    <row r="7676" spans="13:22" x14ac:dyDescent="0.2">
      <c r="M7676" s="40"/>
      <c r="N7676" s="15"/>
      <c r="O7676" s="15"/>
      <c r="P7676" s="15"/>
      <c r="Q7676" s="39"/>
      <c r="R7676" s="41"/>
      <c r="S7676" s="36"/>
      <c r="T7676" s="36"/>
      <c r="U7676" s="36"/>
      <c r="V7676" s="37"/>
    </row>
    <row r="7677" spans="13:22" x14ac:dyDescent="0.2">
      <c r="M7677" s="40"/>
      <c r="N7677" s="15"/>
      <c r="O7677" s="15"/>
      <c r="P7677" s="15"/>
      <c r="Q7677" s="39"/>
      <c r="R7677" s="41"/>
      <c r="S7677" s="36"/>
      <c r="T7677" s="36"/>
      <c r="U7677" s="36"/>
      <c r="V7677" s="37"/>
    </row>
    <row r="7678" spans="13:22" x14ac:dyDescent="0.2">
      <c r="M7678" s="40"/>
      <c r="N7678" s="15"/>
      <c r="O7678" s="15"/>
      <c r="P7678" s="15"/>
      <c r="Q7678" s="39"/>
      <c r="R7678" s="41"/>
      <c r="S7678" s="36"/>
      <c r="T7678" s="36"/>
      <c r="U7678" s="36"/>
      <c r="V7678" s="37"/>
    </row>
    <row r="7679" spans="13:22" x14ac:dyDescent="0.2">
      <c r="M7679" s="40"/>
      <c r="N7679" s="15"/>
      <c r="O7679" s="15"/>
      <c r="P7679" s="15"/>
      <c r="Q7679" s="39"/>
      <c r="R7679" s="41"/>
      <c r="S7679" s="36"/>
      <c r="T7679" s="36"/>
      <c r="U7679" s="36"/>
      <c r="V7679" s="37"/>
    </row>
    <row r="7680" spans="13:22" x14ac:dyDescent="0.2">
      <c r="M7680" s="40"/>
      <c r="N7680" s="15"/>
      <c r="O7680" s="15"/>
      <c r="P7680" s="15"/>
      <c r="Q7680" s="39"/>
      <c r="R7680" s="41"/>
      <c r="S7680" s="36"/>
      <c r="T7680" s="36"/>
      <c r="U7680" s="36"/>
      <c r="V7680" s="37"/>
    </row>
    <row r="7681" spans="13:22" ht="13.5" thickBot="1" x14ac:dyDescent="0.25">
      <c r="M7681" s="42"/>
      <c r="N7681" s="43"/>
      <c r="O7681" s="43"/>
      <c r="P7681" s="43"/>
      <c r="Q7681" s="44"/>
      <c r="R7681" s="41"/>
      <c r="S7681" s="46"/>
      <c r="T7681" s="46"/>
      <c r="U7681" s="46"/>
      <c r="V7681" s="47"/>
    </row>
    <row r="7682" spans="13:22" ht="13.5" thickBot="1" x14ac:dyDescent="0.25">
      <c r="M7682" s="48"/>
      <c r="N7682" s="49"/>
      <c r="O7682" s="49"/>
      <c r="P7682" s="49"/>
      <c r="Q7682" s="50"/>
      <c r="R7682" s="45"/>
      <c r="S7682" s="52"/>
      <c r="T7682" s="52"/>
      <c r="U7682" s="52"/>
      <c r="V7682" s="53"/>
    </row>
    <row r="7683" spans="13:22" x14ac:dyDescent="0.2">
      <c r="M7683" s="54"/>
      <c r="N7683" s="29"/>
      <c r="O7683" s="29"/>
      <c r="P7683" s="29"/>
      <c r="Q7683" s="34"/>
      <c r="R7683" s="51"/>
      <c r="S7683" s="36"/>
      <c r="T7683" s="36"/>
      <c r="U7683" s="36"/>
      <c r="V7683" s="37"/>
    </row>
    <row r="7684" spans="13:22" x14ac:dyDescent="0.2">
      <c r="M7684" s="33"/>
      <c r="N7684" s="29"/>
      <c r="O7684" s="29"/>
      <c r="P7684" s="29"/>
      <c r="Q7684" s="34"/>
      <c r="R7684" s="41"/>
      <c r="S7684" s="36"/>
      <c r="T7684" s="36"/>
      <c r="U7684" s="36"/>
      <c r="V7684" s="37"/>
    </row>
    <row r="7685" spans="13:22" x14ac:dyDescent="0.2">
      <c r="M7685" s="33"/>
      <c r="N7685" s="29"/>
      <c r="O7685" s="29"/>
      <c r="P7685" s="29"/>
      <c r="Q7685" s="34"/>
      <c r="R7685" s="35"/>
      <c r="S7685" s="36"/>
      <c r="T7685" s="36"/>
      <c r="U7685" s="36"/>
      <c r="V7685" s="37"/>
    </row>
    <row r="7686" spans="13:22" x14ac:dyDescent="0.2">
      <c r="M7686" s="33"/>
      <c r="N7686" s="29"/>
      <c r="O7686" s="29"/>
      <c r="P7686" s="29"/>
      <c r="Q7686" s="34"/>
      <c r="R7686" s="35"/>
      <c r="S7686" s="36"/>
      <c r="T7686" s="36"/>
      <c r="U7686" s="36"/>
      <c r="V7686" s="37"/>
    </row>
    <row r="7687" spans="13:22" x14ac:dyDescent="0.2">
      <c r="M7687" s="33"/>
      <c r="N7687" s="29"/>
      <c r="O7687" s="29"/>
      <c r="P7687" s="29"/>
      <c r="Q7687" s="34"/>
      <c r="R7687" s="35"/>
      <c r="S7687" s="36"/>
      <c r="T7687" s="36"/>
      <c r="U7687" s="36"/>
      <c r="V7687" s="37"/>
    </row>
    <row r="7688" spans="13:22" x14ac:dyDescent="0.2">
      <c r="M7688" s="33"/>
      <c r="N7688" s="29"/>
      <c r="O7688" s="29"/>
      <c r="P7688" s="29"/>
      <c r="Q7688" s="34"/>
      <c r="R7688" s="35"/>
      <c r="S7688" s="36"/>
      <c r="T7688" s="36"/>
      <c r="U7688" s="36"/>
      <c r="V7688" s="37"/>
    </row>
    <row r="7689" spans="13:22" x14ac:dyDescent="0.2">
      <c r="M7689" s="33"/>
      <c r="N7689" s="29"/>
      <c r="O7689" s="29"/>
      <c r="P7689" s="29"/>
      <c r="Q7689" s="38"/>
      <c r="R7689" s="35"/>
      <c r="S7689" s="36"/>
      <c r="T7689" s="36"/>
      <c r="U7689" s="36"/>
      <c r="V7689" s="37"/>
    </row>
    <row r="7690" spans="13:22" x14ac:dyDescent="0.2">
      <c r="M7690" s="33"/>
      <c r="N7690" s="29"/>
      <c r="O7690" s="29"/>
      <c r="P7690" s="29"/>
      <c r="Q7690" s="34"/>
      <c r="R7690" s="35"/>
      <c r="S7690" s="36"/>
      <c r="T7690" s="36"/>
      <c r="U7690" s="36"/>
      <c r="V7690" s="37"/>
    </row>
    <row r="7691" spans="13:22" x14ac:dyDescent="0.2">
      <c r="M7691" s="33"/>
      <c r="N7691" s="29"/>
      <c r="O7691" s="29"/>
      <c r="P7691" s="29"/>
      <c r="Q7691" s="34"/>
      <c r="R7691" s="35"/>
      <c r="S7691" s="36"/>
      <c r="T7691" s="36"/>
      <c r="U7691" s="36"/>
      <c r="V7691" s="37"/>
    </row>
    <row r="7692" spans="13:22" x14ac:dyDescent="0.2">
      <c r="M7692" s="33"/>
      <c r="N7692" s="29"/>
      <c r="O7692" s="29"/>
      <c r="P7692" s="29"/>
      <c r="Q7692" s="34"/>
      <c r="R7692" s="35"/>
      <c r="S7692" s="36"/>
      <c r="T7692" s="36"/>
      <c r="U7692" s="36"/>
      <c r="V7692" s="37"/>
    </row>
    <row r="7693" spans="13:22" x14ac:dyDescent="0.2">
      <c r="M7693" s="33"/>
      <c r="N7693" s="29"/>
      <c r="O7693" s="29"/>
      <c r="P7693" s="29"/>
      <c r="Q7693" s="34"/>
      <c r="R7693" s="35"/>
      <c r="S7693" s="36"/>
      <c r="T7693" s="36"/>
      <c r="U7693" s="36"/>
      <c r="V7693" s="37"/>
    </row>
    <row r="7694" spans="13:22" x14ac:dyDescent="0.2">
      <c r="M7694" s="26"/>
      <c r="N7694" s="15"/>
      <c r="O7694" s="15"/>
      <c r="P7694" s="15"/>
      <c r="Q7694" s="39"/>
      <c r="R7694" s="35"/>
      <c r="S7694" s="36"/>
      <c r="T7694" s="36"/>
      <c r="U7694" s="36"/>
      <c r="V7694" s="37"/>
    </row>
    <row r="7695" spans="13:22" x14ac:dyDescent="0.2">
      <c r="M7695" s="26"/>
      <c r="N7695" s="15"/>
      <c r="O7695" s="15"/>
      <c r="P7695" s="15"/>
      <c r="Q7695" s="39"/>
      <c r="R7695" s="35"/>
      <c r="S7695" s="36"/>
      <c r="T7695" s="36"/>
      <c r="U7695" s="36"/>
      <c r="V7695" s="37"/>
    </row>
    <row r="7696" spans="13:22" x14ac:dyDescent="0.2">
      <c r="M7696" s="40"/>
      <c r="N7696" s="15"/>
      <c r="O7696" s="15"/>
      <c r="P7696" s="15"/>
      <c r="Q7696" s="39"/>
      <c r="R7696" s="35"/>
      <c r="S7696" s="36"/>
      <c r="T7696" s="36"/>
      <c r="U7696" s="36"/>
      <c r="V7696" s="37"/>
    </row>
    <row r="7697" spans="13:22" x14ac:dyDescent="0.2">
      <c r="M7697" s="40"/>
      <c r="N7697" s="15"/>
      <c r="O7697" s="15"/>
      <c r="P7697" s="15"/>
      <c r="Q7697" s="39"/>
      <c r="R7697" s="41"/>
      <c r="S7697" s="36"/>
      <c r="T7697" s="36"/>
      <c r="U7697" s="36"/>
      <c r="V7697" s="37"/>
    </row>
    <row r="7698" spans="13:22" x14ac:dyDescent="0.2">
      <c r="M7698" s="40"/>
      <c r="N7698" s="15"/>
      <c r="O7698" s="15"/>
      <c r="P7698" s="15"/>
      <c r="Q7698" s="39"/>
      <c r="R7698" s="41"/>
      <c r="S7698" s="36"/>
      <c r="T7698" s="36"/>
      <c r="U7698" s="36"/>
      <c r="V7698" s="37"/>
    </row>
    <row r="7699" spans="13:22" x14ac:dyDescent="0.2">
      <c r="M7699" s="40"/>
      <c r="N7699" s="15"/>
      <c r="O7699" s="15"/>
      <c r="P7699" s="15"/>
      <c r="Q7699" s="39"/>
      <c r="R7699" s="41"/>
      <c r="S7699" s="36"/>
      <c r="T7699" s="36"/>
      <c r="U7699" s="36"/>
      <c r="V7699" s="37"/>
    </row>
    <row r="7700" spans="13:22" x14ac:dyDescent="0.2">
      <c r="M7700" s="40"/>
      <c r="N7700" s="15"/>
      <c r="O7700" s="15"/>
      <c r="P7700" s="15"/>
      <c r="Q7700" s="39"/>
      <c r="R7700" s="41"/>
      <c r="S7700" s="36"/>
      <c r="T7700" s="36"/>
      <c r="U7700" s="36"/>
      <c r="V7700" s="37"/>
    </row>
    <row r="7701" spans="13:22" x14ac:dyDescent="0.2">
      <c r="M7701" s="40"/>
      <c r="N7701" s="15"/>
      <c r="O7701" s="15"/>
      <c r="P7701" s="15"/>
      <c r="Q7701" s="39"/>
      <c r="R7701" s="41"/>
      <c r="S7701" s="36"/>
      <c r="T7701" s="36"/>
      <c r="U7701" s="36"/>
      <c r="V7701" s="37"/>
    </row>
    <row r="7702" spans="13:22" x14ac:dyDescent="0.2">
      <c r="M7702" s="40"/>
      <c r="N7702" s="15"/>
      <c r="O7702" s="15"/>
      <c r="P7702" s="15"/>
      <c r="Q7702" s="39"/>
      <c r="R7702" s="41"/>
      <c r="S7702" s="36"/>
      <c r="T7702" s="36"/>
      <c r="U7702" s="36"/>
      <c r="V7702" s="37"/>
    </row>
    <row r="7703" spans="13:22" x14ac:dyDescent="0.2">
      <c r="M7703" s="40"/>
      <c r="N7703" s="15"/>
      <c r="O7703" s="15"/>
      <c r="P7703" s="15"/>
      <c r="Q7703" s="39"/>
      <c r="R7703" s="41"/>
      <c r="S7703" s="36"/>
      <c r="T7703" s="36"/>
      <c r="U7703" s="36"/>
      <c r="V7703" s="37"/>
    </row>
    <row r="7704" spans="13:22" x14ac:dyDescent="0.2">
      <c r="M7704" s="40"/>
      <c r="N7704" s="15"/>
      <c r="O7704" s="15"/>
      <c r="P7704" s="15"/>
      <c r="Q7704" s="39"/>
      <c r="R7704" s="41"/>
      <c r="S7704" s="36"/>
      <c r="T7704" s="36"/>
      <c r="U7704" s="36"/>
      <c r="V7704" s="37"/>
    </row>
    <row r="7705" spans="13:22" x14ac:dyDescent="0.2">
      <c r="M7705" s="40"/>
      <c r="N7705" s="15"/>
      <c r="O7705" s="15"/>
      <c r="P7705" s="15"/>
      <c r="Q7705" s="39"/>
      <c r="R7705" s="41"/>
      <c r="S7705" s="36"/>
      <c r="T7705" s="36"/>
      <c r="U7705" s="36"/>
      <c r="V7705" s="37"/>
    </row>
    <row r="7706" spans="13:22" ht="13.5" thickBot="1" x14ac:dyDescent="0.25">
      <c r="M7706" s="42"/>
      <c r="N7706" s="43"/>
      <c r="O7706" s="43"/>
      <c r="P7706" s="43"/>
      <c r="Q7706" s="44"/>
      <c r="R7706" s="41"/>
      <c r="S7706" s="46"/>
      <c r="T7706" s="46"/>
      <c r="U7706" s="46"/>
      <c r="V7706" s="47"/>
    </row>
    <row r="7707" spans="13:22" ht="13.5" thickBot="1" x14ac:dyDescent="0.25">
      <c r="M7707" s="48"/>
      <c r="N7707" s="49"/>
      <c r="O7707" s="49"/>
      <c r="P7707" s="49"/>
      <c r="Q7707" s="50"/>
      <c r="R7707" s="45"/>
      <c r="S7707" s="52"/>
      <c r="T7707" s="52"/>
      <c r="U7707" s="52"/>
      <c r="V7707" s="53"/>
    </row>
    <row r="7708" spans="13:22" x14ac:dyDescent="0.2">
      <c r="M7708" s="54"/>
      <c r="N7708" s="29"/>
      <c r="O7708" s="29"/>
      <c r="P7708" s="29"/>
      <c r="Q7708" s="34"/>
      <c r="R7708" s="51"/>
      <c r="S7708" s="36"/>
      <c r="T7708" s="36"/>
      <c r="U7708" s="36"/>
      <c r="V7708" s="37"/>
    </row>
    <row r="7709" spans="13:22" x14ac:dyDescent="0.2">
      <c r="M7709" s="33"/>
      <c r="N7709" s="29"/>
      <c r="O7709" s="29"/>
      <c r="P7709" s="29"/>
      <c r="Q7709" s="34"/>
      <c r="R7709" s="41"/>
      <c r="S7709" s="36"/>
      <c r="T7709" s="36"/>
      <c r="U7709" s="36"/>
      <c r="V7709" s="37"/>
    </row>
    <row r="7710" spans="13:22" x14ac:dyDescent="0.2">
      <c r="M7710" s="33"/>
      <c r="N7710" s="29"/>
      <c r="O7710" s="29"/>
      <c r="P7710" s="29"/>
      <c r="Q7710" s="34"/>
      <c r="R7710" s="35"/>
      <c r="S7710" s="36"/>
      <c r="T7710" s="36"/>
      <c r="U7710" s="36"/>
      <c r="V7710" s="37"/>
    </row>
    <row r="7711" spans="13:22" x14ac:dyDescent="0.2">
      <c r="M7711" s="33"/>
      <c r="N7711" s="29"/>
      <c r="O7711" s="29"/>
      <c r="P7711" s="29"/>
      <c r="Q7711" s="34"/>
      <c r="R7711" s="35"/>
      <c r="S7711" s="36"/>
      <c r="T7711" s="36"/>
      <c r="U7711" s="36"/>
      <c r="V7711" s="37"/>
    </row>
    <row r="7712" spans="13:22" x14ac:dyDescent="0.2">
      <c r="M7712" s="33"/>
      <c r="N7712" s="29"/>
      <c r="O7712" s="29"/>
      <c r="P7712" s="29"/>
      <c r="Q7712" s="34"/>
      <c r="R7712" s="35"/>
      <c r="S7712" s="36"/>
      <c r="T7712" s="36"/>
      <c r="U7712" s="36"/>
      <c r="V7712" s="37"/>
    </row>
    <row r="7713" spans="13:22" x14ac:dyDescent="0.2">
      <c r="M7713" s="33"/>
      <c r="N7713" s="29"/>
      <c r="O7713" s="29"/>
      <c r="P7713" s="29"/>
      <c r="Q7713" s="34"/>
      <c r="R7713" s="35"/>
      <c r="S7713" s="36"/>
      <c r="T7713" s="36"/>
      <c r="U7713" s="36"/>
      <c r="V7713" s="37"/>
    </row>
    <row r="7714" spans="13:22" x14ac:dyDescent="0.2">
      <c r="M7714" s="33"/>
      <c r="N7714" s="29"/>
      <c r="O7714" s="29"/>
      <c r="P7714" s="29"/>
      <c r="Q7714" s="38"/>
      <c r="R7714" s="35"/>
      <c r="S7714" s="36"/>
      <c r="T7714" s="36"/>
      <c r="U7714" s="36"/>
      <c r="V7714" s="37"/>
    </row>
    <row r="7715" spans="13:22" x14ac:dyDescent="0.2">
      <c r="M7715" s="33"/>
      <c r="N7715" s="29"/>
      <c r="O7715" s="29"/>
      <c r="P7715" s="29"/>
      <c r="Q7715" s="34"/>
      <c r="R7715" s="35"/>
      <c r="S7715" s="36"/>
      <c r="T7715" s="36"/>
      <c r="U7715" s="36"/>
      <c r="V7715" s="37"/>
    </row>
    <row r="7716" spans="13:22" x14ac:dyDescent="0.2">
      <c r="M7716" s="33"/>
      <c r="N7716" s="29"/>
      <c r="O7716" s="29"/>
      <c r="P7716" s="29"/>
      <c r="Q7716" s="34"/>
      <c r="R7716" s="35"/>
      <c r="S7716" s="36"/>
      <c r="T7716" s="36"/>
      <c r="U7716" s="36"/>
      <c r="V7716" s="37"/>
    </row>
    <row r="7717" spans="13:22" x14ac:dyDescent="0.2">
      <c r="M7717" s="33"/>
      <c r="N7717" s="29"/>
      <c r="O7717" s="29"/>
      <c r="P7717" s="29"/>
      <c r="Q7717" s="34"/>
      <c r="R7717" s="35"/>
      <c r="S7717" s="36"/>
      <c r="T7717" s="36"/>
      <c r="U7717" s="36"/>
      <c r="V7717" s="37"/>
    </row>
    <row r="7718" spans="13:22" x14ac:dyDescent="0.2">
      <c r="M7718" s="33"/>
      <c r="N7718" s="29"/>
      <c r="O7718" s="29"/>
      <c r="P7718" s="29"/>
      <c r="Q7718" s="34"/>
      <c r="R7718" s="35"/>
      <c r="S7718" s="36"/>
      <c r="T7718" s="36"/>
      <c r="U7718" s="36"/>
      <c r="V7718" s="37"/>
    </row>
    <row r="7719" spans="13:22" x14ac:dyDescent="0.2">
      <c r="M7719" s="26"/>
      <c r="N7719" s="15"/>
      <c r="O7719" s="15"/>
      <c r="P7719" s="15"/>
      <c r="Q7719" s="39"/>
      <c r="R7719" s="35"/>
      <c r="S7719" s="36"/>
      <c r="T7719" s="36"/>
      <c r="U7719" s="36"/>
      <c r="V7719" s="37"/>
    </row>
    <row r="7720" spans="13:22" x14ac:dyDescent="0.2">
      <c r="M7720" s="26"/>
      <c r="N7720" s="15"/>
      <c r="O7720" s="15"/>
      <c r="P7720" s="15"/>
      <c r="Q7720" s="39"/>
      <c r="R7720" s="35"/>
      <c r="S7720" s="36"/>
      <c r="T7720" s="36"/>
      <c r="U7720" s="36"/>
      <c r="V7720" s="37"/>
    </row>
    <row r="7721" spans="13:22" x14ac:dyDescent="0.2">
      <c r="M7721" s="40"/>
      <c r="N7721" s="15"/>
      <c r="O7721" s="15"/>
      <c r="P7721" s="15"/>
      <c r="Q7721" s="39"/>
      <c r="R7721" s="35"/>
      <c r="S7721" s="36"/>
      <c r="T7721" s="36"/>
      <c r="U7721" s="36"/>
      <c r="V7721" s="37"/>
    </row>
    <row r="7722" spans="13:22" x14ac:dyDescent="0.2">
      <c r="M7722" s="40"/>
      <c r="N7722" s="15"/>
      <c r="O7722" s="15"/>
      <c r="P7722" s="15"/>
      <c r="Q7722" s="39"/>
      <c r="R7722" s="41"/>
      <c r="S7722" s="36"/>
      <c r="T7722" s="36"/>
      <c r="U7722" s="36"/>
      <c r="V7722" s="37"/>
    </row>
    <row r="7723" spans="13:22" x14ac:dyDescent="0.2">
      <c r="M7723" s="40"/>
      <c r="N7723" s="15"/>
      <c r="O7723" s="15"/>
      <c r="P7723" s="15"/>
      <c r="Q7723" s="39"/>
      <c r="R7723" s="41"/>
      <c r="S7723" s="36"/>
      <c r="T7723" s="36"/>
      <c r="U7723" s="36"/>
      <c r="V7723" s="37"/>
    </row>
    <row r="7724" spans="13:22" x14ac:dyDescent="0.2">
      <c r="M7724" s="40"/>
      <c r="N7724" s="15"/>
      <c r="O7724" s="15"/>
      <c r="P7724" s="15"/>
      <c r="Q7724" s="39"/>
      <c r="R7724" s="41"/>
      <c r="S7724" s="36"/>
      <c r="T7724" s="36"/>
      <c r="U7724" s="36"/>
      <c r="V7724" s="37"/>
    </row>
    <row r="7725" spans="13:22" x14ac:dyDescent="0.2">
      <c r="M7725" s="40"/>
      <c r="N7725" s="15"/>
      <c r="O7725" s="15"/>
      <c r="P7725" s="15"/>
      <c r="Q7725" s="39"/>
      <c r="R7725" s="41"/>
      <c r="S7725" s="36"/>
      <c r="T7725" s="36"/>
      <c r="U7725" s="36"/>
      <c r="V7725" s="37"/>
    </row>
    <row r="7726" spans="13:22" x14ac:dyDescent="0.2">
      <c r="M7726" s="40"/>
      <c r="N7726" s="15"/>
      <c r="O7726" s="15"/>
      <c r="P7726" s="15"/>
      <c r="Q7726" s="39"/>
      <c r="R7726" s="41"/>
      <c r="S7726" s="36"/>
      <c r="T7726" s="36"/>
      <c r="U7726" s="36"/>
      <c r="V7726" s="37"/>
    </row>
    <row r="7727" spans="13:22" x14ac:dyDescent="0.2">
      <c r="M7727" s="40"/>
      <c r="N7727" s="15"/>
      <c r="O7727" s="15"/>
      <c r="P7727" s="15"/>
      <c r="Q7727" s="39"/>
      <c r="R7727" s="41"/>
      <c r="S7727" s="36"/>
      <c r="T7727" s="36"/>
      <c r="U7727" s="36"/>
      <c r="V7727" s="37"/>
    </row>
    <row r="7728" spans="13:22" x14ac:dyDescent="0.2">
      <c r="M7728" s="40"/>
      <c r="N7728" s="15"/>
      <c r="O7728" s="15"/>
      <c r="P7728" s="15"/>
      <c r="Q7728" s="39"/>
      <c r="R7728" s="41"/>
      <c r="S7728" s="36"/>
      <c r="T7728" s="36"/>
      <c r="U7728" s="36"/>
      <c r="V7728" s="37"/>
    </row>
    <row r="7729" spans="13:22" x14ac:dyDescent="0.2">
      <c r="M7729" s="40"/>
      <c r="N7729" s="15"/>
      <c r="O7729" s="15"/>
      <c r="P7729" s="15"/>
      <c r="Q7729" s="39"/>
      <c r="R7729" s="41"/>
      <c r="S7729" s="36"/>
      <c r="T7729" s="36"/>
      <c r="U7729" s="36"/>
      <c r="V7729" s="37"/>
    </row>
    <row r="7730" spans="13:22" x14ac:dyDescent="0.2">
      <c r="M7730" s="40"/>
      <c r="N7730" s="15"/>
      <c r="O7730" s="15"/>
      <c r="P7730" s="15"/>
      <c r="Q7730" s="39"/>
      <c r="R7730" s="41"/>
      <c r="S7730" s="36"/>
      <c r="T7730" s="36"/>
      <c r="U7730" s="36"/>
      <c r="V7730" s="37"/>
    </row>
    <row r="7731" spans="13:22" ht="13.5" thickBot="1" x14ac:dyDescent="0.25">
      <c r="M7731" s="42"/>
      <c r="N7731" s="43"/>
      <c r="O7731" s="43"/>
      <c r="P7731" s="43"/>
      <c r="Q7731" s="44"/>
      <c r="R7731" s="41"/>
      <c r="S7731" s="46"/>
      <c r="T7731" s="46"/>
      <c r="U7731" s="46"/>
      <c r="V7731" s="47"/>
    </row>
    <row r="7732" spans="13:22" ht="13.5" thickBot="1" x14ac:dyDescent="0.25">
      <c r="M7732" s="48"/>
      <c r="N7732" s="49"/>
      <c r="O7732" s="49"/>
      <c r="P7732" s="49"/>
      <c r="Q7732" s="50"/>
      <c r="R7732" s="45"/>
      <c r="S7732" s="52"/>
      <c r="T7732" s="52"/>
      <c r="U7732" s="52"/>
      <c r="V7732" s="53"/>
    </row>
    <row r="7733" spans="13:22" x14ac:dyDescent="0.2">
      <c r="M7733" s="54"/>
      <c r="N7733" s="29"/>
      <c r="O7733" s="29"/>
      <c r="P7733" s="29"/>
      <c r="Q7733" s="34"/>
      <c r="R7733" s="51"/>
      <c r="S7733" s="36"/>
      <c r="T7733" s="36"/>
      <c r="U7733" s="36"/>
      <c r="V7733" s="37"/>
    </row>
    <row r="7734" spans="13:22" x14ac:dyDescent="0.2">
      <c r="M7734" s="33"/>
      <c r="N7734" s="29"/>
      <c r="O7734" s="29"/>
      <c r="P7734" s="29"/>
      <c r="Q7734" s="34"/>
      <c r="R7734" s="41"/>
      <c r="S7734" s="36"/>
      <c r="T7734" s="36"/>
      <c r="U7734" s="36"/>
      <c r="V7734" s="37"/>
    </row>
    <row r="7735" spans="13:22" x14ac:dyDescent="0.2">
      <c r="M7735" s="33"/>
      <c r="N7735" s="29"/>
      <c r="O7735" s="29"/>
      <c r="P7735" s="29"/>
      <c r="Q7735" s="34"/>
      <c r="R7735" s="35"/>
      <c r="S7735" s="36"/>
      <c r="T7735" s="36"/>
      <c r="U7735" s="36"/>
      <c r="V7735" s="37"/>
    </row>
    <row r="7736" spans="13:22" x14ac:dyDescent="0.2">
      <c r="M7736" s="33"/>
      <c r="N7736" s="29"/>
      <c r="O7736" s="29"/>
      <c r="P7736" s="29"/>
      <c r="Q7736" s="34"/>
      <c r="R7736" s="35"/>
      <c r="S7736" s="36"/>
      <c r="T7736" s="36"/>
      <c r="U7736" s="36"/>
      <c r="V7736" s="37"/>
    </row>
    <row r="7737" spans="13:22" x14ac:dyDescent="0.2">
      <c r="M7737" s="33"/>
      <c r="N7737" s="29"/>
      <c r="O7737" s="29"/>
      <c r="P7737" s="29"/>
      <c r="Q7737" s="34"/>
      <c r="R7737" s="35"/>
      <c r="S7737" s="36"/>
      <c r="T7737" s="36"/>
      <c r="U7737" s="36"/>
      <c r="V7737" s="37"/>
    </row>
    <row r="7738" spans="13:22" x14ac:dyDescent="0.2">
      <c r="M7738" s="33"/>
      <c r="N7738" s="29"/>
      <c r="O7738" s="29"/>
      <c r="P7738" s="29"/>
      <c r="Q7738" s="34"/>
      <c r="R7738" s="35"/>
      <c r="S7738" s="36"/>
      <c r="T7738" s="36"/>
      <c r="U7738" s="36"/>
      <c r="V7738" s="37"/>
    </row>
    <row r="7739" spans="13:22" x14ac:dyDescent="0.2">
      <c r="M7739" s="33"/>
      <c r="N7739" s="29"/>
      <c r="O7739" s="29"/>
      <c r="P7739" s="29"/>
      <c r="Q7739" s="38"/>
      <c r="R7739" s="35"/>
      <c r="S7739" s="36"/>
      <c r="T7739" s="36"/>
      <c r="U7739" s="36"/>
      <c r="V7739" s="37"/>
    </row>
    <row r="7740" spans="13:22" x14ac:dyDescent="0.2">
      <c r="M7740" s="33"/>
      <c r="N7740" s="29"/>
      <c r="O7740" s="29"/>
      <c r="P7740" s="29"/>
      <c r="Q7740" s="34"/>
      <c r="R7740" s="35"/>
      <c r="S7740" s="36"/>
      <c r="T7740" s="36"/>
      <c r="U7740" s="36"/>
      <c r="V7740" s="37"/>
    </row>
    <row r="7741" spans="13:22" x14ac:dyDescent="0.2">
      <c r="M7741" s="33"/>
      <c r="N7741" s="29"/>
      <c r="O7741" s="29"/>
      <c r="P7741" s="29"/>
      <c r="Q7741" s="34"/>
      <c r="R7741" s="35"/>
      <c r="S7741" s="36"/>
      <c r="T7741" s="36"/>
      <c r="U7741" s="36"/>
      <c r="V7741" s="37"/>
    </row>
    <row r="7742" spans="13:22" x14ac:dyDescent="0.2">
      <c r="M7742" s="33"/>
      <c r="N7742" s="29"/>
      <c r="O7742" s="29"/>
      <c r="P7742" s="29"/>
      <c r="Q7742" s="34"/>
      <c r="R7742" s="35"/>
      <c r="S7742" s="36"/>
      <c r="T7742" s="36"/>
      <c r="U7742" s="36"/>
      <c r="V7742" s="37"/>
    </row>
    <row r="7743" spans="13:22" x14ac:dyDescent="0.2">
      <c r="M7743" s="33"/>
      <c r="N7743" s="29"/>
      <c r="O7743" s="29"/>
      <c r="P7743" s="29"/>
      <c r="Q7743" s="34"/>
      <c r="R7743" s="35"/>
      <c r="S7743" s="36"/>
      <c r="T7743" s="36"/>
      <c r="U7743" s="36"/>
      <c r="V7743" s="37"/>
    </row>
    <row r="7744" spans="13:22" x14ac:dyDescent="0.2">
      <c r="M7744" s="26"/>
      <c r="N7744" s="15"/>
      <c r="O7744" s="15"/>
      <c r="P7744" s="15"/>
      <c r="Q7744" s="39"/>
      <c r="R7744" s="35"/>
      <c r="S7744" s="36"/>
      <c r="T7744" s="36"/>
      <c r="U7744" s="36"/>
      <c r="V7744" s="37"/>
    </row>
    <row r="7745" spans="13:22" x14ac:dyDescent="0.2">
      <c r="M7745" s="26"/>
      <c r="N7745" s="15"/>
      <c r="O7745" s="15"/>
      <c r="P7745" s="15"/>
      <c r="Q7745" s="39"/>
      <c r="R7745" s="35"/>
      <c r="S7745" s="36"/>
      <c r="T7745" s="36"/>
      <c r="U7745" s="36"/>
      <c r="V7745" s="37"/>
    </row>
    <row r="7746" spans="13:22" x14ac:dyDescent="0.2">
      <c r="M7746" s="40"/>
      <c r="N7746" s="15"/>
      <c r="O7746" s="15"/>
      <c r="P7746" s="15"/>
      <c r="Q7746" s="39"/>
      <c r="R7746" s="35"/>
      <c r="S7746" s="36"/>
      <c r="T7746" s="36"/>
      <c r="U7746" s="36"/>
      <c r="V7746" s="37"/>
    </row>
    <row r="7747" spans="13:22" x14ac:dyDescent="0.2">
      <c r="M7747" s="40"/>
      <c r="N7747" s="15"/>
      <c r="O7747" s="15"/>
      <c r="P7747" s="15"/>
      <c r="Q7747" s="39"/>
      <c r="R7747" s="41"/>
      <c r="S7747" s="36"/>
      <c r="T7747" s="36"/>
      <c r="U7747" s="36"/>
      <c r="V7747" s="37"/>
    </row>
    <row r="7748" spans="13:22" x14ac:dyDescent="0.2">
      <c r="M7748" s="40"/>
      <c r="N7748" s="15"/>
      <c r="O7748" s="15"/>
      <c r="P7748" s="15"/>
      <c r="Q7748" s="39"/>
      <c r="R7748" s="41"/>
      <c r="S7748" s="36"/>
      <c r="T7748" s="36"/>
      <c r="U7748" s="36"/>
      <c r="V7748" s="37"/>
    </row>
    <row r="7749" spans="13:22" x14ac:dyDescent="0.2">
      <c r="M7749" s="40"/>
      <c r="N7749" s="15"/>
      <c r="O7749" s="15"/>
      <c r="P7749" s="15"/>
      <c r="Q7749" s="39"/>
      <c r="R7749" s="41"/>
      <c r="S7749" s="36"/>
      <c r="T7749" s="36"/>
      <c r="U7749" s="36"/>
      <c r="V7749" s="37"/>
    </row>
    <row r="7750" spans="13:22" x14ac:dyDescent="0.2">
      <c r="M7750" s="40"/>
      <c r="N7750" s="15"/>
      <c r="O7750" s="15"/>
      <c r="P7750" s="15"/>
      <c r="Q7750" s="39"/>
      <c r="R7750" s="41"/>
      <c r="S7750" s="36"/>
      <c r="T7750" s="36"/>
      <c r="U7750" s="36"/>
      <c r="V7750" s="37"/>
    </row>
    <row r="7751" spans="13:22" x14ac:dyDescent="0.2">
      <c r="M7751" s="40"/>
      <c r="N7751" s="15"/>
      <c r="O7751" s="15"/>
      <c r="P7751" s="15"/>
      <c r="Q7751" s="39"/>
      <c r="R7751" s="41"/>
      <c r="S7751" s="36"/>
      <c r="T7751" s="36"/>
      <c r="U7751" s="36"/>
      <c r="V7751" s="37"/>
    </row>
    <row r="7752" spans="13:22" x14ac:dyDescent="0.2">
      <c r="M7752" s="40"/>
      <c r="N7752" s="15"/>
      <c r="O7752" s="15"/>
      <c r="P7752" s="15"/>
      <c r="Q7752" s="39"/>
      <c r="R7752" s="41"/>
      <c r="S7752" s="36"/>
      <c r="T7752" s="36"/>
      <c r="U7752" s="36"/>
      <c r="V7752" s="37"/>
    </row>
    <row r="7753" spans="13:22" x14ac:dyDescent="0.2">
      <c r="M7753" s="40"/>
      <c r="N7753" s="15"/>
      <c r="O7753" s="15"/>
      <c r="P7753" s="15"/>
      <c r="Q7753" s="39"/>
      <c r="R7753" s="41"/>
      <c r="S7753" s="36"/>
      <c r="T7753" s="36"/>
      <c r="U7753" s="36"/>
      <c r="V7753" s="37"/>
    </row>
    <row r="7754" spans="13:22" x14ac:dyDescent="0.2">
      <c r="M7754" s="40"/>
      <c r="N7754" s="15"/>
      <c r="O7754" s="15"/>
      <c r="P7754" s="15"/>
      <c r="Q7754" s="39"/>
      <c r="R7754" s="41"/>
      <c r="S7754" s="36"/>
      <c r="T7754" s="36"/>
      <c r="U7754" s="36"/>
      <c r="V7754" s="37"/>
    </row>
    <row r="7755" spans="13:22" x14ac:dyDescent="0.2">
      <c r="M7755" s="40"/>
      <c r="N7755" s="15"/>
      <c r="O7755" s="15"/>
      <c r="P7755" s="15"/>
      <c r="Q7755" s="39"/>
      <c r="R7755" s="41"/>
      <c r="S7755" s="36"/>
      <c r="T7755" s="36"/>
      <c r="U7755" s="36"/>
      <c r="V7755" s="37"/>
    </row>
    <row r="7756" spans="13:22" ht="13.5" thickBot="1" x14ac:dyDescent="0.25">
      <c r="M7756" s="42"/>
      <c r="N7756" s="43"/>
      <c r="O7756" s="43"/>
      <c r="P7756" s="43"/>
      <c r="Q7756" s="44"/>
      <c r="R7756" s="41"/>
      <c r="S7756" s="46"/>
      <c r="T7756" s="46"/>
      <c r="U7756" s="46"/>
      <c r="V7756" s="47"/>
    </row>
    <row r="7757" spans="13:22" ht="13.5" thickBot="1" x14ac:dyDescent="0.25">
      <c r="M7757" s="48"/>
      <c r="N7757" s="49"/>
      <c r="O7757" s="49"/>
      <c r="P7757" s="49"/>
      <c r="Q7757" s="50"/>
      <c r="R7757" s="45"/>
      <c r="S7757" s="52"/>
      <c r="T7757" s="52"/>
      <c r="U7757" s="52"/>
      <c r="V7757" s="53"/>
    </row>
    <row r="7758" spans="13:22" x14ac:dyDescent="0.2">
      <c r="M7758" s="54"/>
      <c r="N7758" s="29"/>
      <c r="O7758" s="29"/>
      <c r="P7758" s="29"/>
      <c r="Q7758" s="34"/>
      <c r="R7758" s="51"/>
      <c r="S7758" s="36"/>
      <c r="T7758" s="36"/>
      <c r="U7758" s="36"/>
      <c r="V7758" s="37"/>
    </row>
    <row r="7759" spans="13:22" x14ac:dyDescent="0.2">
      <c r="M7759" s="33"/>
      <c r="N7759" s="29"/>
      <c r="O7759" s="29"/>
      <c r="P7759" s="29"/>
      <c r="Q7759" s="34"/>
      <c r="R7759" s="41"/>
      <c r="S7759" s="36"/>
      <c r="T7759" s="36"/>
      <c r="U7759" s="36"/>
      <c r="V7759" s="37"/>
    </row>
    <row r="7760" spans="13:22" x14ac:dyDescent="0.2">
      <c r="M7760" s="33"/>
      <c r="N7760" s="29"/>
      <c r="O7760" s="29"/>
      <c r="P7760" s="29"/>
      <c r="Q7760" s="34"/>
      <c r="R7760" s="35"/>
      <c r="S7760" s="36"/>
      <c r="T7760" s="36"/>
      <c r="U7760" s="36"/>
      <c r="V7760" s="37"/>
    </row>
    <row r="7761" spans="13:22" x14ac:dyDescent="0.2">
      <c r="M7761" s="33"/>
      <c r="N7761" s="29"/>
      <c r="O7761" s="29"/>
      <c r="P7761" s="29"/>
      <c r="Q7761" s="34"/>
      <c r="R7761" s="35"/>
      <c r="S7761" s="36"/>
      <c r="T7761" s="36"/>
      <c r="U7761" s="36"/>
      <c r="V7761" s="37"/>
    </row>
    <row r="7762" spans="13:22" x14ac:dyDescent="0.2">
      <c r="M7762" s="33"/>
      <c r="N7762" s="29"/>
      <c r="O7762" s="29"/>
      <c r="P7762" s="29"/>
      <c r="Q7762" s="34"/>
      <c r="R7762" s="35"/>
      <c r="S7762" s="36"/>
      <c r="T7762" s="36"/>
      <c r="U7762" s="36"/>
      <c r="V7762" s="37"/>
    </row>
    <row r="7763" spans="13:22" x14ac:dyDescent="0.2">
      <c r="M7763" s="33"/>
      <c r="N7763" s="29"/>
      <c r="O7763" s="29"/>
      <c r="P7763" s="29"/>
      <c r="Q7763" s="34"/>
      <c r="R7763" s="35"/>
      <c r="S7763" s="36"/>
      <c r="T7763" s="36"/>
      <c r="U7763" s="36"/>
      <c r="V7763" s="37"/>
    </row>
    <row r="7764" spans="13:22" x14ac:dyDescent="0.2">
      <c r="M7764" s="33"/>
      <c r="N7764" s="29"/>
      <c r="O7764" s="29"/>
      <c r="P7764" s="29"/>
      <c r="Q7764" s="38"/>
      <c r="R7764" s="35"/>
      <c r="S7764" s="36"/>
      <c r="T7764" s="36"/>
      <c r="U7764" s="36"/>
      <c r="V7764" s="37"/>
    </row>
    <row r="7765" spans="13:22" x14ac:dyDescent="0.2">
      <c r="M7765" s="33"/>
      <c r="N7765" s="29"/>
      <c r="O7765" s="29"/>
      <c r="P7765" s="29"/>
      <c r="Q7765" s="34"/>
      <c r="R7765" s="35"/>
      <c r="S7765" s="36"/>
      <c r="T7765" s="36"/>
      <c r="U7765" s="36"/>
      <c r="V7765" s="37"/>
    </row>
    <row r="7766" spans="13:22" x14ac:dyDescent="0.2">
      <c r="M7766" s="33"/>
      <c r="N7766" s="29"/>
      <c r="O7766" s="29"/>
      <c r="P7766" s="29"/>
      <c r="Q7766" s="34"/>
      <c r="R7766" s="35"/>
      <c r="S7766" s="36"/>
      <c r="T7766" s="36"/>
      <c r="U7766" s="36"/>
      <c r="V7766" s="37"/>
    </row>
    <row r="7767" spans="13:22" x14ac:dyDescent="0.2">
      <c r="M7767" s="33"/>
      <c r="N7767" s="29"/>
      <c r="O7767" s="29"/>
      <c r="P7767" s="29"/>
      <c r="Q7767" s="34"/>
      <c r="R7767" s="35"/>
      <c r="S7767" s="36"/>
      <c r="T7767" s="36"/>
      <c r="U7767" s="36"/>
      <c r="V7767" s="37"/>
    </row>
    <row r="7768" spans="13:22" x14ac:dyDescent="0.2">
      <c r="M7768" s="33"/>
      <c r="N7768" s="29"/>
      <c r="O7768" s="29"/>
      <c r="P7768" s="29"/>
      <c r="Q7768" s="34"/>
      <c r="R7768" s="35"/>
      <c r="S7768" s="36"/>
      <c r="T7768" s="36"/>
      <c r="U7768" s="36"/>
      <c r="V7768" s="37"/>
    </row>
    <row r="7769" spans="13:22" x14ac:dyDescent="0.2">
      <c r="M7769" s="26"/>
      <c r="N7769" s="15"/>
      <c r="O7769" s="15"/>
      <c r="P7769" s="15"/>
      <c r="Q7769" s="39"/>
      <c r="R7769" s="35"/>
      <c r="S7769" s="36"/>
      <c r="T7769" s="36"/>
      <c r="U7769" s="36"/>
      <c r="V7769" s="37"/>
    </row>
    <row r="7770" spans="13:22" x14ac:dyDescent="0.2">
      <c r="M7770" s="26"/>
      <c r="N7770" s="15"/>
      <c r="O7770" s="15"/>
      <c r="P7770" s="15"/>
      <c r="Q7770" s="39"/>
      <c r="R7770" s="35"/>
      <c r="S7770" s="36"/>
      <c r="T7770" s="36"/>
      <c r="U7770" s="36"/>
      <c r="V7770" s="37"/>
    </row>
    <row r="7771" spans="13:22" x14ac:dyDescent="0.2">
      <c r="M7771" s="40"/>
      <c r="N7771" s="15"/>
      <c r="O7771" s="15"/>
      <c r="P7771" s="15"/>
      <c r="Q7771" s="39"/>
      <c r="R7771" s="35"/>
      <c r="S7771" s="36"/>
      <c r="T7771" s="36"/>
      <c r="U7771" s="36"/>
      <c r="V7771" s="37"/>
    </row>
    <row r="7772" spans="13:22" x14ac:dyDescent="0.2">
      <c r="M7772" s="40"/>
      <c r="N7772" s="15"/>
      <c r="O7772" s="15"/>
      <c r="P7772" s="15"/>
      <c r="Q7772" s="39"/>
      <c r="R7772" s="41"/>
      <c r="S7772" s="36"/>
      <c r="T7772" s="36"/>
      <c r="U7772" s="36"/>
      <c r="V7772" s="37"/>
    </row>
    <row r="7773" spans="13:22" x14ac:dyDescent="0.2">
      <c r="M7773" s="40"/>
      <c r="N7773" s="15"/>
      <c r="O7773" s="15"/>
      <c r="P7773" s="15"/>
      <c r="Q7773" s="39"/>
      <c r="R7773" s="41"/>
      <c r="S7773" s="36"/>
      <c r="T7773" s="36"/>
      <c r="U7773" s="36"/>
      <c r="V7773" s="37"/>
    </row>
    <row r="7774" spans="13:22" x14ac:dyDescent="0.2">
      <c r="M7774" s="40"/>
      <c r="N7774" s="15"/>
      <c r="O7774" s="15"/>
      <c r="P7774" s="15"/>
      <c r="Q7774" s="39"/>
      <c r="R7774" s="41"/>
      <c r="S7774" s="36"/>
      <c r="T7774" s="36"/>
      <c r="U7774" s="36"/>
      <c r="V7774" s="37"/>
    </row>
    <row r="7775" spans="13:22" x14ac:dyDescent="0.2">
      <c r="M7775" s="40"/>
      <c r="N7775" s="15"/>
      <c r="O7775" s="15"/>
      <c r="P7775" s="15"/>
      <c r="Q7775" s="39"/>
      <c r="R7775" s="41"/>
      <c r="S7775" s="36"/>
      <c r="T7775" s="36"/>
      <c r="U7775" s="36"/>
      <c r="V7775" s="37"/>
    </row>
    <row r="7776" spans="13:22" x14ac:dyDescent="0.2">
      <c r="M7776" s="40"/>
      <c r="N7776" s="15"/>
      <c r="O7776" s="15"/>
      <c r="P7776" s="15"/>
      <c r="Q7776" s="39"/>
      <c r="R7776" s="41"/>
      <c r="S7776" s="36"/>
      <c r="T7776" s="36"/>
      <c r="U7776" s="36"/>
      <c r="V7776" s="37"/>
    </row>
    <row r="7777" spans="13:22" x14ac:dyDescent="0.2">
      <c r="M7777" s="40"/>
      <c r="N7777" s="15"/>
      <c r="O7777" s="15"/>
      <c r="P7777" s="15"/>
      <c r="Q7777" s="39"/>
      <c r="R7777" s="41"/>
      <c r="S7777" s="36"/>
      <c r="T7777" s="36"/>
      <c r="U7777" s="36"/>
      <c r="V7777" s="37"/>
    </row>
    <row r="7778" spans="13:22" x14ac:dyDescent="0.2">
      <c r="M7778" s="40"/>
      <c r="N7778" s="15"/>
      <c r="O7778" s="15"/>
      <c r="P7778" s="15"/>
      <c r="Q7778" s="39"/>
      <c r="R7778" s="41"/>
      <c r="S7778" s="36"/>
      <c r="T7778" s="36"/>
      <c r="U7778" s="36"/>
      <c r="V7778" s="37"/>
    </row>
    <row r="7779" spans="13:22" x14ac:dyDescent="0.2">
      <c r="M7779" s="40"/>
      <c r="N7779" s="15"/>
      <c r="O7779" s="15"/>
      <c r="P7779" s="15"/>
      <c r="Q7779" s="39"/>
      <c r="R7779" s="41"/>
      <c r="S7779" s="36"/>
      <c r="T7779" s="36"/>
      <c r="U7779" s="36"/>
      <c r="V7779" s="37"/>
    </row>
    <row r="7780" spans="13:22" x14ac:dyDescent="0.2">
      <c r="M7780" s="40"/>
      <c r="N7780" s="15"/>
      <c r="O7780" s="15"/>
      <c r="P7780" s="15"/>
      <c r="Q7780" s="39"/>
      <c r="R7780" s="41"/>
      <c r="S7780" s="36"/>
      <c r="T7780" s="36"/>
      <c r="U7780" s="36"/>
      <c r="V7780" s="37"/>
    </row>
    <row r="7781" spans="13:22" ht="13.5" thickBot="1" x14ac:dyDescent="0.25">
      <c r="M7781" s="42"/>
      <c r="N7781" s="43"/>
      <c r="O7781" s="43"/>
      <c r="P7781" s="43"/>
      <c r="Q7781" s="44"/>
      <c r="R7781" s="41"/>
      <c r="S7781" s="46"/>
      <c r="T7781" s="46"/>
      <c r="U7781" s="46"/>
      <c r="V7781" s="47"/>
    </row>
    <row r="7782" spans="13:22" ht="13.5" thickBot="1" x14ac:dyDescent="0.25">
      <c r="R7782" s="45"/>
    </row>
  </sheetData>
  <mergeCells count="1">
    <mergeCell ref="H6:J6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New_Parse_Source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9</xdr:col>
                    <xdr:colOff>600075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2"/>
  <sheetViews>
    <sheetView tabSelected="1" view="pageBreakPreview" zoomScale="85" zoomScaleNormal="100" zoomScaleSheetLayoutView="85" workbookViewId="0"/>
  </sheetViews>
  <sheetFormatPr defaultRowHeight="12.75" x14ac:dyDescent="0.2"/>
  <cols>
    <col min="1" max="5" width="13.42578125" style="5" bestFit="1" customWidth="1"/>
    <col min="6" max="12" width="9.140625" style="5"/>
    <col min="13" max="14" width="9.140625" style="134"/>
    <col min="15" max="15" width="9.140625" style="5"/>
    <col min="16" max="16" width="9" style="5" customWidth="1"/>
    <col min="17" max="17" width="12.85546875" style="5" bestFit="1" customWidth="1"/>
    <col min="18" max="18" width="17.42578125" style="5" customWidth="1"/>
    <col min="19" max="19" width="17.5703125" style="5" customWidth="1"/>
    <col min="20" max="20" width="16.7109375" style="5" customWidth="1"/>
    <col min="21" max="21" width="14.7109375" style="5" bestFit="1" customWidth="1"/>
  </cols>
  <sheetData>
    <row r="1" spans="1:2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130"/>
      <c r="N1" s="130"/>
    </row>
    <row r="2" spans="1:21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130"/>
      <c r="N2" s="130"/>
    </row>
    <row r="3" spans="1:21" ht="13.5" thickBot="1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131"/>
      <c r="N3" s="130"/>
    </row>
    <row r="4" spans="1:21" x14ac:dyDescent="0.2">
      <c r="A4" s="61"/>
      <c r="B4" s="61"/>
      <c r="C4" s="61"/>
      <c r="D4" s="61"/>
      <c r="E4" s="61"/>
      <c r="F4" s="61"/>
      <c r="G4" s="61"/>
      <c r="H4" s="144" t="s">
        <v>23</v>
      </c>
      <c r="I4" s="144"/>
      <c r="J4" s="144"/>
      <c r="K4" s="144"/>
      <c r="L4" s="144"/>
      <c r="M4" s="127" t="s">
        <v>4</v>
      </c>
      <c r="N4" s="127" t="s">
        <v>29</v>
      </c>
      <c r="O4" s="62"/>
      <c r="P4" s="84"/>
      <c r="Q4" s="63"/>
      <c r="R4" s="78" t="s">
        <v>257</v>
      </c>
      <c r="S4" s="85"/>
      <c r="T4" s="77" t="s">
        <v>258</v>
      </c>
      <c r="U4" s="85"/>
    </row>
    <row r="5" spans="1:21" x14ac:dyDescent="0.2">
      <c r="F5" s="61"/>
      <c r="G5" s="61"/>
      <c r="H5" s="22" t="s">
        <v>240</v>
      </c>
      <c r="I5" s="22" t="s">
        <v>240</v>
      </c>
      <c r="J5" s="22" t="s">
        <v>240</v>
      </c>
      <c r="K5" s="22" t="s">
        <v>240</v>
      </c>
      <c r="L5" s="22" t="s">
        <v>240</v>
      </c>
      <c r="M5" s="127"/>
      <c r="N5" s="127"/>
      <c r="O5" s="63"/>
      <c r="P5" s="63"/>
      <c r="Q5" s="63"/>
      <c r="R5" s="79" t="s">
        <v>19</v>
      </c>
      <c r="S5" s="76" t="s">
        <v>20</v>
      </c>
      <c r="T5" s="75" t="s">
        <v>19</v>
      </c>
      <c r="U5" s="76" t="s">
        <v>20</v>
      </c>
    </row>
    <row r="6" spans="1:21" x14ac:dyDescent="0.2">
      <c r="E6" s="87"/>
      <c r="F6" s="61"/>
      <c r="G6" s="61"/>
      <c r="H6" s="22" t="s">
        <v>240</v>
      </c>
      <c r="I6" s="22"/>
      <c r="J6" s="22" t="s">
        <v>240</v>
      </c>
      <c r="K6" s="22" t="s">
        <v>240</v>
      </c>
      <c r="L6" s="86"/>
      <c r="M6" s="127"/>
      <c r="N6" s="127"/>
      <c r="O6" s="63"/>
      <c r="P6" s="63"/>
      <c r="Q6" s="63"/>
      <c r="R6" s="88" t="s">
        <v>237</v>
      </c>
      <c r="S6" s="74"/>
      <c r="T6" s="73" t="s">
        <v>237</v>
      </c>
      <c r="U6" s="74"/>
    </row>
    <row r="7" spans="1:21" x14ac:dyDescent="0.2">
      <c r="D7" s="87"/>
      <c r="E7" s="87"/>
      <c r="F7" s="61"/>
      <c r="G7" s="61"/>
      <c r="H7" s="22" t="s">
        <v>240</v>
      </c>
      <c r="I7" s="22"/>
      <c r="J7" s="22" t="s">
        <v>240</v>
      </c>
      <c r="K7" s="86" t="s">
        <v>0</v>
      </c>
      <c r="L7" s="86"/>
      <c r="M7" s="127"/>
      <c r="N7" s="127"/>
      <c r="O7" s="63"/>
      <c r="P7" s="63"/>
      <c r="Q7" s="63"/>
      <c r="R7" s="88" t="s">
        <v>240</v>
      </c>
      <c r="S7" s="74"/>
      <c r="T7" s="89" t="s">
        <v>240</v>
      </c>
      <c r="U7" s="74"/>
    </row>
    <row r="8" spans="1:21" x14ac:dyDescent="0.2">
      <c r="C8" s="87"/>
      <c r="D8" s="87"/>
      <c r="E8" s="87"/>
      <c r="F8" s="61"/>
      <c r="G8" s="61"/>
      <c r="H8" s="22" t="s">
        <v>240</v>
      </c>
      <c r="I8" s="22"/>
      <c r="J8" s="87" t="s">
        <v>0</v>
      </c>
      <c r="K8" s="86" t="s">
        <v>0</v>
      </c>
      <c r="L8" s="86"/>
      <c r="M8" s="127"/>
      <c r="N8" s="127"/>
      <c r="O8" s="63"/>
      <c r="P8" s="63"/>
      <c r="Q8" s="63"/>
      <c r="R8" s="88" t="s">
        <v>241</v>
      </c>
      <c r="S8" s="74"/>
      <c r="T8" s="73" t="s">
        <v>241</v>
      </c>
      <c r="U8" s="74"/>
    </row>
    <row r="9" spans="1:21" x14ac:dyDescent="0.2">
      <c r="F9" s="61"/>
      <c r="G9" s="61"/>
      <c r="H9" s="5" t="s">
        <v>241</v>
      </c>
      <c r="J9" s="5" t="s">
        <v>241</v>
      </c>
      <c r="K9" s="5" t="s">
        <v>241</v>
      </c>
      <c r="M9" s="127"/>
      <c r="N9" s="132"/>
      <c r="O9" s="63"/>
      <c r="P9" s="63"/>
      <c r="Q9" s="63"/>
      <c r="R9" s="88" t="s">
        <v>251</v>
      </c>
      <c r="S9" s="74"/>
      <c r="T9" s="73" t="s">
        <v>251</v>
      </c>
      <c r="U9" s="74"/>
    </row>
    <row r="10" spans="1:21" x14ac:dyDescent="0.2">
      <c r="E10" s="87"/>
      <c r="F10" s="61"/>
      <c r="G10" s="61"/>
      <c r="H10" s="5" t="s">
        <v>241</v>
      </c>
      <c r="J10" s="5" t="s">
        <v>241</v>
      </c>
      <c r="K10" s="5" t="s">
        <v>241</v>
      </c>
      <c r="L10" s="86"/>
      <c r="M10" s="127"/>
      <c r="N10" s="132"/>
      <c r="O10" s="63"/>
      <c r="P10" s="63"/>
      <c r="Q10" s="63"/>
      <c r="R10" s="88" t="s">
        <v>243</v>
      </c>
      <c r="S10" s="74"/>
      <c r="T10" s="73" t="s">
        <v>243</v>
      </c>
      <c r="U10" s="74"/>
    </row>
    <row r="11" spans="1:21" x14ac:dyDescent="0.2">
      <c r="D11" s="87"/>
      <c r="E11" s="87"/>
      <c r="F11" s="61"/>
      <c r="G11" s="61"/>
      <c r="H11" s="5" t="s">
        <v>241</v>
      </c>
      <c r="J11" s="5" t="s">
        <v>241</v>
      </c>
      <c r="K11" s="86" t="s">
        <v>0</v>
      </c>
      <c r="L11" s="86"/>
      <c r="M11" s="127"/>
      <c r="N11" s="132"/>
      <c r="O11" s="63"/>
      <c r="P11" s="63"/>
      <c r="Q11" s="63"/>
      <c r="R11" s="88" t="s">
        <v>247</v>
      </c>
      <c r="S11" s="74"/>
      <c r="T11" s="73" t="s">
        <v>247</v>
      </c>
      <c r="U11" s="74"/>
    </row>
    <row r="12" spans="1:21" x14ac:dyDescent="0.2">
      <c r="C12" s="87"/>
      <c r="D12" s="87"/>
      <c r="E12" s="87"/>
      <c r="F12" s="61"/>
      <c r="G12" s="61"/>
      <c r="H12" s="5" t="s">
        <v>241</v>
      </c>
      <c r="J12" s="90" t="s">
        <v>0</v>
      </c>
      <c r="K12" s="91" t="s">
        <v>0</v>
      </c>
      <c r="L12" s="91"/>
      <c r="M12" s="127"/>
      <c r="N12" s="132"/>
      <c r="O12" s="63"/>
      <c r="P12" s="63"/>
      <c r="Q12" s="63"/>
      <c r="R12" s="88" t="s">
        <v>238</v>
      </c>
      <c r="S12" s="74"/>
      <c r="T12" s="73" t="s">
        <v>238</v>
      </c>
      <c r="U12" s="74"/>
    </row>
    <row r="13" spans="1:21" x14ac:dyDescent="0.2">
      <c r="F13" s="61"/>
      <c r="G13" s="61"/>
      <c r="H13" s="60" t="s">
        <v>243</v>
      </c>
      <c r="I13" s="60"/>
      <c r="J13" s="60" t="s">
        <v>243</v>
      </c>
      <c r="K13" s="60" t="s">
        <v>243</v>
      </c>
      <c r="L13" s="60"/>
      <c r="M13" s="127"/>
      <c r="N13" s="132"/>
      <c r="O13" s="63"/>
      <c r="P13" s="63"/>
      <c r="Q13" s="63"/>
      <c r="R13" s="88" t="s">
        <v>242</v>
      </c>
      <c r="S13" s="74"/>
      <c r="T13" s="73" t="s">
        <v>242</v>
      </c>
      <c r="U13" s="74"/>
    </row>
    <row r="14" spans="1:21" x14ac:dyDescent="0.2">
      <c r="E14" s="87"/>
      <c r="F14" s="61"/>
      <c r="G14" s="61"/>
      <c r="H14" s="60" t="s">
        <v>243</v>
      </c>
      <c r="I14" s="60"/>
      <c r="J14" s="60" t="s">
        <v>243</v>
      </c>
      <c r="K14" s="60" t="s">
        <v>243</v>
      </c>
      <c r="L14" s="86"/>
      <c r="M14" s="127"/>
      <c r="N14" s="132"/>
      <c r="O14" s="63"/>
      <c r="P14" s="63"/>
      <c r="Q14" s="63"/>
      <c r="R14" s="88" t="s">
        <v>250</v>
      </c>
      <c r="S14" s="74"/>
      <c r="T14" s="73" t="s">
        <v>250</v>
      </c>
      <c r="U14" s="74"/>
    </row>
    <row r="15" spans="1:21" x14ac:dyDescent="0.2">
      <c r="D15" s="87"/>
      <c r="E15" s="87"/>
      <c r="F15" s="61"/>
      <c r="G15" s="61"/>
      <c r="H15" s="60" t="s">
        <v>243</v>
      </c>
      <c r="I15" s="60"/>
      <c r="J15" s="60" t="s">
        <v>243</v>
      </c>
      <c r="K15" s="86" t="s">
        <v>0</v>
      </c>
      <c r="L15" s="86"/>
      <c r="M15" s="127"/>
      <c r="N15" s="132"/>
      <c r="O15" s="63"/>
      <c r="P15" s="63"/>
      <c r="Q15" s="63"/>
      <c r="R15" s="88" t="s">
        <v>239</v>
      </c>
      <c r="S15" s="74"/>
      <c r="T15" s="73" t="s">
        <v>239</v>
      </c>
      <c r="U15" s="74"/>
    </row>
    <row r="16" spans="1:21" x14ac:dyDescent="0.2">
      <c r="F16" s="61"/>
      <c r="G16" s="61"/>
      <c r="H16" s="5" t="s">
        <v>242</v>
      </c>
      <c r="J16" s="5" t="s">
        <v>242</v>
      </c>
      <c r="K16" s="5" t="s">
        <v>242</v>
      </c>
      <c r="M16" s="127"/>
      <c r="N16" s="132"/>
      <c r="O16" s="63"/>
      <c r="P16" s="63"/>
      <c r="Q16" s="63"/>
      <c r="R16" s="88" t="s">
        <v>252</v>
      </c>
      <c r="S16" s="74"/>
      <c r="T16" s="73" t="s">
        <v>252</v>
      </c>
      <c r="U16" s="74"/>
    </row>
    <row r="17" spans="4:21" x14ac:dyDescent="0.2">
      <c r="E17" s="87"/>
      <c r="F17" s="61"/>
      <c r="G17" s="61"/>
      <c r="H17" s="5" t="s">
        <v>242</v>
      </c>
      <c r="J17" s="5" t="s">
        <v>242</v>
      </c>
      <c r="K17" s="5" t="s">
        <v>242</v>
      </c>
      <c r="L17" s="86"/>
      <c r="M17" s="127"/>
      <c r="N17" s="132"/>
      <c r="O17" s="63"/>
      <c r="P17" s="63"/>
      <c r="Q17" s="63"/>
      <c r="R17" s="88" t="s">
        <v>253</v>
      </c>
      <c r="S17" s="74"/>
      <c r="T17" s="89" t="s">
        <v>253</v>
      </c>
      <c r="U17" s="74"/>
    </row>
    <row r="18" spans="4:21" x14ac:dyDescent="0.2">
      <c r="D18" s="87"/>
      <c r="E18" s="87"/>
      <c r="F18" s="61"/>
      <c r="G18" s="61"/>
      <c r="H18" s="5" t="s">
        <v>242</v>
      </c>
      <c r="J18" s="5" t="s">
        <v>242</v>
      </c>
      <c r="K18" s="86" t="s">
        <v>0</v>
      </c>
      <c r="L18" s="86"/>
      <c r="M18" s="127"/>
      <c r="N18" s="132"/>
      <c r="O18" s="63"/>
      <c r="P18" s="63"/>
      <c r="Q18" s="63"/>
      <c r="R18" s="88" t="s">
        <v>249</v>
      </c>
      <c r="S18" s="74"/>
      <c r="T18" s="73" t="s">
        <v>249</v>
      </c>
      <c r="U18" s="74"/>
    </row>
    <row r="19" spans="4:21" x14ac:dyDescent="0.2">
      <c r="F19" s="61"/>
      <c r="G19" s="61"/>
      <c r="H19" s="62" t="s">
        <v>237</v>
      </c>
      <c r="I19" s="62"/>
      <c r="J19" s="62" t="s">
        <v>237</v>
      </c>
      <c r="K19" s="62" t="s">
        <v>237</v>
      </c>
      <c r="L19" s="62"/>
      <c r="M19" s="127"/>
      <c r="N19" s="132"/>
      <c r="O19" s="63"/>
      <c r="P19" s="63"/>
      <c r="Q19" s="63"/>
      <c r="R19" s="88"/>
      <c r="S19" s="74"/>
      <c r="T19" s="73"/>
      <c r="U19" s="74"/>
    </row>
    <row r="20" spans="4:21" x14ac:dyDescent="0.2">
      <c r="E20" s="87"/>
      <c r="F20" s="61"/>
      <c r="G20" s="61"/>
      <c r="H20" s="62" t="s">
        <v>237</v>
      </c>
      <c r="I20" s="62"/>
      <c r="J20" s="62" t="s">
        <v>237</v>
      </c>
      <c r="K20" s="62" t="s">
        <v>237</v>
      </c>
      <c r="L20" s="86"/>
      <c r="M20" s="127"/>
      <c r="N20" s="132"/>
      <c r="O20" s="63"/>
      <c r="P20" s="63"/>
      <c r="Q20" s="63"/>
      <c r="R20" s="88"/>
      <c r="S20" s="74"/>
      <c r="T20" s="73"/>
      <c r="U20" s="74"/>
    </row>
    <row r="21" spans="4:21" x14ac:dyDescent="0.2">
      <c r="D21" s="87"/>
      <c r="E21" s="87"/>
      <c r="F21" s="61"/>
      <c r="G21" s="61"/>
      <c r="H21" s="62" t="s">
        <v>237</v>
      </c>
      <c r="I21" s="62"/>
      <c r="J21" s="62" t="s">
        <v>237</v>
      </c>
      <c r="K21" s="86" t="s">
        <v>0</v>
      </c>
      <c r="L21" s="86"/>
      <c r="M21" s="127"/>
      <c r="N21" s="132"/>
      <c r="O21" s="63"/>
      <c r="P21" s="63"/>
      <c r="Q21" s="63"/>
      <c r="R21" s="88"/>
      <c r="S21" s="74"/>
      <c r="T21" s="73"/>
      <c r="U21" s="74"/>
    </row>
    <row r="22" spans="4:21" x14ac:dyDescent="0.2">
      <c r="F22" s="61"/>
      <c r="G22" s="61"/>
      <c r="H22" s="61" t="s">
        <v>238</v>
      </c>
      <c r="I22" s="61"/>
      <c r="J22" s="61" t="s">
        <v>238</v>
      </c>
      <c r="K22" s="61" t="s">
        <v>238</v>
      </c>
      <c r="L22" s="61"/>
      <c r="M22" s="127"/>
      <c r="N22" s="132"/>
      <c r="O22" s="63"/>
      <c r="P22" s="63"/>
      <c r="Q22" s="63"/>
      <c r="R22" s="88"/>
      <c r="S22" s="74"/>
      <c r="T22" s="73"/>
      <c r="U22" s="74"/>
    </row>
    <row r="23" spans="4:21" x14ac:dyDescent="0.2">
      <c r="E23" s="87"/>
      <c r="F23" s="61"/>
      <c r="G23" s="61"/>
      <c r="H23" s="61" t="s">
        <v>238</v>
      </c>
      <c r="I23" s="61"/>
      <c r="J23" s="61" t="s">
        <v>238</v>
      </c>
      <c r="K23" s="61" t="s">
        <v>238</v>
      </c>
      <c r="L23" s="86"/>
      <c r="M23" s="127"/>
      <c r="N23" s="132"/>
      <c r="O23" s="63"/>
      <c r="P23" s="63"/>
      <c r="Q23" s="63"/>
      <c r="R23" s="88"/>
      <c r="S23" s="74"/>
      <c r="T23" s="73"/>
      <c r="U23" s="74"/>
    </row>
    <row r="24" spans="4:21" x14ac:dyDescent="0.2">
      <c r="D24" s="87"/>
      <c r="E24" s="87"/>
      <c r="F24" s="61"/>
      <c r="G24" s="61"/>
      <c r="H24" s="61" t="s">
        <v>238</v>
      </c>
      <c r="I24" s="61"/>
      <c r="J24" s="61" t="s">
        <v>238</v>
      </c>
      <c r="K24" s="86" t="s">
        <v>0</v>
      </c>
      <c r="L24" s="86"/>
      <c r="M24" s="127"/>
      <c r="N24" s="132"/>
      <c r="O24" s="63"/>
      <c r="P24" s="63"/>
      <c r="Q24" s="63"/>
      <c r="R24" s="88"/>
      <c r="S24" s="74"/>
      <c r="T24" s="73"/>
      <c r="U24" s="74"/>
    </row>
    <row r="25" spans="4:21" x14ac:dyDescent="0.2">
      <c r="F25" s="61"/>
      <c r="G25" s="61"/>
      <c r="H25" s="61" t="s">
        <v>239</v>
      </c>
      <c r="I25" s="61"/>
      <c r="J25" s="61" t="s">
        <v>239</v>
      </c>
      <c r="K25" s="61" t="s">
        <v>239</v>
      </c>
      <c r="L25" s="61"/>
      <c r="M25" s="127"/>
      <c r="N25" s="132"/>
      <c r="O25" s="63"/>
      <c r="P25" s="63"/>
      <c r="Q25" s="63"/>
      <c r="R25" s="88"/>
      <c r="S25" s="74"/>
      <c r="T25" s="73"/>
      <c r="U25" s="74"/>
    </row>
    <row r="26" spans="4:21" x14ac:dyDescent="0.2">
      <c r="E26" s="87"/>
      <c r="F26" s="61"/>
      <c r="G26" s="61"/>
      <c r="H26" s="61" t="s">
        <v>239</v>
      </c>
      <c r="I26" s="61"/>
      <c r="J26" s="61" t="s">
        <v>239</v>
      </c>
      <c r="K26" s="61" t="s">
        <v>239</v>
      </c>
      <c r="L26" s="86"/>
      <c r="M26" s="127"/>
      <c r="N26" s="132"/>
      <c r="O26" s="63"/>
      <c r="P26" s="63"/>
      <c r="Q26" s="63"/>
      <c r="R26" s="88"/>
      <c r="S26" s="74"/>
      <c r="T26" s="73"/>
      <c r="U26" s="74"/>
    </row>
    <row r="27" spans="4:21" x14ac:dyDescent="0.2">
      <c r="D27" s="87"/>
      <c r="E27" s="87"/>
      <c r="F27" s="61"/>
      <c r="G27" s="61"/>
      <c r="H27" s="61" t="s">
        <v>239</v>
      </c>
      <c r="I27" s="61"/>
      <c r="J27" s="61" t="s">
        <v>239</v>
      </c>
      <c r="K27" s="86" t="s">
        <v>0</v>
      </c>
      <c r="L27" s="86"/>
      <c r="M27" s="128"/>
      <c r="N27" s="132"/>
      <c r="O27" s="63"/>
      <c r="P27" s="63"/>
      <c r="Q27" s="63"/>
      <c r="R27" s="73"/>
      <c r="S27" s="74"/>
      <c r="T27" s="73"/>
      <c r="U27" s="74"/>
    </row>
    <row r="28" spans="4:21" x14ac:dyDescent="0.2">
      <c r="F28" s="61"/>
      <c r="G28" s="61"/>
      <c r="H28" s="5" t="s">
        <v>251</v>
      </c>
      <c r="J28" s="5" t="s">
        <v>251</v>
      </c>
      <c r="K28" s="5" t="s">
        <v>251</v>
      </c>
      <c r="M28" s="127"/>
      <c r="N28" s="132"/>
      <c r="O28" s="63"/>
      <c r="P28" s="63"/>
      <c r="Q28" s="63"/>
      <c r="R28" s="73"/>
      <c r="S28" s="74"/>
      <c r="T28" s="73"/>
      <c r="U28" s="74"/>
    </row>
    <row r="29" spans="4:21" x14ac:dyDescent="0.2">
      <c r="E29" s="87"/>
      <c r="F29" s="61"/>
      <c r="G29" s="61"/>
      <c r="H29" s="5" t="s">
        <v>251</v>
      </c>
      <c r="J29" s="5" t="s">
        <v>251</v>
      </c>
      <c r="K29" s="5" t="s">
        <v>251</v>
      </c>
      <c r="L29" s="86"/>
      <c r="M29" s="127"/>
      <c r="N29" s="132"/>
      <c r="O29" s="63"/>
      <c r="P29" s="63"/>
      <c r="Q29" s="63"/>
      <c r="R29" s="73"/>
      <c r="S29" s="74"/>
      <c r="T29" s="73"/>
      <c r="U29" s="74"/>
    </row>
    <row r="30" spans="4:21" x14ac:dyDescent="0.2">
      <c r="D30" s="87"/>
      <c r="E30" s="87"/>
      <c r="F30" s="61"/>
      <c r="G30" s="61"/>
      <c r="H30" s="5" t="s">
        <v>251</v>
      </c>
      <c r="J30" s="5" t="s">
        <v>251</v>
      </c>
      <c r="K30" s="86" t="s">
        <v>0</v>
      </c>
      <c r="L30" s="86"/>
      <c r="M30" s="128"/>
      <c r="N30" s="132"/>
      <c r="O30" s="63"/>
      <c r="P30" s="63"/>
      <c r="Q30" s="63"/>
      <c r="R30" s="73"/>
      <c r="S30" s="74"/>
      <c r="T30" s="73"/>
      <c r="U30" s="74"/>
    </row>
    <row r="31" spans="4:21" x14ac:dyDescent="0.2">
      <c r="F31" s="61"/>
      <c r="G31" s="61"/>
      <c r="H31" s="5" t="s">
        <v>249</v>
      </c>
      <c r="J31" s="5" t="s">
        <v>249</v>
      </c>
      <c r="K31" s="5" t="s">
        <v>249</v>
      </c>
      <c r="M31" s="127"/>
      <c r="N31" s="132"/>
      <c r="O31" s="63"/>
      <c r="P31" s="63"/>
      <c r="Q31" s="63"/>
      <c r="R31" s="73"/>
      <c r="S31" s="74"/>
      <c r="T31" s="73"/>
      <c r="U31" s="74"/>
    </row>
    <row r="32" spans="4:21" x14ac:dyDescent="0.2">
      <c r="E32" s="87"/>
      <c r="F32" s="61"/>
      <c r="G32" s="61"/>
      <c r="H32" s="5" t="s">
        <v>249</v>
      </c>
      <c r="J32" s="5" t="s">
        <v>249</v>
      </c>
      <c r="K32" s="5" t="s">
        <v>249</v>
      </c>
      <c r="L32" s="86"/>
      <c r="M32" s="127"/>
      <c r="N32" s="132"/>
      <c r="O32" s="63"/>
      <c r="P32" s="63"/>
      <c r="Q32" s="63"/>
      <c r="R32" s="73"/>
      <c r="S32" s="74"/>
      <c r="T32" s="73"/>
      <c r="U32" s="74"/>
    </row>
    <row r="33" spans="4:21" x14ac:dyDescent="0.2">
      <c r="D33" s="87"/>
      <c r="E33" s="87"/>
      <c r="F33" s="61"/>
      <c r="G33" s="61"/>
      <c r="H33" s="5" t="s">
        <v>249</v>
      </c>
      <c r="J33" s="5" t="s">
        <v>249</v>
      </c>
      <c r="K33" s="86" t="s">
        <v>0</v>
      </c>
      <c r="L33" s="86"/>
      <c r="M33" s="128"/>
      <c r="N33" s="132"/>
      <c r="O33" s="63"/>
      <c r="P33" s="63"/>
      <c r="Q33" s="63"/>
      <c r="R33" s="73"/>
      <c r="S33" s="74"/>
      <c r="T33" s="73"/>
      <c r="U33" s="74"/>
    </row>
    <row r="34" spans="4:21" x14ac:dyDescent="0.2">
      <c r="F34" s="61"/>
      <c r="G34" s="61"/>
      <c r="H34" s="60" t="s">
        <v>252</v>
      </c>
      <c r="I34" s="60"/>
      <c r="J34" s="60" t="s">
        <v>252</v>
      </c>
      <c r="K34" s="60" t="s">
        <v>252</v>
      </c>
      <c r="L34" s="60"/>
      <c r="M34" s="128"/>
      <c r="N34" s="127"/>
      <c r="O34" s="63"/>
      <c r="P34" s="63"/>
      <c r="Q34" s="63"/>
      <c r="R34" s="73"/>
      <c r="S34" s="74"/>
      <c r="T34" s="73"/>
      <c r="U34" s="74"/>
    </row>
    <row r="35" spans="4:21" x14ac:dyDescent="0.2">
      <c r="E35" s="87"/>
      <c r="F35" s="61"/>
      <c r="G35" s="61"/>
      <c r="H35" s="60" t="s">
        <v>252</v>
      </c>
      <c r="I35" s="60"/>
      <c r="J35" s="60" t="s">
        <v>252</v>
      </c>
      <c r="K35" s="60" t="s">
        <v>252</v>
      </c>
      <c r="L35" s="86"/>
      <c r="M35" s="128"/>
      <c r="N35" s="127"/>
      <c r="O35" s="63"/>
      <c r="P35" s="63"/>
      <c r="Q35" s="63"/>
      <c r="R35" s="73"/>
      <c r="S35" s="74"/>
      <c r="T35" s="73"/>
      <c r="U35" s="74"/>
    </row>
    <row r="36" spans="4:21" x14ac:dyDescent="0.2">
      <c r="D36" s="87"/>
      <c r="E36" s="87"/>
      <c r="F36" s="61"/>
      <c r="G36" s="61"/>
      <c r="H36" s="60" t="s">
        <v>252</v>
      </c>
      <c r="I36" s="60"/>
      <c r="J36" s="60" t="s">
        <v>252</v>
      </c>
      <c r="K36" s="86" t="s">
        <v>0</v>
      </c>
      <c r="L36" s="86"/>
      <c r="M36" s="127"/>
      <c r="N36" s="133"/>
      <c r="O36" s="63"/>
      <c r="P36" s="63"/>
      <c r="Q36" s="63"/>
      <c r="R36" s="73"/>
      <c r="S36" s="74"/>
      <c r="T36" s="73"/>
      <c r="U36" s="74"/>
    </row>
    <row r="37" spans="4:21" x14ac:dyDescent="0.2">
      <c r="F37" s="61"/>
      <c r="G37" s="61"/>
      <c r="H37" s="22" t="s">
        <v>253</v>
      </c>
      <c r="I37" s="22"/>
      <c r="J37" s="22" t="s">
        <v>253</v>
      </c>
      <c r="K37" s="22" t="s">
        <v>253</v>
      </c>
      <c r="L37" s="22"/>
      <c r="M37" s="128"/>
      <c r="N37" s="132"/>
      <c r="O37" s="63"/>
      <c r="P37" s="63"/>
      <c r="Q37" s="63"/>
      <c r="R37" s="73"/>
      <c r="S37" s="74"/>
      <c r="T37" s="73"/>
      <c r="U37" s="74"/>
    </row>
    <row r="38" spans="4:21" ht="13.5" thickBot="1" x14ac:dyDescent="0.25">
      <c r="E38" s="87"/>
      <c r="F38" s="61"/>
      <c r="G38" s="61"/>
      <c r="H38" s="22" t="s">
        <v>253</v>
      </c>
      <c r="I38" s="22"/>
      <c r="J38" s="22" t="s">
        <v>253</v>
      </c>
      <c r="K38" s="22" t="s">
        <v>253</v>
      </c>
      <c r="L38" s="86"/>
      <c r="M38" s="128"/>
      <c r="N38" s="132"/>
      <c r="O38" s="63"/>
      <c r="P38" s="63"/>
      <c r="Q38" s="63"/>
      <c r="R38" s="93"/>
      <c r="S38" s="94"/>
      <c r="T38" s="93"/>
      <c r="U38" s="94"/>
    </row>
    <row r="39" spans="4:21" x14ac:dyDescent="0.2">
      <c r="D39" s="87"/>
      <c r="E39" s="87"/>
      <c r="F39" s="61"/>
      <c r="G39" s="61"/>
      <c r="H39" s="22" t="s">
        <v>253</v>
      </c>
      <c r="I39" s="22"/>
      <c r="J39" s="22" t="s">
        <v>253</v>
      </c>
      <c r="K39" s="86" t="s">
        <v>0</v>
      </c>
      <c r="L39" s="86"/>
      <c r="M39" s="128"/>
      <c r="N39" s="132"/>
      <c r="O39" s="63"/>
      <c r="P39" s="63"/>
      <c r="Q39" s="63"/>
    </row>
    <row r="40" spans="4:21" x14ac:dyDescent="0.2">
      <c r="O40" s="63"/>
      <c r="P40" s="63"/>
      <c r="Q40" s="63"/>
    </row>
    <row r="41" spans="4:21" x14ac:dyDescent="0.2">
      <c r="O41" s="63"/>
      <c r="P41" s="63"/>
      <c r="Q41" s="63"/>
    </row>
    <row r="42" spans="4:21" x14ac:dyDescent="0.2">
      <c r="O42" s="63"/>
      <c r="P42" s="63"/>
      <c r="Q42" s="63"/>
    </row>
    <row r="43" spans="4:21" x14ac:dyDescent="0.2">
      <c r="O43" s="63"/>
      <c r="P43" s="63"/>
      <c r="Q43" s="63"/>
    </row>
    <row r="44" spans="4:21" x14ac:dyDescent="0.2">
      <c r="O44" s="63"/>
      <c r="P44" s="63"/>
      <c r="Q44" s="63"/>
    </row>
    <row r="45" spans="4:21" x14ac:dyDescent="0.2">
      <c r="O45" s="63"/>
      <c r="P45" s="63"/>
      <c r="Q45" s="60"/>
    </row>
    <row r="46" spans="4:21" x14ac:dyDescent="0.2">
      <c r="O46" s="63"/>
      <c r="P46" s="63"/>
      <c r="Q46" s="60"/>
    </row>
    <row r="47" spans="4:21" x14ac:dyDescent="0.2">
      <c r="O47" s="63"/>
      <c r="P47" s="63"/>
      <c r="Q47" s="60"/>
    </row>
    <row r="48" spans="4:21" x14ac:dyDescent="0.2">
      <c r="O48" s="63"/>
      <c r="P48" s="63"/>
      <c r="Q48" s="60"/>
    </row>
    <row r="49" spans="1:17" x14ac:dyDescent="0.2">
      <c r="O49" s="63"/>
      <c r="P49" s="63"/>
      <c r="Q49" s="60"/>
    </row>
    <row r="50" spans="1:17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130"/>
      <c r="N50" s="130"/>
      <c r="O50" s="63"/>
      <c r="P50" s="63"/>
      <c r="Q50" s="60"/>
    </row>
    <row r="51" spans="1:17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130"/>
      <c r="N51" s="130"/>
      <c r="O51" s="63"/>
      <c r="P51" s="63"/>
      <c r="Q51" s="60"/>
    </row>
    <row r="52" spans="1:17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130"/>
      <c r="N52" s="130"/>
      <c r="O52" s="63"/>
      <c r="P52" s="63"/>
      <c r="Q52" s="60"/>
    </row>
    <row r="53" spans="1:17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130"/>
      <c r="N53" s="130"/>
      <c r="O53" s="63"/>
      <c r="P53" s="63"/>
      <c r="Q53" s="60"/>
    </row>
    <row r="54" spans="1:17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130"/>
      <c r="N54" s="130"/>
      <c r="O54" s="63"/>
      <c r="P54" s="63"/>
      <c r="Q54" s="60"/>
    </row>
    <row r="55" spans="1:17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130"/>
      <c r="N55" s="130"/>
      <c r="O55" s="63"/>
      <c r="P55" s="63"/>
      <c r="Q55" s="60"/>
    </row>
    <row r="56" spans="1:17" x14ac:dyDescent="0.2">
      <c r="A56" s="61"/>
      <c r="B56" s="61" t="str">
        <f t="shared" ref="B56:F58" si="0">IF(I56="-","-",IF(I56="", "", LOOKUP(I56,$T$6:$T$18,$U$6:$U$18)))</f>
        <v/>
      </c>
      <c r="C56" s="61"/>
      <c r="D56" s="61" t="str">
        <f t="shared" si="0"/>
        <v/>
      </c>
      <c r="E56" s="61"/>
      <c r="F56" s="61" t="str">
        <f t="shared" si="0"/>
        <v/>
      </c>
      <c r="G56" s="61"/>
      <c r="H56" s="63"/>
      <c r="I56" s="63"/>
      <c r="J56" s="63"/>
      <c r="K56" s="63"/>
      <c r="L56" s="63"/>
      <c r="M56" s="127"/>
      <c r="N56" s="133"/>
      <c r="O56" s="62"/>
      <c r="P56" s="84"/>
      <c r="Q56" s="63"/>
    </row>
    <row r="57" spans="1:17" x14ac:dyDescent="0.2">
      <c r="A57" s="61"/>
      <c r="B57" s="61" t="str">
        <f t="shared" si="0"/>
        <v/>
      </c>
      <c r="C57" s="61"/>
      <c r="D57" s="61" t="str">
        <f t="shared" si="0"/>
        <v/>
      </c>
      <c r="E57" s="61"/>
      <c r="F57" s="61" t="str">
        <f t="shared" si="0"/>
        <v/>
      </c>
      <c r="G57" s="61"/>
      <c r="H57" s="63"/>
      <c r="I57" s="63"/>
      <c r="J57" s="63"/>
      <c r="K57" s="63"/>
      <c r="L57" s="63"/>
      <c r="M57" s="128"/>
      <c r="N57" s="133"/>
      <c r="O57" s="63"/>
      <c r="P57" s="63"/>
      <c r="Q57" s="63"/>
    </row>
    <row r="58" spans="1:17" x14ac:dyDescent="0.2">
      <c r="A58" s="61"/>
      <c r="B58" s="61" t="str">
        <f t="shared" si="0"/>
        <v/>
      </c>
      <c r="C58" s="61"/>
      <c r="D58" s="61" t="str">
        <f t="shared" si="0"/>
        <v/>
      </c>
      <c r="E58" s="61"/>
      <c r="F58" s="61" t="str">
        <f t="shared" si="0"/>
        <v/>
      </c>
      <c r="G58" s="61"/>
      <c r="H58" s="63"/>
      <c r="I58" s="63"/>
      <c r="J58" s="63"/>
      <c r="K58" s="63"/>
      <c r="L58" s="92"/>
      <c r="M58" s="128"/>
      <c r="N58" s="127"/>
      <c r="O58" s="63"/>
      <c r="P58" s="63"/>
      <c r="Q58" s="63"/>
    </row>
    <row r="59" spans="1:17" x14ac:dyDescent="0.2">
      <c r="A59" s="61"/>
      <c r="B59" s="61"/>
      <c r="C59" s="61"/>
      <c r="D59" s="61"/>
      <c r="E59" s="61"/>
      <c r="F59" s="61"/>
      <c r="G59" s="61"/>
      <c r="H59" s="63"/>
      <c r="I59" s="63"/>
      <c r="J59" s="63"/>
      <c r="K59" s="95"/>
      <c r="L59" s="95"/>
      <c r="M59" s="128"/>
      <c r="N59" s="133"/>
      <c r="O59" s="63"/>
      <c r="P59" s="63"/>
      <c r="Q59" s="63"/>
    </row>
    <row r="60" spans="1:17" x14ac:dyDescent="0.2">
      <c r="F60" s="61"/>
      <c r="G60" s="61"/>
      <c r="H60" s="60" t="s">
        <v>250</v>
      </c>
      <c r="I60" s="60"/>
      <c r="J60" s="60" t="s">
        <v>250</v>
      </c>
      <c r="K60" s="60" t="s">
        <v>250</v>
      </c>
      <c r="L60" s="60" t="s">
        <v>250</v>
      </c>
      <c r="M60" s="128"/>
      <c r="N60" s="132"/>
    </row>
    <row r="61" spans="1:17" x14ac:dyDescent="0.2">
      <c r="E61" s="87"/>
      <c r="F61" s="61"/>
      <c r="G61" s="61"/>
      <c r="H61" s="60" t="s">
        <v>250</v>
      </c>
      <c r="I61" s="60"/>
      <c r="J61" s="60" t="s">
        <v>250</v>
      </c>
      <c r="K61" s="60" t="s">
        <v>250</v>
      </c>
      <c r="L61" s="86" t="s">
        <v>0</v>
      </c>
      <c r="M61" s="128"/>
      <c r="N61" s="132"/>
    </row>
    <row r="62" spans="1:17" x14ac:dyDescent="0.2">
      <c r="D62" s="87"/>
      <c r="E62" s="87"/>
      <c r="F62" s="61"/>
      <c r="G62" s="61"/>
      <c r="H62" s="60" t="s">
        <v>250</v>
      </c>
      <c r="I62" s="60"/>
      <c r="J62" s="60" t="s">
        <v>250</v>
      </c>
      <c r="K62" s="86" t="s">
        <v>0</v>
      </c>
      <c r="L62" s="86" t="s">
        <v>0</v>
      </c>
      <c r="M62" s="128"/>
      <c r="N62" s="132"/>
    </row>
    <row r="63" spans="1:17" x14ac:dyDescent="0.2">
      <c r="F63" s="61" t="str">
        <f>IF(M63="-","-",IF(M63="", "", LOOKUP(M63,$T$6:$T$18,$U$6:$U$18)))</f>
        <v/>
      </c>
      <c r="G63" s="61"/>
      <c r="H63" s="5" t="s">
        <v>247</v>
      </c>
      <c r="J63" s="5" t="s">
        <v>247</v>
      </c>
      <c r="K63" s="5" t="s">
        <v>247</v>
      </c>
      <c r="L63" s="5" t="s">
        <v>247</v>
      </c>
      <c r="M63" s="128"/>
      <c r="N63" s="127"/>
    </row>
    <row r="64" spans="1:17" x14ac:dyDescent="0.2">
      <c r="E64" s="87"/>
      <c r="F64" s="61" t="str">
        <f>IF(M64="-","-",IF(M64="", "", LOOKUP(M64,$T$6:$T$18,$U$6:$U$18)))</f>
        <v/>
      </c>
      <c r="G64" s="61"/>
      <c r="H64" s="5" t="s">
        <v>247</v>
      </c>
      <c r="J64" s="5" t="s">
        <v>247</v>
      </c>
      <c r="K64" s="5" t="s">
        <v>247</v>
      </c>
      <c r="L64" s="86" t="s">
        <v>0</v>
      </c>
      <c r="M64" s="128"/>
      <c r="N64" s="127"/>
    </row>
    <row r="65" spans="3:17" x14ac:dyDescent="0.2">
      <c r="D65" s="87"/>
      <c r="E65" s="87"/>
      <c r="F65" s="61" t="str">
        <f>IF(M65="-","-",IF(M65="", "", LOOKUP(M65,$T$6:$T$18,$U$6:$U$18)))</f>
        <v/>
      </c>
      <c r="G65" s="61"/>
      <c r="H65" s="5" t="s">
        <v>247</v>
      </c>
      <c r="J65" s="5" t="s">
        <v>247</v>
      </c>
      <c r="K65" s="86" t="s">
        <v>0</v>
      </c>
      <c r="L65" s="86" t="s">
        <v>0</v>
      </c>
      <c r="M65" s="127"/>
      <c r="N65" s="133"/>
    </row>
    <row r="66" spans="3:17" x14ac:dyDescent="0.2">
      <c r="O66" s="63"/>
      <c r="P66" s="63"/>
      <c r="Q66" s="60"/>
    </row>
    <row r="72" spans="3:17" x14ac:dyDescent="0.2">
      <c r="C72" s="61"/>
      <c r="D72" s="61"/>
      <c r="E72" s="61"/>
      <c r="F72" s="61"/>
      <c r="G72" s="61"/>
      <c r="J72" s="61"/>
      <c r="K72" s="61"/>
      <c r="L72" s="61"/>
      <c r="M72" s="127"/>
      <c r="N72" s="133"/>
    </row>
  </sheetData>
  <sortState ref="T6:U18">
    <sortCondition ref="U6"/>
  </sortState>
  <mergeCells count="1">
    <mergeCell ref="H4:L4"/>
  </mergeCells>
  <phoneticPr fontId="3" type="noConversion"/>
  <pageMargins left="0.75" right="0.75" top="1" bottom="1" header="0.5" footer="0.5"/>
  <pageSetup scale="4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Z295"/>
  <sheetViews>
    <sheetView view="pageBreakPreview" zoomScale="70" zoomScaleNormal="75" zoomScaleSheetLayoutView="70" workbookViewId="0">
      <selection activeCell="B1" sqref="B1"/>
    </sheetView>
  </sheetViews>
  <sheetFormatPr defaultRowHeight="12.75" x14ac:dyDescent="0.2"/>
  <cols>
    <col min="1" max="1" width="9.140625" style="3"/>
    <col min="2" max="6" width="13.140625" style="5" bestFit="1" customWidth="1"/>
    <col min="7" max="7" width="14.28515625" style="5" customWidth="1"/>
    <col min="8" max="12" width="13.140625" style="5" bestFit="1" customWidth="1"/>
    <col min="13" max="13" width="12.5703125" style="5" customWidth="1"/>
    <col min="14" max="14" width="14.28515625" style="5" customWidth="1"/>
    <col min="15" max="16" width="9.140625" style="5"/>
    <col min="17" max="17" width="9" style="5" customWidth="1"/>
    <col min="18" max="21" width="9" style="5" bestFit="1" customWidth="1"/>
    <col min="22" max="22" width="9.140625" style="5"/>
    <col min="23" max="23" width="13.42578125" style="5" bestFit="1" customWidth="1"/>
    <col min="24" max="24" width="12.7109375" style="5" bestFit="1" customWidth="1"/>
    <col min="25" max="26" width="9.140625" style="3"/>
    <col min="27" max="27" width="14.28515625" style="3" customWidth="1"/>
    <col min="28" max="28" width="14.85546875" style="3" bestFit="1" customWidth="1"/>
    <col min="29" max="29" width="14.5703125" style="3" bestFit="1" customWidth="1"/>
    <col min="30" max="30" width="14.28515625" style="3" bestFit="1" customWidth="1"/>
    <col min="31" max="31" width="14.5703125" style="3" bestFit="1" customWidth="1"/>
    <col min="32" max="32" width="14.85546875" style="3" bestFit="1" customWidth="1"/>
    <col min="33" max="33" width="7.5703125" style="3" customWidth="1"/>
    <col min="34" max="34" width="14.5703125" style="3" customWidth="1"/>
    <col min="35" max="35" width="11.42578125" style="3" bestFit="1" customWidth="1"/>
    <col min="36" max="36" width="14.85546875" style="3" bestFit="1" customWidth="1"/>
    <col min="37" max="16384" width="9.140625" style="3"/>
  </cols>
  <sheetData>
    <row r="1" spans="2:26" ht="10.5" customHeight="1" x14ac:dyDescent="0.2"/>
    <row r="2" spans="2:26" s="4" customFormat="1" ht="27.75" customHeight="1" x14ac:dyDescent="0.2">
      <c r="B2" s="146" t="s">
        <v>26</v>
      </c>
      <c r="C2" s="146"/>
      <c r="D2" s="147" t="str">
        <f>'Game Info'!C3</f>
        <v>13E000</v>
      </c>
      <c r="E2" s="147"/>
      <c r="F2" s="5"/>
      <c r="G2" s="6" t="str">
        <f>'Game Info'!C4</f>
        <v>All</v>
      </c>
      <c r="H2" s="6"/>
      <c r="I2" s="96" t="s">
        <v>27</v>
      </c>
      <c r="J2" s="148" t="str">
        <f>'Game Info'!C2</f>
        <v>Game Name</v>
      </c>
      <c r="K2" s="148"/>
      <c r="L2" s="148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2:26" ht="27.75" customHeight="1" x14ac:dyDescent="0.2">
      <c r="G3" s="5" t="s">
        <v>245</v>
      </c>
    </row>
    <row r="4" spans="2:26" ht="26.25" customHeight="1" x14ac:dyDescent="0.2">
      <c r="G4" s="69" t="str">
        <f>IF(AND(N8:N278),"PAR SHEET MATCH","ERROR")</f>
        <v>PAR SHEET MATCH</v>
      </c>
      <c r="H4" s="97"/>
    </row>
    <row r="5" spans="2:26" ht="37.5" customHeight="1" thickBot="1" x14ac:dyDescent="0.25">
      <c r="Q5" s="69" t="s">
        <v>25</v>
      </c>
      <c r="R5" s="69"/>
      <c r="S5" s="69"/>
      <c r="T5" s="69"/>
      <c r="U5" s="69"/>
      <c r="W5" s="69" t="s">
        <v>21</v>
      </c>
    </row>
    <row r="6" spans="2:26" ht="29.25" customHeight="1" thickBot="1" x14ac:dyDescent="0.25">
      <c r="B6" s="98"/>
      <c r="C6" s="99"/>
      <c r="D6" s="99"/>
      <c r="E6" s="99"/>
      <c r="F6" s="100"/>
      <c r="G6" s="101"/>
      <c r="H6" s="98" t="s">
        <v>24</v>
      </c>
      <c r="I6" s="99"/>
      <c r="J6" s="99"/>
      <c r="K6" s="99"/>
      <c r="L6" s="100"/>
      <c r="M6" s="101"/>
      <c r="V6" s="145" t="s">
        <v>22</v>
      </c>
      <c r="W6" s="145"/>
    </row>
    <row r="7" spans="2:26" ht="18" customHeight="1" thickBot="1" x14ac:dyDescent="0.25">
      <c r="B7" s="68" t="s">
        <v>4</v>
      </c>
      <c r="C7" s="56" t="s">
        <v>5</v>
      </c>
      <c r="D7" s="56" t="s">
        <v>6</v>
      </c>
      <c r="E7" s="56" t="s">
        <v>7</v>
      </c>
      <c r="F7" s="56" t="s">
        <v>8</v>
      </c>
      <c r="G7" s="11"/>
      <c r="H7" s="55" t="s">
        <v>4</v>
      </c>
      <c r="I7" s="56" t="s">
        <v>5</v>
      </c>
      <c r="J7" s="56" t="s">
        <v>6</v>
      </c>
      <c r="K7" s="56" t="s">
        <v>7</v>
      </c>
      <c r="L7" s="57" t="s">
        <v>8</v>
      </c>
      <c r="M7" s="102"/>
      <c r="N7" s="102"/>
      <c r="Q7" s="6" t="s">
        <v>4</v>
      </c>
      <c r="R7" s="6" t="s">
        <v>5</v>
      </c>
      <c r="S7" s="6" t="s">
        <v>6</v>
      </c>
      <c r="T7" s="6" t="s">
        <v>7</v>
      </c>
      <c r="U7" s="6" t="s">
        <v>8</v>
      </c>
      <c r="W7" s="6" t="str">
        <f>'Wins Combination'!T5</f>
        <v>lookup vector</v>
      </c>
      <c r="X7" s="6" t="str">
        <f>'Wins Combination'!U5</f>
        <v>lookup value</v>
      </c>
    </row>
    <row r="8" spans="2:26" ht="12.75" customHeight="1" thickBot="1" x14ac:dyDescent="0.25">
      <c r="B8" s="9"/>
      <c r="C8" s="9"/>
      <c r="D8" s="9"/>
      <c r="E8" s="9"/>
      <c r="F8" s="9"/>
      <c r="H8" s="10" t="str">
        <f>IF(Q8="", "", LOOKUP(Q8,$W$8:$W$40,$X$8:$X$40))</f>
        <v/>
      </c>
      <c r="I8" s="10" t="str">
        <f>IF(R8="", "", LOOKUP(R8,$W$8:$W$40,$X$8:$X$40))</f>
        <v/>
      </c>
      <c r="J8" s="10" t="str">
        <f>IF(S8="", "", LOOKUP(S8,$W$8:$W$40,$X$8:$X$40))</f>
        <v/>
      </c>
      <c r="K8" s="10" t="str">
        <f>IF(T8="", "", LOOKUP(T8,$W$8:$W$40,$X$8:$X$40))</f>
        <v/>
      </c>
      <c r="L8" s="10" t="str">
        <f>IF(U8="", "", LOOKUP(U8,$W$8:$W$40,$X$8:$X$40))</f>
        <v/>
      </c>
      <c r="M8" s="7"/>
      <c r="N8" s="8" t="b">
        <f t="shared" ref="N8:N71" si="0">IF($B8=$H8,IF($C8=$I8,IF($D8=$J8,IF($E8=$K8,IF($F8=$L8,TRUE,FALSE),FALSE),FALSE),FALSE),FALSE)</f>
        <v>1</v>
      </c>
      <c r="Q8" s="103"/>
      <c r="R8" s="103"/>
      <c r="S8" s="103"/>
      <c r="T8" s="103"/>
      <c r="U8" s="103"/>
      <c r="V8" s="103"/>
      <c r="W8" s="5" t="str">
        <f>'Wins Combination'!T6</f>
        <v>A</v>
      </c>
      <c r="X8" s="5">
        <f>'Wins Combination'!U6</f>
        <v>0</v>
      </c>
      <c r="Y8" s="58"/>
      <c r="Z8" s="5"/>
    </row>
    <row r="9" spans="2:26" ht="12.75" customHeight="1" thickBot="1" x14ac:dyDescent="0.25">
      <c r="B9" s="9"/>
      <c r="C9" s="9"/>
      <c r="D9" s="9"/>
      <c r="E9" s="9"/>
      <c r="F9" s="9"/>
      <c r="H9" s="10" t="str">
        <f t="shared" ref="H9:H72" si="1">IF(Q9="", "", LOOKUP(Q9,$W$8:$W$40,$X$8:$X$40))</f>
        <v/>
      </c>
      <c r="I9" s="10" t="str">
        <f t="shared" ref="I9:I72" si="2">IF(R9="", "", LOOKUP(R9,$W$8:$W$40,$X$8:$X$40))</f>
        <v/>
      </c>
      <c r="J9" s="10" t="str">
        <f t="shared" ref="J9:J72" si="3">IF(S9="", "", LOOKUP(S9,$W$8:$W$40,$X$8:$X$40))</f>
        <v/>
      </c>
      <c r="K9" s="10" t="str">
        <f t="shared" ref="K9:K72" si="4">IF(T9="", "", LOOKUP(T9,$W$8:$W$40,$X$8:$X$40))</f>
        <v/>
      </c>
      <c r="L9" s="10" t="str">
        <f t="shared" ref="L9:L72" si="5">IF(U9="", "", LOOKUP(U9,$W$8:$W$40,$X$8:$X$40))</f>
        <v/>
      </c>
      <c r="M9" s="97"/>
      <c r="N9" s="8" t="b">
        <f t="shared" si="0"/>
        <v>1</v>
      </c>
      <c r="Q9" s="103"/>
      <c r="R9" s="103"/>
      <c r="S9" s="103"/>
      <c r="T9" s="103"/>
      <c r="U9" s="103"/>
      <c r="V9" s="103"/>
      <c r="W9" s="5" t="str">
        <f>'Wins Combination'!T7</f>
        <v>P1</v>
      </c>
      <c r="X9" s="5">
        <f>'Wins Combination'!U7</f>
        <v>0</v>
      </c>
      <c r="Y9" s="59"/>
      <c r="Z9" s="5"/>
    </row>
    <row r="10" spans="2:26" ht="13.5" thickBot="1" x14ac:dyDescent="0.25">
      <c r="B10" s="9"/>
      <c r="C10" s="9"/>
      <c r="D10" s="9"/>
      <c r="E10" s="9"/>
      <c r="F10" s="9"/>
      <c r="H10" s="10" t="str">
        <f t="shared" si="1"/>
        <v/>
      </c>
      <c r="I10" s="10" t="str">
        <f t="shared" si="2"/>
        <v/>
      </c>
      <c r="J10" s="10" t="str">
        <f t="shared" si="3"/>
        <v/>
      </c>
      <c r="K10" s="10" t="str">
        <f t="shared" si="4"/>
        <v/>
      </c>
      <c r="L10" s="10" t="str">
        <f t="shared" si="5"/>
        <v/>
      </c>
      <c r="M10" s="97"/>
      <c r="N10" s="8" t="b">
        <f t="shared" si="0"/>
        <v>1</v>
      </c>
      <c r="Q10" s="103"/>
      <c r="R10" s="103"/>
      <c r="S10" s="103"/>
      <c r="T10" s="103"/>
      <c r="U10" s="103"/>
      <c r="V10" s="103"/>
      <c r="W10" s="5" t="str">
        <f>'Wins Combination'!T8</f>
        <v>P2</v>
      </c>
      <c r="X10" s="5">
        <f>'Wins Combination'!U8</f>
        <v>0</v>
      </c>
      <c r="Y10" s="59"/>
      <c r="Z10" s="5"/>
    </row>
    <row r="11" spans="2:26" ht="13.5" thickBot="1" x14ac:dyDescent="0.25">
      <c r="B11" s="9"/>
      <c r="C11" s="9"/>
      <c r="D11" s="9"/>
      <c r="E11" s="9"/>
      <c r="F11" s="9"/>
      <c r="H11" s="10" t="str">
        <f t="shared" si="1"/>
        <v/>
      </c>
      <c r="I11" s="10" t="str">
        <f t="shared" si="2"/>
        <v/>
      </c>
      <c r="J11" s="10" t="str">
        <f t="shared" si="3"/>
        <v/>
      </c>
      <c r="K11" s="10" t="str">
        <f t="shared" si="4"/>
        <v/>
      </c>
      <c r="L11" s="10" t="str">
        <f t="shared" si="5"/>
        <v/>
      </c>
      <c r="M11" s="97"/>
      <c r="N11" s="8" t="b">
        <f t="shared" si="0"/>
        <v>1</v>
      </c>
      <c r="Q11" s="103"/>
      <c r="R11" s="103"/>
      <c r="S11" s="103"/>
      <c r="T11" s="103"/>
      <c r="U11" s="103"/>
      <c r="V11" s="103"/>
      <c r="W11" s="5" t="str">
        <f>'Wins Combination'!T9</f>
        <v>J</v>
      </c>
      <c r="X11" s="5">
        <f>'Wins Combination'!U9</f>
        <v>0</v>
      </c>
      <c r="Y11" s="59"/>
      <c r="Z11" s="5"/>
    </row>
    <row r="12" spans="2:26" ht="13.5" thickBot="1" x14ac:dyDescent="0.25">
      <c r="B12" s="9"/>
      <c r="C12" s="9"/>
      <c r="D12" s="9"/>
      <c r="E12" s="9"/>
      <c r="F12" s="9"/>
      <c r="H12" s="10" t="str">
        <f t="shared" si="1"/>
        <v/>
      </c>
      <c r="I12" s="10" t="str">
        <f t="shared" si="2"/>
        <v/>
      </c>
      <c r="J12" s="10" t="str">
        <f t="shared" si="3"/>
        <v/>
      </c>
      <c r="K12" s="10" t="str">
        <f t="shared" si="4"/>
        <v/>
      </c>
      <c r="L12" s="10" t="str">
        <f t="shared" si="5"/>
        <v/>
      </c>
      <c r="M12" s="97"/>
      <c r="N12" s="8" t="b">
        <f t="shared" si="0"/>
        <v>1</v>
      </c>
      <c r="Q12" s="103"/>
      <c r="R12" s="103"/>
      <c r="S12" s="103"/>
      <c r="T12" s="103"/>
      <c r="U12" s="103"/>
      <c r="V12" s="103"/>
      <c r="W12" s="5" t="str">
        <f>'Wins Combination'!T10</f>
        <v>P4</v>
      </c>
      <c r="X12" s="5">
        <f>'Wins Combination'!U10</f>
        <v>0</v>
      </c>
      <c r="Y12" s="59"/>
      <c r="Z12" s="5"/>
    </row>
    <row r="13" spans="2:26" ht="13.5" thickBot="1" x14ac:dyDescent="0.25">
      <c r="B13" s="9"/>
      <c r="C13" s="9"/>
      <c r="D13" s="9"/>
      <c r="E13" s="9"/>
      <c r="F13" s="9"/>
      <c r="H13" s="10" t="str">
        <f t="shared" si="1"/>
        <v/>
      </c>
      <c r="I13" s="10" t="str">
        <f t="shared" si="2"/>
        <v/>
      </c>
      <c r="J13" s="10" t="str">
        <f t="shared" si="3"/>
        <v/>
      </c>
      <c r="K13" s="10" t="str">
        <f t="shared" si="4"/>
        <v/>
      </c>
      <c r="L13" s="10" t="str">
        <f t="shared" si="5"/>
        <v/>
      </c>
      <c r="M13" s="97"/>
      <c r="N13" s="8" t="b">
        <f t="shared" si="0"/>
        <v>1</v>
      </c>
      <c r="Q13" s="103"/>
      <c r="R13" s="103"/>
      <c r="S13" s="103"/>
      <c r="T13" s="103"/>
      <c r="U13" s="103"/>
      <c r="V13" s="103"/>
      <c r="W13" s="5" t="str">
        <f>'Wins Combination'!T11</f>
        <v>SCAT2</v>
      </c>
      <c r="X13" s="5">
        <f>'Wins Combination'!U11</f>
        <v>0</v>
      </c>
      <c r="Y13" s="59"/>
      <c r="Z13" s="5"/>
    </row>
    <row r="14" spans="2:26" ht="13.5" thickBot="1" x14ac:dyDescent="0.25">
      <c r="B14" s="9"/>
      <c r="C14" s="9"/>
      <c r="D14" s="9"/>
      <c r="E14" s="9"/>
      <c r="F14" s="9"/>
      <c r="H14" s="10" t="str">
        <f t="shared" si="1"/>
        <v/>
      </c>
      <c r="I14" s="10" t="str">
        <f t="shared" si="2"/>
        <v/>
      </c>
      <c r="J14" s="10" t="str">
        <f t="shared" si="3"/>
        <v/>
      </c>
      <c r="K14" s="10" t="str">
        <f t="shared" si="4"/>
        <v/>
      </c>
      <c r="L14" s="10" t="str">
        <f t="shared" si="5"/>
        <v/>
      </c>
      <c r="M14" s="97"/>
      <c r="N14" s="8" t="b">
        <f t="shared" si="0"/>
        <v>1</v>
      </c>
      <c r="Q14" s="103"/>
      <c r="R14" s="103"/>
      <c r="S14" s="103"/>
      <c r="T14" s="103"/>
      <c r="U14" s="103"/>
      <c r="V14" s="103"/>
      <c r="W14" s="5" t="str">
        <f>'Wins Combination'!T12</f>
        <v>K</v>
      </c>
      <c r="X14" s="5">
        <f>'Wins Combination'!U12</f>
        <v>0</v>
      </c>
      <c r="Y14" s="59"/>
      <c r="Z14" s="5"/>
    </row>
    <row r="15" spans="2:26" ht="13.5" thickBot="1" x14ac:dyDescent="0.25">
      <c r="B15" s="9"/>
      <c r="C15" s="9"/>
      <c r="D15" s="9"/>
      <c r="E15" s="9"/>
      <c r="F15" s="9"/>
      <c r="H15" s="10" t="str">
        <f t="shared" si="1"/>
        <v/>
      </c>
      <c r="I15" s="10" t="str">
        <f t="shared" si="2"/>
        <v/>
      </c>
      <c r="J15" s="10" t="str">
        <f t="shared" si="3"/>
        <v/>
      </c>
      <c r="K15" s="10" t="str">
        <f t="shared" si="4"/>
        <v/>
      </c>
      <c r="L15" s="10" t="str">
        <f t="shared" si="5"/>
        <v/>
      </c>
      <c r="M15" s="97"/>
      <c r="N15" s="8" t="b">
        <f t="shared" si="0"/>
        <v>1</v>
      </c>
      <c r="Q15" s="103"/>
      <c r="R15" s="103"/>
      <c r="S15" s="103"/>
      <c r="T15" s="103"/>
      <c r="U15" s="103"/>
      <c r="V15" s="103"/>
      <c r="W15" s="5" t="str">
        <f>'Wins Combination'!T13</f>
        <v>P3</v>
      </c>
      <c r="X15" s="5">
        <f>'Wins Combination'!U13</f>
        <v>0</v>
      </c>
      <c r="Y15" s="59"/>
      <c r="Z15" s="5"/>
    </row>
    <row r="16" spans="2:26" ht="13.5" thickBot="1" x14ac:dyDescent="0.25">
      <c r="B16" s="9"/>
      <c r="C16" s="9"/>
      <c r="D16" s="9"/>
      <c r="E16" s="9"/>
      <c r="F16" s="9"/>
      <c r="H16" s="10" t="str">
        <f t="shared" si="1"/>
        <v/>
      </c>
      <c r="I16" s="10" t="str">
        <f t="shared" si="2"/>
        <v/>
      </c>
      <c r="J16" s="10" t="str">
        <f t="shared" si="3"/>
        <v/>
      </c>
      <c r="K16" s="10" t="str">
        <f t="shared" si="4"/>
        <v/>
      </c>
      <c r="L16" s="10" t="str">
        <f t="shared" si="5"/>
        <v/>
      </c>
      <c r="M16" s="97"/>
      <c r="N16" s="8" t="b">
        <f t="shared" si="0"/>
        <v>1</v>
      </c>
      <c r="Q16" s="103"/>
      <c r="R16" s="103"/>
      <c r="S16" s="103"/>
      <c r="T16" s="103"/>
      <c r="U16" s="103"/>
      <c r="V16" s="103"/>
      <c r="W16" s="5" t="str">
        <f>'Wins Combination'!T14</f>
        <v>SCAT1</v>
      </c>
      <c r="X16" s="5">
        <f>'Wins Combination'!U14</f>
        <v>0</v>
      </c>
      <c r="Y16" s="59"/>
      <c r="Z16" s="5"/>
    </row>
    <row r="17" spans="2:26" ht="13.5" thickBot="1" x14ac:dyDescent="0.25">
      <c r="B17" s="9"/>
      <c r="C17" s="9"/>
      <c r="D17" s="9"/>
      <c r="E17" s="9"/>
      <c r="F17" s="9"/>
      <c r="H17" s="10" t="str">
        <f t="shared" si="1"/>
        <v/>
      </c>
      <c r="I17" s="10" t="str">
        <f t="shared" si="2"/>
        <v/>
      </c>
      <c r="J17" s="10" t="str">
        <f t="shared" si="3"/>
        <v/>
      </c>
      <c r="K17" s="10" t="str">
        <f t="shared" si="4"/>
        <v/>
      </c>
      <c r="L17" s="10" t="str">
        <f t="shared" si="5"/>
        <v/>
      </c>
      <c r="M17" s="97"/>
      <c r="N17" s="8" t="b">
        <f t="shared" si="0"/>
        <v>1</v>
      </c>
      <c r="Q17" s="103"/>
      <c r="R17" s="103"/>
      <c r="S17" s="103"/>
      <c r="T17" s="103"/>
      <c r="U17" s="103"/>
      <c r="V17" s="103"/>
      <c r="W17" s="5" t="str">
        <f>'Wins Combination'!T15</f>
        <v>Q</v>
      </c>
      <c r="X17" s="5">
        <f>'Wins Combination'!U15</f>
        <v>0</v>
      </c>
      <c r="Y17" s="59"/>
      <c r="Z17" s="5"/>
    </row>
    <row r="18" spans="2:26" ht="13.5" thickBot="1" x14ac:dyDescent="0.25">
      <c r="B18" s="9"/>
      <c r="C18" s="9"/>
      <c r="D18" s="9"/>
      <c r="E18" s="9"/>
      <c r="F18" s="9"/>
      <c r="H18" s="10" t="str">
        <f t="shared" si="1"/>
        <v/>
      </c>
      <c r="I18" s="10" t="str">
        <f t="shared" si="2"/>
        <v/>
      </c>
      <c r="J18" s="10" t="str">
        <f t="shared" si="3"/>
        <v/>
      </c>
      <c r="K18" s="10" t="str">
        <f t="shared" si="4"/>
        <v/>
      </c>
      <c r="L18" s="10" t="str">
        <f t="shared" si="5"/>
        <v/>
      </c>
      <c r="M18" s="97"/>
      <c r="N18" s="8" t="b">
        <f t="shared" si="0"/>
        <v>1</v>
      </c>
      <c r="Q18" s="103"/>
      <c r="R18" s="103"/>
      <c r="S18" s="103"/>
      <c r="T18" s="103"/>
      <c r="U18" s="103"/>
      <c r="V18" s="103"/>
      <c r="W18" s="5" t="str">
        <f>'Wins Combination'!T16</f>
        <v>SYM1</v>
      </c>
      <c r="X18" s="5">
        <f>'Wins Combination'!U16</f>
        <v>0</v>
      </c>
      <c r="Y18" s="5"/>
      <c r="Z18" s="5"/>
    </row>
    <row r="19" spans="2:26" ht="13.5" thickBot="1" x14ac:dyDescent="0.25">
      <c r="B19" s="9"/>
      <c r="C19" s="9"/>
      <c r="D19" s="9"/>
      <c r="E19" s="9"/>
      <c r="F19" s="9"/>
      <c r="H19" s="10" t="str">
        <f t="shared" si="1"/>
        <v/>
      </c>
      <c r="I19" s="10" t="str">
        <f t="shared" si="2"/>
        <v/>
      </c>
      <c r="J19" s="10" t="str">
        <f t="shared" si="3"/>
        <v/>
      </c>
      <c r="K19" s="10" t="str">
        <f t="shared" si="4"/>
        <v/>
      </c>
      <c r="L19" s="10" t="str">
        <f t="shared" si="5"/>
        <v/>
      </c>
      <c r="M19" s="97"/>
      <c r="N19" s="8" t="b">
        <f t="shared" si="0"/>
        <v>1</v>
      </c>
      <c r="Q19" s="103"/>
      <c r="R19" s="103"/>
      <c r="S19" s="103"/>
      <c r="T19" s="103"/>
      <c r="U19" s="103"/>
      <c r="V19" s="103"/>
      <c r="W19" s="5" t="str">
        <f>'Wins Combination'!T17</f>
        <v>SYM2</v>
      </c>
      <c r="X19" s="5">
        <f>'Wins Combination'!U17</f>
        <v>0</v>
      </c>
      <c r="Y19" s="5"/>
      <c r="Z19" s="5"/>
    </row>
    <row r="20" spans="2:26" ht="13.5" thickBot="1" x14ac:dyDescent="0.25">
      <c r="B20" s="9"/>
      <c r="C20" s="9"/>
      <c r="D20" s="9"/>
      <c r="E20" s="9"/>
      <c r="F20" s="9"/>
      <c r="H20" s="10" t="str">
        <f t="shared" si="1"/>
        <v/>
      </c>
      <c r="I20" s="10" t="str">
        <f t="shared" si="2"/>
        <v/>
      </c>
      <c r="J20" s="10" t="str">
        <f t="shared" si="3"/>
        <v/>
      </c>
      <c r="K20" s="10" t="str">
        <f t="shared" si="4"/>
        <v/>
      </c>
      <c r="L20" s="10" t="str">
        <f t="shared" si="5"/>
        <v/>
      </c>
      <c r="M20" s="97"/>
      <c r="N20" s="8" t="b">
        <f t="shared" si="0"/>
        <v>1</v>
      </c>
      <c r="Q20" s="103"/>
      <c r="R20" s="103"/>
      <c r="S20" s="103"/>
      <c r="T20" s="103"/>
      <c r="U20" s="103"/>
      <c r="V20" s="103"/>
      <c r="W20" s="5" t="str">
        <f>'Wins Combination'!T18</f>
        <v>TEN</v>
      </c>
      <c r="X20" s="5">
        <f>'Wins Combination'!U18</f>
        <v>0</v>
      </c>
      <c r="Z20" s="5"/>
    </row>
    <row r="21" spans="2:26" ht="13.5" thickBot="1" x14ac:dyDescent="0.25">
      <c r="B21" s="9"/>
      <c r="C21" s="9"/>
      <c r="D21" s="9"/>
      <c r="E21" s="9"/>
      <c r="F21" s="9"/>
      <c r="H21" s="10" t="str">
        <f t="shared" si="1"/>
        <v/>
      </c>
      <c r="I21" s="10" t="str">
        <f t="shared" si="2"/>
        <v/>
      </c>
      <c r="J21" s="10" t="str">
        <f t="shared" si="3"/>
        <v/>
      </c>
      <c r="K21" s="10" t="str">
        <f t="shared" si="4"/>
        <v/>
      </c>
      <c r="L21" s="10" t="str">
        <f t="shared" si="5"/>
        <v/>
      </c>
      <c r="M21" s="97"/>
      <c r="N21" s="8" t="b">
        <f t="shared" si="0"/>
        <v>1</v>
      </c>
      <c r="Q21" s="103"/>
      <c r="R21" s="103"/>
      <c r="S21" s="103"/>
      <c r="T21" s="103"/>
      <c r="U21" s="103"/>
      <c r="V21" s="103"/>
      <c r="W21" s="5">
        <f>'Wins Combination'!T19</f>
        <v>0</v>
      </c>
      <c r="X21" s="5">
        <f>'Wins Combination'!U19</f>
        <v>0</v>
      </c>
    </row>
    <row r="22" spans="2:26" ht="13.5" thickBot="1" x14ac:dyDescent="0.25">
      <c r="B22" s="9"/>
      <c r="C22" s="9"/>
      <c r="D22" s="9"/>
      <c r="E22" s="9"/>
      <c r="F22" s="9"/>
      <c r="H22" s="10" t="str">
        <f t="shared" si="1"/>
        <v/>
      </c>
      <c r="I22" s="10" t="str">
        <f t="shared" si="2"/>
        <v/>
      </c>
      <c r="J22" s="10" t="str">
        <f t="shared" si="3"/>
        <v/>
      </c>
      <c r="K22" s="10" t="str">
        <f t="shared" si="4"/>
        <v/>
      </c>
      <c r="L22" s="10" t="str">
        <f t="shared" si="5"/>
        <v/>
      </c>
      <c r="M22" s="97"/>
      <c r="N22" s="8" t="b">
        <f t="shared" si="0"/>
        <v>1</v>
      </c>
      <c r="Q22" s="103"/>
      <c r="R22" s="103"/>
      <c r="S22" s="103"/>
      <c r="T22" s="103"/>
      <c r="U22" s="103"/>
      <c r="V22" s="103"/>
      <c r="W22" s="5">
        <f>'Wins Combination'!T20</f>
        <v>0</v>
      </c>
      <c r="X22" s="5">
        <f>'Wins Combination'!U20</f>
        <v>0</v>
      </c>
    </row>
    <row r="23" spans="2:26" ht="13.5" thickBot="1" x14ac:dyDescent="0.25">
      <c r="B23" s="9"/>
      <c r="C23" s="9"/>
      <c r="D23" s="9"/>
      <c r="E23" s="9"/>
      <c r="F23" s="9"/>
      <c r="H23" s="10" t="str">
        <f t="shared" si="1"/>
        <v/>
      </c>
      <c r="I23" s="10" t="str">
        <f t="shared" si="2"/>
        <v/>
      </c>
      <c r="J23" s="10" t="str">
        <f t="shared" si="3"/>
        <v/>
      </c>
      <c r="K23" s="10" t="str">
        <f t="shared" si="4"/>
        <v/>
      </c>
      <c r="L23" s="10" t="str">
        <f t="shared" si="5"/>
        <v/>
      </c>
      <c r="M23" s="97"/>
      <c r="N23" s="8" t="b">
        <f t="shared" si="0"/>
        <v>1</v>
      </c>
      <c r="Q23" s="103"/>
      <c r="R23" s="103"/>
      <c r="S23" s="103"/>
      <c r="T23" s="103"/>
      <c r="U23" s="103"/>
      <c r="V23" s="103"/>
      <c r="W23" s="5">
        <f>'Wins Combination'!T21</f>
        <v>0</v>
      </c>
      <c r="X23" s="5">
        <f>'Wins Combination'!U21</f>
        <v>0</v>
      </c>
    </row>
    <row r="24" spans="2:26" ht="13.5" thickBot="1" x14ac:dyDescent="0.25">
      <c r="B24" s="9"/>
      <c r="C24" s="9"/>
      <c r="D24" s="9"/>
      <c r="E24" s="9"/>
      <c r="F24" s="9"/>
      <c r="H24" s="10" t="str">
        <f t="shared" si="1"/>
        <v/>
      </c>
      <c r="I24" s="10" t="str">
        <f t="shared" si="2"/>
        <v/>
      </c>
      <c r="J24" s="10" t="str">
        <f t="shared" si="3"/>
        <v/>
      </c>
      <c r="K24" s="10" t="str">
        <f t="shared" si="4"/>
        <v/>
      </c>
      <c r="L24" s="10" t="str">
        <f t="shared" si="5"/>
        <v/>
      </c>
      <c r="M24" s="97"/>
      <c r="N24" s="8" t="b">
        <f t="shared" si="0"/>
        <v>1</v>
      </c>
      <c r="Q24" s="103"/>
      <c r="R24" s="103"/>
      <c r="S24" s="103"/>
      <c r="T24" s="103"/>
      <c r="U24" s="103"/>
      <c r="V24" s="103"/>
      <c r="W24" s="5">
        <f>'Wins Combination'!T22</f>
        <v>0</v>
      </c>
      <c r="X24" s="5">
        <f>'Wins Combination'!U22</f>
        <v>0</v>
      </c>
    </row>
    <row r="25" spans="2:26" ht="13.5" thickBot="1" x14ac:dyDescent="0.25">
      <c r="B25" s="9"/>
      <c r="C25" s="9"/>
      <c r="D25" s="9"/>
      <c r="E25" s="9"/>
      <c r="F25" s="9"/>
      <c r="H25" s="10" t="str">
        <f t="shared" si="1"/>
        <v/>
      </c>
      <c r="I25" s="10" t="str">
        <f t="shared" si="2"/>
        <v/>
      </c>
      <c r="J25" s="10" t="str">
        <f t="shared" si="3"/>
        <v/>
      </c>
      <c r="K25" s="10" t="str">
        <f t="shared" si="4"/>
        <v/>
      </c>
      <c r="L25" s="10" t="str">
        <f t="shared" si="5"/>
        <v/>
      </c>
      <c r="M25" s="97"/>
      <c r="N25" s="8" t="b">
        <f t="shared" si="0"/>
        <v>1</v>
      </c>
      <c r="Q25" s="103"/>
      <c r="R25" s="103"/>
      <c r="S25" s="103"/>
      <c r="T25" s="103"/>
      <c r="U25" s="103"/>
      <c r="V25" s="103"/>
      <c r="W25" s="5">
        <f>'Wins Combination'!T23</f>
        <v>0</v>
      </c>
      <c r="X25" s="5">
        <f>'Wins Combination'!U23</f>
        <v>0</v>
      </c>
    </row>
    <row r="26" spans="2:26" ht="13.5" thickBot="1" x14ac:dyDescent="0.25">
      <c r="B26" s="9"/>
      <c r="C26" s="9"/>
      <c r="D26" s="9"/>
      <c r="E26" s="9"/>
      <c r="F26" s="9"/>
      <c r="H26" s="10" t="str">
        <f t="shared" si="1"/>
        <v/>
      </c>
      <c r="I26" s="10" t="str">
        <f t="shared" si="2"/>
        <v/>
      </c>
      <c r="J26" s="10" t="str">
        <f t="shared" si="3"/>
        <v/>
      </c>
      <c r="K26" s="10" t="str">
        <f t="shared" si="4"/>
        <v/>
      </c>
      <c r="L26" s="10" t="str">
        <f t="shared" si="5"/>
        <v/>
      </c>
      <c r="M26" s="97"/>
      <c r="N26" s="8" t="b">
        <f t="shared" si="0"/>
        <v>1</v>
      </c>
      <c r="Q26" s="103"/>
      <c r="R26" s="103"/>
      <c r="S26" s="103"/>
      <c r="T26" s="103"/>
      <c r="U26" s="103"/>
      <c r="V26" s="103"/>
      <c r="W26" s="5">
        <f>'Wins Combination'!T24</f>
        <v>0</v>
      </c>
      <c r="X26" s="5">
        <f>'Wins Combination'!U24</f>
        <v>0</v>
      </c>
    </row>
    <row r="27" spans="2:26" ht="13.5" thickBot="1" x14ac:dyDescent="0.25">
      <c r="B27" s="9"/>
      <c r="C27" s="9"/>
      <c r="D27" s="9"/>
      <c r="E27" s="9"/>
      <c r="F27" s="9"/>
      <c r="H27" s="10" t="str">
        <f t="shared" si="1"/>
        <v/>
      </c>
      <c r="I27" s="10" t="str">
        <f t="shared" si="2"/>
        <v/>
      </c>
      <c r="J27" s="10" t="str">
        <f t="shared" si="3"/>
        <v/>
      </c>
      <c r="K27" s="10" t="str">
        <f t="shared" si="4"/>
        <v/>
      </c>
      <c r="L27" s="10" t="str">
        <f t="shared" si="5"/>
        <v/>
      </c>
      <c r="M27" s="97"/>
      <c r="N27" s="8" t="b">
        <f t="shared" si="0"/>
        <v>1</v>
      </c>
      <c r="Q27" s="103"/>
      <c r="R27" s="103"/>
      <c r="S27" s="103"/>
      <c r="T27" s="103"/>
      <c r="U27" s="103"/>
      <c r="V27" s="103"/>
      <c r="W27" s="5">
        <f>'Wins Combination'!T25</f>
        <v>0</v>
      </c>
      <c r="X27" s="5">
        <f>'Wins Combination'!U25</f>
        <v>0</v>
      </c>
    </row>
    <row r="28" spans="2:26" ht="13.5" thickBot="1" x14ac:dyDescent="0.25">
      <c r="B28" s="9"/>
      <c r="C28" s="9"/>
      <c r="D28" s="9"/>
      <c r="E28" s="9"/>
      <c r="F28" s="9"/>
      <c r="H28" s="10" t="str">
        <f t="shared" si="1"/>
        <v/>
      </c>
      <c r="I28" s="10" t="str">
        <f t="shared" si="2"/>
        <v/>
      </c>
      <c r="J28" s="10" t="str">
        <f t="shared" si="3"/>
        <v/>
      </c>
      <c r="K28" s="10" t="str">
        <f t="shared" si="4"/>
        <v/>
      </c>
      <c r="L28" s="10" t="str">
        <f t="shared" si="5"/>
        <v/>
      </c>
      <c r="M28" s="97"/>
      <c r="N28" s="8" t="b">
        <f t="shared" si="0"/>
        <v>1</v>
      </c>
      <c r="Q28" s="103"/>
      <c r="R28" s="103"/>
      <c r="S28" s="103"/>
      <c r="T28" s="103"/>
      <c r="U28" s="103"/>
      <c r="V28" s="103"/>
      <c r="W28" s="5">
        <f>'Wins Combination'!T26</f>
        <v>0</v>
      </c>
      <c r="X28" s="5">
        <f>'Wins Combination'!U26</f>
        <v>0</v>
      </c>
    </row>
    <row r="29" spans="2:26" ht="13.5" thickBot="1" x14ac:dyDescent="0.25">
      <c r="B29" s="9"/>
      <c r="C29" s="9"/>
      <c r="D29" s="9"/>
      <c r="E29" s="9"/>
      <c r="F29" s="9"/>
      <c r="H29" s="10" t="str">
        <f t="shared" si="1"/>
        <v/>
      </c>
      <c r="I29" s="10" t="str">
        <f t="shared" si="2"/>
        <v/>
      </c>
      <c r="J29" s="10" t="str">
        <f t="shared" si="3"/>
        <v/>
      </c>
      <c r="K29" s="10" t="str">
        <f t="shared" si="4"/>
        <v/>
      </c>
      <c r="L29" s="10" t="str">
        <f t="shared" si="5"/>
        <v/>
      </c>
      <c r="M29" s="97"/>
      <c r="N29" s="8" t="b">
        <f t="shared" si="0"/>
        <v>1</v>
      </c>
      <c r="Q29" s="103"/>
      <c r="R29" s="103"/>
      <c r="S29" s="103"/>
      <c r="T29" s="103"/>
      <c r="U29" s="103"/>
      <c r="V29" s="103"/>
      <c r="W29" s="5">
        <f>'Wins Combination'!T27</f>
        <v>0</v>
      </c>
      <c r="X29" s="5">
        <f>'Wins Combination'!U27</f>
        <v>0</v>
      </c>
    </row>
    <row r="30" spans="2:26" ht="13.5" thickBot="1" x14ac:dyDescent="0.25">
      <c r="B30" s="9"/>
      <c r="C30" s="9"/>
      <c r="D30" s="9"/>
      <c r="E30" s="9"/>
      <c r="F30" s="9"/>
      <c r="H30" s="10" t="str">
        <f t="shared" si="1"/>
        <v/>
      </c>
      <c r="I30" s="10" t="str">
        <f t="shared" si="2"/>
        <v/>
      </c>
      <c r="J30" s="10" t="str">
        <f t="shared" si="3"/>
        <v/>
      </c>
      <c r="K30" s="10" t="str">
        <f t="shared" si="4"/>
        <v/>
      </c>
      <c r="L30" s="10" t="str">
        <f t="shared" si="5"/>
        <v/>
      </c>
      <c r="M30" s="97"/>
      <c r="N30" s="8" t="b">
        <f t="shared" si="0"/>
        <v>1</v>
      </c>
      <c r="Q30" s="103"/>
      <c r="R30" s="103"/>
      <c r="S30" s="103"/>
      <c r="T30" s="103"/>
      <c r="U30" s="103"/>
      <c r="V30" s="103"/>
      <c r="W30" s="5">
        <f>'Wins Combination'!T28</f>
        <v>0</v>
      </c>
      <c r="X30" s="5">
        <f>'Wins Combination'!U28</f>
        <v>0</v>
      </c>
    </row>
    <row r="31" spans="2:26" ht="13.5" thickBot="1" x14ac:dyDescent="0.25">
      <c r="B31" s="9"/>
      <c r="C31" s="9"/>
      <c r="D31" s="9"/>
      <c r="E31" s="9"/>
      <c r="F31" s="9"/>
      <c r="H31" s="10" t="str">
        <f t="shared" si="1"/>
        <v/>
      </c>
      <c r="I31" s="10" t="str">
        <f t="shared" si="2"/>
        <v/>
      </c>
      <c r="J31" s="10" t="str">
        <f t="shared" si="3"/>
        <v/>
      </c>
      <c r="K31" s="10" t="str">
        <f t="shared" si="4"/>
        <v/>
      </c>
      <c r="L31" s="10" t="str">
        <f t="shared" si="5"/>
        <v/>
      </c>
      <c r="M31" s="97"/>
      <c r="N31" s="8" t="b">
        <f t="shared" si="0"/>
        <v>1</v>
      </c>
      <c r="Q31" s="103"/>
      <c r="R31" s="103"/>
      <c r="S31" s="103"/>
      <c r="T31" s="103"/>
      <c r="U31" s="103"/>
      <c r="V31" s="103"/>
      <c r="W31" s="5">
        <f>'Wins Combination'!T29</f>
        <v>0</v>
      </c>
      <c r="X31" s="5">
        <f>'Wins Combination'!U29</f>
        <v>0</v>
      </c>
    </row>
    <row r="32" spans="2:26" ht="13.5" thickBot="1" x14ac:dyDescent="0.25">
      <c r="B32" s="9"/>
      <c r="C32" s="9"/>
      <c r="D32" s="9"/>
      <c r="E32" s="9"/>
      <c r="F32" s="9"/>
      <c r="H32" s="10" t="str">
        <f t="shared" si="1"/>
        <v/>
      </c>
      <c r="I32" s="10" t="str">
        <f t="shared" si="2"/>
        <v/>
      </c>
      <c r="J32" s="10" t="str">
        <f t="shared" si="3"/>
        <v/>
      </c>
      <c r="K32" s="10" t="str">
        <f t="shared" si="4"/>
        <v/>
      </c>
      <c r="L32" s="10" t="str">
        <f t="shared" si="5"/>
        <v/>
      </c>
      <c r="M32" s="97"/>
      <c r="N32" s="8" t="b">
        <f t="shared" si="0"/>
        <v>1</v>
      </c>
      <c r="Q32" s="103"/>
      <c r="R32" s="103"/>
      <c r="S32" s="103"/>
      <c r="T32" s="103"/>
      <c r="U32" s="103"/>
      <c r="V32" s="103"/>
      <c r="W32" s="5">
        <f>'Wins Combination'!T30</f>
        <v>0</v>
      </c>
      <c r="X32" s="5">
        <f>'Wins Combination'!U30</f>
        <v>0</v>
      </c>
    </row>
    <row r="33" spans="2:24" ht="13.5" thickBot="1" x14ac:dyDescent="0.25">
      <c r="B33" s="9"/>
      <c r="C33" s="9"/>
      <c r="D33" s="9"/>
      <c r="E33" s="9"/>
      <c r="F33" s="9"/>
      <c r="H33" s="10" t="str">
        <f t="shared" si="1"/>
        <v/>
      </c>
      <c r="I33" s="10" t="str">
        <f t="shared" si="2"/>
        <v/>
      </c>
      <c r="J33" s="10" t="str">
        <f t="shared" si="3"/>
        <v/>
      </c>
      <c r="K33" s="10" t="str">
        <f t="shared" si="4"/>
        <v/>
      </c>
      <c r="L33" s="10" t="str">
        <f t="shared" si="5"/>
        <v/>
      </c>
      <c r="M33" s="97"/>
      <c r="N33" s="8" t="b">
        <f t="shared" si="0"/>
        <v>1</v>
      </c>
      <c r="Q33" s="103"/>
      <c r="R33" s="103"/>
      <c r="S33" s="103"/>
      <c r="T33" s="103"/>
      <c r="U33" s="103"/>
      <c r="V33" s="103"/>
      <c r="W33" s="5">
        <f>'Wins Combination'!T31</f>
        <v>0</v>
      </c>
      <c r="X33" s="5">
        <f>'Wins Combination'!U31</f>
        <v>0</v>
      </c>
    </row>
    <row r="34" spans="2:24" ht="13.5" thickBot="1" x14ac:dyDescent="0.25">
      <c r="B34" s="9"/>
      <c r="C34" s="9"/>
      <c r="D34" s="9"/>
      <c r="E34" s="9"/>
      <c r="F34" s="9"/>
      <c r="H34" s="10" t="str">
        <f t="shared" si="1"/>
        <v/>
      </c>
      <c r="I34" s="10" t="str">
        <f t="shared" si="2"/>
        <v/>
      </c>
      <c r="J34" s="10" t="str">
        <f t="shared" si="3"/>
        <v/>
      </c>
      <c r="K34" s="10" t="str">
        <f t="shared" si="4"/>
        <v/>
      </c>
      <c r="L34" s="10" t="str">
        <f t="shared" si="5"/>
        <v/>
      </c>
      <c r="M34" s="97"/>
      <c r="N34" s="8" t="b">
        <f t="shared" si="0"/>
        <v>1</v>
      </c>
      <c r="Q34" s="103"/>
      <c r="R34" s="103"/>
      <c r="S34" s="103"/>
      <c r="T34" s="103"/>
      <c r="U34" s="103"/>
      <c r="V34" s="103"/>
      <c r="W34" s="5">
        <f>'Wins Combination'!T32</f>
        <v>0</v>
      </c>
      <c r="X34" s="5">
        <f>'Wins Combination'!U32</f>
        <v>0</v>
      </c>
    </row>
    <row r="35" spans="2:24" ht="13.5" thickBot="1" x14ac:dyDescent="0.25">
      <c r="B35" s="9"/>
      <c r="C35" s="9"/>
      <c r="D35" s="9"/>
      <c r="E35" s="9"/>
      <c r="F35" s="9"/>
      <c r="H35" s="10" t="str">
        <f t="shared" si="1"/>
        <v/>
      </c>
      <c r="I35" s="10" t="str">
        <f t="shared" si="2"/>
        <v/>
      </c>
      <c r="J35" s="10" t="str">
        <f t="shared" si="3"/>
        <v/>
      </c>
      <c r="K35" s="10" t="str">
        <f t="shared" si="4"/>
        <v/>
      </c>
      <c r="L35" s="10" t="str">
        <f t="shared" si="5"/>
        <v/>
      </c>
      <c r="M35" s="97"/>
      <c r="N35" s="8" t="b">
        <f t="shared" si="0"/>
        <v>1</v>
      </c>
      <c r="Q35" s="103"/>
      <c r="R35" s="103"/>
      <c r="S35" s="103"/>
      <c r="T35" s="103"/>
      <c r="U35" s="103"/>
      <c r="V35" s="103"/>
      <c r="W35" s="5">
        <f>'Wins Combination'!T33</f>
        <v>0</v>
      </c>
      <c r="X35" s="5">
        <f>'Wins Combination'!U33</f>
        <v>0</v>
      </c>
    </row>
    <row r="36" spans="2:24" ht="13.5" thickBot="1" x14ac:dyDescent="0.25">
      <c r="B36" s="9"/>
      <c r="C36" s="9"/>
      <c r="D36" s="9"/>
      <c r="E36" s="9"/>
      <c r="F36" s="9"/>
      <c r="H36" s="10" t="str">
        <f t="shared" si="1"/>
        <v/>
      </c>
      <c r="I36" s="10" t="str">
        <f t="shared" si="2"/>
        <v/>
      </c>
      <c r="J36" s="10" t="str">
        <f t="shared" si="3"/>
        <v/>
      </c>
      <c r="K36" s="10" t="str">
        <f t="shared" si="4"/>
        <v/>
      </c>
      <c r="L36" s="10" t="str">
        <f t="shared" si="5"/>
        <v/>
      </c>
      <c r="M36" s="97"/>
      <c r="N36" s="8" t="b">
        <f t="shared" si="0"/>
        <v>1</v>
      </c>
      <c r="Q36" s="103"/>
      <c r="R36" s="103"/>
      <c r="S36" s="103"/>
      <c r="T36" s="103"/>
      <c r="U36" s="103"/>
      <c r="V36" s="103"/>
      <c r="W36" s="5">
        <f>'Wins Combination'!T34</f>
        <v>0</v>
      </c>
      <c r="X36" s="5">
        <f>'Wins Combination'!U34</f>
        <v>0</v>
      </c>
    </row>
    <row r="37" spans="2:24" ht="13.5" thickBot="1" x14ac:dyDescent="0.25">
      <c r="B37" s="9"/>
      <c r="C37" s="9"/>
      <c r="D37" s="9"/>
      <c r="E37" s="9"/>
      <c r="F37" s="9"/>
      <c r="H37" s="10" t="str">
        <f t="shared" si="1"/>
        <v/>
      </c>
      <c r="I37" s="10" t="str">
        <f t="shared" si="2"/>
        <v/>
      </c>
      <c r="J37" s="10" t="str">
        <f t="shared" si="3"/>
        <v/>
      </c>
      <c r="K37" s="10" t="str">
        <f t="shared" si="4"/>
        <v/>
      </c>
      <c r="L37" s="10" t="str">
        <f t="shared" si="5"/>
        <v/>
      </c>
      <c r="M37" s="97"/>
      <c r="N37" s="8" t="b">
        <f t="shared" si="0"/>
        <v>1</v>
      </c>
      <c r="Q37" s="103"/>
      <c r="R37" s="103"/>
      <c r="S37" s="103"/>
      <c r="T37" s="103"/>
      <c r="U37" s="103"/>
      <c r="V37" s="103"/>
      <c r="W37" s="5">
        <f>'Wins Combination'!T35</f>
        <v>0</v>
      </c>
      <c r="X37" s="5">
        <f>'Wins Combination'!U35</f>
        <v>0</v>
      </c>
    </row>
    <row r="38" spans="2:24" ht="13.5" thickBot="1" x14ac:dyDescent="0.25">
      <c r="B38" s="104"/>
      <c r="C38" s="104"/>
      <c r="D38" s="104"/>
      <c r="E38" s="104"/>
      <c r="F38" s="104"/>
      <c r="H38" s="10" t="str">
        <f t="shared" si="1"/>
        <v/>
      </c>
      <c r="I38" s="10" t="str">
        <f t="shared" si="2"/>
        <v/>
      </c>
      <c r="J38" s="10" t="str">
        <f t="shared" si="3"/>
        <v/>
      </c>
      <c r="K38" s="10" t="str">
        <f t="shared" si="4"/>
        <v/>
      </c>
      <c r="L38" s="10" t="str">
        <f t="shared" si="5"/>
        <v/>
      </c>
      <c r="M38" s="97"/>
      <c r="N38" s="8" t="b">
        <f t="shared" si="0"/>
        <v>1</v>
      </c>
      <c r="Q38" s="103"/>
      <c r="R38" s="103"/>
      <c r="S38" s="103"/>
      <c r="T38" s="103"/>
      <c r="U38" s="103"/>
      <c r="V38" s="103"/>
      <c r="W38" s="5">
        <f>'Wins Combination'!T36</f>
        <v>0</v>
      </c>
      <c r="X38" s="5">
        <f>'Wins Combination'!U36</f>
        <v>0</v>
      </c>
    </row>
    <row r="39" spans="2:24" ht="13.5" thickBot="1" x14ac:dyDescent="0.25">
      <c r="B39" s="104"/>
      <c r="C39" s="104"/>
      <c r="D39" s="104"/>
      <c r="E39" s="104"/>
      <c r="F39" s="104"/>
      <c r="H39" s="10" t="str">
        <f t="shared" si="1"/>
        <v/>
      </c>
      <c r="I39" s="10" t="str">
        <f t="shared" si="2"/>
        <v/>
      </c>
      <c r="J39" s="10" t="str">
        <f t="shared" si="3"/>
        <v/>
      </c>
      <c r="K39" s="10" t="str">
        <f t="shared" si="4"/>
        <v/>
      </c>
      <c r="L39" s="10" t="str">
        <f t="shared" si="5"/>
        <v/>
      </c>
      <c r="M39" s="97"/>
      <c r="N39" s="8" t="b">
        <f t="shared" si="0"/>
        <v>1</v>
      </c>
      <c r="Q39" s="103"/>
      <c r="R39" s="103"/>
      <c r="S39" s="103"/>
      <c r="T39" s="103"/>
      <c r="U39" s="103"/>
      <c r="V39" s="103"/>
      <c r="W39" s="5">
        <f>'Wins Combination'!T37</f>
        <v>0</v>
      </c>
      <c r="X39" s="5">
        <f>'Wins Combination'!U37</f>
        <v>0</v>
      </c>
    </row>
    <row r="40" spans="2:24" ht="13.5" thickBot="1" x14ac:dyDescent="0.25">
      <c r="B40" s="104"/>
      <c r="C40" s="104"/>
      <c r="D40" s="104"/>
      <c r="E40" s="104"/>
      <c r="F40" s="104"/>
      <c r="H40" s="10" t="str">
        <f t="shared" si="1"/>
        <v/>
      </c>
      <c r="I40" s="10" t="str">
        <f t="shared" si="2"/>
        <v/>
      </c>
      <c r="J40" s="10" t="str">
        <f t="shared" si="3"/>
        <v/>
      </c>
      <c r="K40" s="10" t="str">
        <f t="shared" si="4"/>
        <v/>
      </c>
      <c r="L40" s="10" t="str">
        <f t="shared" si="5"/>
        <v/>
      </c>
      <c r="M40" s="97"/>
      <c r="N40" s="8" t="b">
        <f t="shared" si="0"/>
        <v>1</v>
      </c>
      <c r="Q40" s="103"/>
      <c r="R40" s="103"/>
      <c r="S40" s="103"/>
      <c r="T40" s="103"/>
      <c r="U40" s="103"/>
      <c r="V40" s="103"/>
      <c r="W40" s="5">
        <f>'Wins Combination'!T38</f>
        <v>0</v>
      </c>
      <c r="X40" s="5">
        <f>'Wins Combination'!U38</f>
        <v>0</v>
      </c>
    </row>
    <row r="41" spans="2:24" ht="13.5" thickBot="1" x14ac:dyDescent="0.25">
      <c r="B41" s="104"/>
      <c r="C41" s="104"/>
      <c r="D41" s="104"/>
      <c r="E41" s="104"/>
      <c r="F41" s="104"/>
      <c r="H41" s="10" t="str">
        <f t="shared" si="1"/>
        <v/>
      </c>
      <c r="I41" s="10" t="str">
        <f t="shared" si="2"/>
        <v/>
      </c>
      <c r="J41" s="10" t="str">
        <f t="shared" si="3"/>
        <v/>
      </c>
      <c r="K41" s="10" t="str">
        <f t="shared" si="4"/>
        <v/>
      </c>
      <c r="L41" s="10" t="str">
        <f t="shared" si="5"/>
        <v/>
      </c>
      <c r="M41" s="97"/>
      <c r="N41" s="8" t="b">
        <f t="shared" ref="N41" si="6">IF($B41=$H41,IF($C41=$I41,IF($D41=$J41,IF($E41=$K41,IF($F41=$L41,TRUE,FALSE),FALSE),FALSE),FALSE),FALSE)</f>
        <v>1</v>
      </c>
      <c r="Q41" s="103"/>
      <c r="R41" s="103"/>
      <c r="S41" s="103"/>
      <c r="T41" s="103"/>
      <c r="U41" s="103"/>
      <c r="V41" s="103"/>
    </row>
    <row r="42" spans="2:24" ht="13.5" thickBot="1" x14ac:dyDescent="0.25">
      <c r="B42" s="104"/>
      <c r="C42" s="104"/>
      <c r="D42" s="104"/>
      <c r="E42" s="104"/>
      <c r="F42" s="104"/>
      <c r="H42" s="10" t="str">
        <f t="shared" si="1"/>
        <v/>
      </c>
      <c r="I42" s="10" t="str">
        <f t="shared" si="2"/>
        <v/>
      </c>
      <c r="J42" s="10" t="str">
        <f t="shared" si="3"/>
        <v/>
      </c>
      <c r="K42" s="10" t="str">
        <f t="shared" si="4"/>
        <v/>
      </c>
      <c r="L42" s="10" t="str">
        <f t="shared" si="5"/>
        <v/>
      </c>
      <c r="M42" s="97"/>
      <c r="N42" s="8" t="b">
        <f t="shared" si="0"/>
        <v>1</v>
      </c>
      <c r="Q42" s="103"/>
      <c r="R42" s="103"/>
      <c r="S42" s="103"/>
      <c r="T42" s="103"/>
      <c r="U42" s="103"/>
      <c r="V42" s="103"/>
    </row>
    <row r="43" spans="2:24" ht="13.5" thickBot="1" x14ac:dyDescent="0.25">
      <c r="B43" s="104"/>
      <c r="C43" s="104"/>
      <c r="D43" s="104"/>
      <c r="E43" s="104"/>
      <c r="F43" s="104"/>
      <c r="H43" s="10" t="str">
        <f t="shared" si="1"/>
        <v/>
      </c>
      <c r="I43" s="10" t="str">
        <f t="shared" si="2"/>
        <v/>
      </c>
      <c r="J43" s="10" t="str">
        <f t="shared" si="3"/>
        <v/>
      </c>
      <c r="K43" s="10" t="str">
        <f t="shared" si="4"/>
        <v/>
      </c>
      <c r="L43" s="10" t="str">
        <f t="shared" si="5"/>
        <v/>
      </c>
      <c r="M43" s="97"/>
      <c r="N43" s="8" t="b">
        <f t="shared" si="0"/>
        <v>1</v>
      </c>
      <c r="Q43" s="103"/>
      <c r="R43" s="103"/>
      <c r="S43" s="103"/>
      <c r="T43" s="103"/>
      <c r="U43" s="103"/>
      <c r="V43" s="103"/>
    </row>
    <row r="44" spans="2:24" ht="13.5" thickBot="1" x14ac:dyDescent="0.25">
      <c r="B44" s="104"/>
      <c r="C44" s="104"/>
      <c r="D44" s="104"/>
      <c r="E44" s="104"/>
      <c r="F44" s="104"/>
      <c r="H44" s="10" t="str">
        <f t="shared" si="1"/>
        <v/>
      </c>
      <c r="I44" s="10" t="str">
        <f t="shared" si="2"/>
        <v/>
      </c>
      <c r="J44" s="10" t="str">
        <f t="shared" si="3"/>
        <v/>
      </c>
      <c r="K44" s="10" t="str">
        <f t="shared" si="4"/>
        <v/>
      </c>
      <c r="L44" s="10" t="str">
        <f t="shared" si="5"/>
        <v/>
      </c>
      <c r="M44" s="97"/>
      <c r="N44" s="8" t="b">
        <f t="shared" si="0"/>
        <v>1</v>
      </c>
      <c r="Q44" s="103"/>
      <c r="R44" s="103"/>
      <c r="S44" s="103"/>
      <c r="T44" s="103"/>
      <c r="U44" s="103"/>
      <c r="V44" s="103"/>
    </row>
    <row r="45" spans="2:24" ht="13.5" thickBot="1" x14ac:dyDescent="0.25">
      <c r="B45" s="104"/>
      <c r="C45" s="104"/>
      <c r="D45" s="104"/>
      <c r="E45" s="104"/>
      <c r="F45" s="104"/>
      <c r="H45" s="10" t="str">
        <f t="shared" si="1"/>
        <v/>
      </c>
      <c r="I45" s="10" t="str">
        <f t="shared" si="2"/>
        <v/>
      </c>
      <c r="J45" s="10" t="str">
        <f t="shared" si="3"/>
        <v/>
      </c>
      <c r="K45" s="10" t="str">
        <f t="shared" si="4"/>
        <v/>
      </c>
      <c r="L45" s="10" t="str">
        <f t="shared" si="5"/>
        <v/>
      </c>
      <c r="M45" s="97"/>
      <c r="N45" s="8" t="b">
        <f t="shared" si="0"/>
        <v>1</v>
      </c>
      <c r="Q45" s="103"/>
      <c r="R45" s="103"/>
      <c r="S45" s="103"/>
      <c r="T45" s="103"/>
      <c r="U45" s="103"/>
      <c r="V45" s="103"/>
    </row>
    <row r="46" spans="2:24" ht="13.5" thickBot="1" x14ac:dyDescent="0.25">
      <c r="B46" s="104"/>
      <c r="C46" s="104"/>
      <c r="D46" s="105"/>
      <c r="E46" s="104"/>
      <c r="F46" s="104"/>
      <c r="H46" s="10" t="str">
        <f t="shared" si="1"/>
        <v/>
      </c>
      <c r="I46" s="10" t="str">
        <f t="shared" si="2"/>
        <v/>
      </c>
      <c r="J46" s="10" t="str">
        <f t="shared" si="3"/>
        <v/>
      </c>
      <c r="K46" s="10" t="str">
        <f t="shared" si="4"/>
        <v/>
      </c>
      <c r="L46" s="10" t="str">
        <f t="shared" si="5"/>
        <v/>
      </c>
      <c r="M46" s="97"/>
      <c r="N46" s="8" t="b">
        <f t="shared" si="0"/>
        <v>1</v>
      </c>
      <c r="Q46" s="103"/>
      <c r="R46" s="103"/>
      <c r="S46" s="103"/>
      <c r="T46" s="103"/>
      <c r="U46" s="103"/>
      <c r="V46" s="103"/>
    </row>
    <row r="47" spans="2:24" ht="13.5" thickBot="1" x14ac:dyDescent="0.25">
      <c r="B47" s="104"/>
      <c r="C47" s="104"/>
      <c r="D47" s="106"/>
      <c r="E47" s="106"/>
      <c r="F47" s="104"/>
      <c r="H47" s="10" t="str">
        <f t="shared" si="1"/>
        <v/>
      </c>
      <c r="I47" s="10" t="str">
        <f t="shared" si="2"/>
        <v/>
      </c>
      <c r="J47" s="10" t="str">
        <f t="shared" si="3"/>
        <v/>
      </c>
      <c r="K47" s="10" t="str">
        <f t="shared" si="4"/>
        <v/>
      </c>
      <c r="L47" s="10" t="str">
        <f t="shared" si="5"/>
        <v/>
      </c>
      <c r="M47" s="97"/>
      <c r="N47" s="8" t="b">
        <f t="shared" si="0"/>
        <v>1</v>
      </c>
      <c r="Q47" s="103"/>
      <c r="R47" s="103"/>
      <c r="S47" s="103"/>
      <c r="T47" s="103"/>
      <c r="U47" s="103"/>
      <c r="V47" s="103"/>
    </row>
    <row r="48" spans="2:24" ht="13.5" thickBot="1" x14ac:dyDescent="0.25">
      <c r="B48" s="106"/>
      <c r="C48" s="104"/>
      <c r="D48" s="106"/>
      <c r="E48" s="106"/>
      <c r="F48" s="104"/>
      <c r="H48" s="10" t="str">
        <f t="shared" si="1"/>
        <v/>
      </c>
      <c r="I48" s="10" t="str">
        <f t="shared" si="2"/>
        <v/>
      </c>
      <c r="J48" s="10" t="str">
        <f t="shared" si="3"/>
        <v/>
      </c>
      <c r="K48" s="10" t="str">
        <f t="shared" si="4"/>
        <v/>
      </c>
      <c r="L48" s="10" t="str">
        <f t="shared" si="5"/>
        <v/>
      </c>
      <c r="M48" s="97"/>
      <c r="N48" s="8" t="b">
        <f t="shared" si="0"/>
        <v>1</v>
      </c>
      <c r="Q48" s="103"/>
      <c r="R48" s="103"/>
      <c r="S48" s="103"/>
      <c r="T48" s="103"/>
      <c r="U48" s="103"/>
      <c r="V48" s="103"/>
    </row>
    <row r="49" spans="2:22" ht="13.5" thickBot="1" x14ac:dyDescent="0.25">
      <c r="B49" s="106"/>
      <c r="C49" s="106"/>
      <c r="D49" s="106"/>
      <c r="E49" s="106"/>
      <c r="F49" s="106"/>
      <c r="H49" s="10" t="str">
        <f t="shared" si="1"/>
        <v/>
      </c>
      <c r="I49" s="10" t="str">
        <f t="shared" si="2"/>
        <v/>
      </c>
      <c r="J49" s="10" t="str">
        <f t="shared" si="3"/>
        <v/>
      </c>
      <c r="K49" s="10" t="str">
        <f t="shared" si="4"/>
        <v/>
      </c>
      <c r="L49" s="10" t="str">
        <f t="shared" si="5"/>
        <v/>
      </c>
      <c r="M49" s="97"/>
      <c r="N49" s="8" t="b">
        <f t="shared" si="0"/>
        <v>1</v>
      </c>
      <c r="Q49" s="103"/>
      <c r="R49" s="103"/>
      <c r="S49" s="103"/>
      <c r="T49" s="103"/>
      <c r="U49" s="103"/>
      <c r="V49" s="103"/>
    </row>
    <row r="50" spans="2:22" ht="13.5" thickBot="1" x14ac:dyDescent="0.25">
      <c r="B50" s="106"/>
      <c r="C50" s="106"/>
      <c r="D50" s="106"/>
      <c r="E50" s="106"/>
      <c r="F50" s="106"/>
      <c r="H50" s="10" t="str">
        <f t="shared" si="1"/>
        <v/>
      </c>
      <c r="I50" s="10" t="str">
        <f t="shared" si="2"/>
        <v/>
      </c>
      <c r="J50" s="10" t="str">
        <f t="shared" si="3"/>
        <v/>
      </c>
      <c r="K50" s="10" t="str">
        <f t="shared" si="4"/>
        <v/>
      </c>
      <c r="L50" s="10" t="str">
        <f t="shared" si="5"/>
        <v/>
      </c>
      <c r="M50" s="97"/>
      <c r="N50" s="8" t="b">
        <f t="shared" si="0"/>
        <v>1</v>
      </c>
      <c r="Q50" s="103"/>
      <c r="R50" s="103"/>
      <c r="S50" s="103"/>
      <c r="T50" s="103"/>
      <c r="U50" s="103"/>
      <c r="V50" s="103"/>
    </row>
    <row r="51" spans="2:22" ht="13.5" thickBot="1" x14ac:dyDescent="0.25">
      <c r="B51" s="107"/>
      <c r="C51" s="107"/>
      <c r="D51" s="107"/>
      <c r="E51" s="107"/>
      <c r="F51" s="107"/>
      <c r="H51" s="10" t="str">
        <f t="shared" si="1"/>
        <v/>
      </c>
      <c r="I51" s="10" t="str">
        <f t="shared" si="2"/>
        <v/>
      </c>
      <c r="J51" s="10" t="str">
        <f t="shared" si="3"/>
        <v/>
      </c>
      <c r="K51" s="10" t="str">
        <f t="shared" si="4"/>
        <v/>
      </c>
      <c r="L51" s="10" t="str">
        <f t="shared" si="5"/>
        <v/>
      </c>
      <c r="M51" s="97"/>
      <c r="N51" s="8" t="b">
        <f t="shared" si="0"/>
        <v>1</v>
      </c>
      <c r="Q51" s="103"/>
      <c r="R51" s="103"/>
      <c r="S51" s="103"/>
      <c r="T51" s="103"/>
      <c r="U51" s="103"/>
      <c r="V51" s="103"/>
    </row>
    <row r="52" spans="2:22" ht="13.5" thickBot="1" x14ac:dyDescent="0.25">
      <c r="B52" s="107"/>
      <c r="C52" s="107"/>
      <c r="D52" s="107"/>
      <c r="E52" s="107"/>
      <c r="F52" s="107"/>
      <c r="H52" s="10" t="str">
        <f t="shared" si="1"/>
        <v/>
      </c>
      <c r="I52" s="10" t="str">
        <f t="shared" si="2"/>
        <v/>
      </c>
      <c r="J52" s="10" t="str">
        <f t="shared" si="3"/>
        <v/>
      </c>
      <c r="K52" s="10" t="str">
        <f t="shared" si="4"/>
        <v/>
      </c>
      <c r="L52" s="10" t="str">
        <f t="shared" si="5"/>
        <v/>
      </c>
      <c r="M52" s="97"/>
      <c r="N52" s="8" t="b">
        <f t="shared" si="0"/>
        <v>1</v>
      </c>
      <c r="Q52" s="103"/>
      <c r="R52" s="103"/>
      <c r="S52" s="103"/>
      <c r="T52" s="103"/>
      <c r="U52" s="103"/>
      <c r="V52" s="103"/>
    </row>
    <row r="53" spans="2:22" ht="12.75" customHeight="1" thickBot="1" x14ac:dyDescent="0.25">
      <c r="B53" s="107"/>
      <c r="C53" s="107"/>
      <c r="D53" s="107"/>
      <c r="E53" s="107"/>
      <c r="F53" s="107"/>
      <c r="H53" s="10" t="str">
        <f t="shared" si="1"/>
        <v/>
      </c>
      <c r="I53" s="10" t="str">
        <f t="shared" si="2"/>
        <v/>
      </c>
      <c r="J53" s="10" t="str">
        <f t="shared" si="3"/>
        <v/>
      </c>
      <c r="K53" s="10" t="str">
        <f t="shared" si="4"/>
        <v/>
      </c>
      <c r="L53" s="10" t="str">
        <f t="shared" si="5"/>
        <v/>
      </c>
      <c r="M53" s="97"/>
      <c r="N53" s="8" t="b">
        <f t="shared" si="0"/>
        <v>1</v>
      </c>
      <c r="Q53" s="103"/>
      <c r="R53" s="103"/>
      <c r="S53" s="103"/>
      <c r="T53" s="103"/>
      <c r="U53" s="103"/>
      <c r="V53" s="103"/>
    </row>
    <row r="54" spans="2:22" ht="12.75" customHeight="1" thickBot="1" x14ac:dyDescent="0.25">
      <c r="B54" s="108"/>
      <c r="C54" s="108"/>
      <c r="D54" s="108"/>
      <c r="E54" s="108"/>
      <c r="F54" s="108"/>
      <c r="H54" s="10" t="str">
        <f t="shared" si="1"/>
        <v/>
      </c>
      <c r="I54" s="10" t="str">
        <f t="shared" si="2"/>
        <v/>
      </c>
      <c r="J54" s="10" t="str">
        <f t="shared" si="3"/>
        <v/>
      </c>
      <c r="K54" s="10" t="str">
        <f t="shared" si="4"/>
        <v/>
      </c>
      <c r="L54" s="10" t="str">
        <f t="shared" si="5"/>
        <v/>
      </c>
      <c r="M54" s="97"/>
      <c r="N54" s="8" t="b">
        <f t="shared" si="0"/>
        <v>1</v>
      </c>
      <c r="Q54" s="103"/>
      <c r="R54" s="103"/>
      <c r="S54" s="103"/>
      <c r="T54" s="103"/>
      <c r="U54" s="103"/>
      <c r="V54" s="103"/>
    </row>
    <row r="55" spans="2:22" ht="13.5" thickBot="1" x14ac:dyDescent="0.25">
      <c r="B55" s="108"/>
      <c r="C55" s="108"/>
      <c r="D55" s="108"/>
      <c r="E55" s="108"/>
      <c r="F55" s="108"/>
      <c r="H55" s="10" t="str">
        <f t="shared" si="1"/>
        <v/>
      </c>
      <c r="I55" s="10" t="str">
        <f t="shared" si="2"/>
        <v/>
      </c>
      <c r="J55" s="10" t="str">
        <f t="shared" si="3"/>
        <v/>
      </c>
      <c r="K55" s="10" t="str">
        <f t="shared" si="4"/>
        <v/>
      </c>
      <c r="L55" s="10" t="str">
        <f t="shared" si="5"/>
        <v/>
      </c>
      <c r="M55" s="97"/>
      <c r="N55" s="8" t="b">
        <f t="shared" si="0"/>
        <v>1</v>
      </c>
      <c r="Q55" s="103"/>
      <c r="R55" s="103"/>
      <c r="S55" s="103"/>
      <c r="T55" s="103"/>
      <c r="U55" s="103"/>
      <c r="V55" s="103"/>
    </row>
    <row r="56" spans="2:22" ht="13.5" thickBot="1" x14ac:dyDescent="0.25">
      <c r="B56" s="108"/>
      <c r="C56" s="108"/>
      <c r="D56" s="108"/>
      <c r="E56" s="108"/>
      <c r="F56" s="108"/>
      <c r="H56" s="10" t="str">
        <f t="shared" si="1"/>
        <v/>
      </c>
      <c r="I56" s="10" t="str">
        <f t="shared" si="2"/>
        <v/>
      </c>
      <c r="J56" s="10" t="str">
        <f t="shared" si="3"/>
        <v/>
      </c>
      <c r="K56" s="10" t="str">
        <f t="shared" si="4"/>
        <v/>
      </c>
      <c r="L56" s="10" t="str">
        <f t="shared" si="5"/>
        <v/>
      </c>
      <c r="M56" s="97"/>
      <c r="N56" s="8" t="b">
        <f t="shared" si="0"/>
        <v>1</v>
      </c>
      <c r="Q56" s="103"/>
      <c r="R56" s="103"/>
      <c r="S56" s="103"/>
      <c r="T56" s="103"/>
      <c r="U56" s="103"/>
      <c r="V56" s="103"/>
    </row>
    <row r="57" spans="2:22" ht="13.5" thickBot="1" x14ac:dyDescent="0.25">
      <c r="B57" s="108"/>
      <c r="C57" s="108"/>
      <c r="D57" s="108"/>
      <c r="E57" s="108"/>
      <c r="F57" s="108"/>
      <c r="H57" s="10" t="str">
        <f t="shared" si="1"/>
        <v/>
      </c>
      <c r="I57" s="10" t="str">
        <f t="shared" si="2"/>
        <v/>
      </c>
      <c r="J57" s="10" t="str">
        <f t="shared" si="3"/>
        <v/>
      </c>
      <c r="K57" s="10" t="str">
        <f t="shared" si="4"/>
        <v/>
      </c>
      <c r="L57" s="10" t="str">
        <f t="shared" si="5"/>
        <v/>
      </c>
      <c r="M57" s="97"/>
      <c r="N57" s="8" t="b">
        <f t="shared" si="0"/>
        <v>1</v>
      </c>
      <c r="Q57" s="103"/>
      <c r="R57" s="103"/>
      <c r="S57" s="103"/>
      <c r="T57" s="103"/>
      <c r="U57" s="103"/>
      <c r="V57" s="103"/>
    </row>
    <row r="58" spans="2:22" ht="13.5" thickBot="1" x14ac:dyDescent="0.25">
      <c r="B58" s="108"/>
      <c r="C58" s="108"/>
      <c r="D58" s="108"/>
      <c r="E58" s="108"/>
      <c r="F58" s="108"/>
      <c r="H58" s="10" t="str">
        <f t="shared" si="1"/>
        <v/>
      </c>
      <c r="I58" s="10" t="str">
        <f t="shared" si="2"/>
        <v/>
      </c>
      <c r="J58" s="10" t="str">
        <f t="shared" si="3"/>
        <v/>
      </c>
      <c r="K58" s="10" t="str">
        <f t="shared" si="4"/>
        <v/>
      </c>
      <c r="L58" s="10" t="str">
        <f t="shared" si="5"/>
        <v/>
      </c>
      <c r="N58" s="8" t="b">
        <f t="shared" si="0"/>
        <v>1</v>
      </c>
      <c r="Q58" s="103"/>
      <c r="R58" s="103"/>
      <c r="S58" s="103"/>
      <c r="T58" s="103"/>
      <c r="U58" s="103"/>
      <c r="V58" s="103"/>
    </row>
    <row r="59" spans="2:22" ht="13.5" thickBot="1" x14ac:dyDescent="0.25">
      <c r="B59" s="108"/>
      <c r="C59" s="108"/>
      <c r="D59" s="108"/>
      <c r="E59" s="108"/>
      <c r="F59" s="108"/>
      <c r="H59" s="10" t="str">
        <f t="shared" si="1"/>
        <v/>
      </c>
      <c r="I59" s="10" t="str">
        <f t="shared" si="2"/>
        <v/>
      </c>
      <c r="J59" s="10" t="str">
        <f t="shared" si="3"/>
        <v/>
      </c>
      <c r="K59" s="10" t="str">
        <f t="shared" si="4"/>
        <v/>
      </c>
      <c r="L59" s="10" t="str">
        <f t="shared" si="5"/>
        <v/>
      </c>
      <c r="N59" s="8" t="b">
        <f t="shared" si="0"/>
        <v>1</v>
      </c>
      <c r="Q59" s="103"/>
      <c r="R59" s="103"/>
      <c r="S59" s="103"/>
      <c r="T59" s="103"/>
      <c r="U59" s="103"/>
      <c r="V59" s="103"/>
    </row>
    <row r="60" spans="2:22" ht="13.5" thickBot="1" x14ac:dyDescent="0.25">
      <c r="B60" s="108"/>
      <c r="C60" s="108"/>
      <c r="D60" s="108"/>
      <c r="E60" s="108"/>
      <c r="F60" s="108"/>
      <c r="H60" s="10" t="str">
        <f t="shared" si="1"/>
        <v/>
      </c>
      <c r="I60" s="10" t="str">
        <f t="shared" si="2"/>
        <v/>
      </c>
      <c r="J60" s="10" t="str">
        <f t="shared" si="3"/>
        <v/>
      </c>
      <c r="K60" s="10" t="str">
        <f t="shared" si="4"/>
        <v/>
      </c>
      <c r="L60" s="10" t="str">
        <f t="shared" si="5"/>
        <v/>
      </c>
      <c r="N60" s="8" t="b">
        <f t="shared" si="0"/>
        <v>1</v>
      </c>
      <c r="Q60" s="103"/>
      <c r="R60" s="103"/>
      <c r="S60" s="103"/>
      <c r="T60" s="103"/>
      <c r="U60" s="103"/>
      <c r="V60" s="103"/>
    </row>
    <row r="61" spans="2:22" ht="13.5" thickBot="1" x14ac:dyDescent="0.25">
      <c r="B61" s="108"/>
      <c r="C61" s="108"/>
      <c r="D61" s="108"/>
      <c r="E61" s="108"/>
      <c r="F61" s="108"/>
      <c r="H61" s="10" t="str">
        <f t="shared" si="1"/>
        <v/>
      </c>
      <c r="I61" s="10" t="str">
        <f t="shared" si="2"/>
        <v/>
      </c>
      <c r="J61" s="10" t="str">
        <f t="shared" si="3"/>
        <v/>
      </c>
      <c r="K61" s="10" t="str">
        <f t="shared" si="4"/>
        <v/>
      </c>
      <c r="L61" s="10" t="str">
        <f t="shared" si="5"/>
        <v/>
      </c>
      <c r="N61" s="8" t="b">
        <f t="shared" si="0"/>
        <v>1</v>
      </c>
      <c r="Q61" s="103"/>
      <c r="R61" s="103"/>
      <c r="S61" s="103"/>
      <c r="T61" s="103"/>
      <c r="U61" s="103"/>
      <c r="V61" s="103"/>
    </row>
    <row r="62" spans="2:22" ht="13.5" thickBot="1" x14ac:dyDescent="0.25">
      <c r="B62" s="108"/>
      <c r="C62" s="108"/>
      <c r="D62" s="108"/>
      <c r="E62" s="108"/>
      <c r="F62" s="108"/>
      <c r="H62" s="10" t="str">
        <f t="shared" si="1"/>
        <v/>
      </c>
      <c r="I62" s="10" t="str">
        <f t="shared" si="2"/>
        <v/>
      </c>
      <c r="J62" s="10" t="str">
        <f t="shared" si="3"/>
        <v/>
      </c>
      <c r="K62" s="10" t="str">
        <f t="shared" si="4"/>
        <v/>
      </c>
      <c r="L62" s="10" t="str">
        <f t="shared" si="5"/>
        <v/>
      </c>
      <c r="N62" s="8" t="b">
        <f t="shared" si="0"/>
        <v>1</v>
      </c>
      <c r="Q62" s="103"/>
      <c r="R62" s="103"/>
      <c r="S62" s="103"/>
      <c r="T62" s="103"/>
      <c r="U62" s="103"/>
      <c r="V62" s="103"/>
    </row>
    <row r="63" spans="2:22" ht="13.5" thickBot="1" x14ac:dyDescent="0.25">
      <c r="B63" s="108"/>
      <c r="C63" s="108"/>
      <c r="D63" s="108"/>
      <c r="E63" s="108"/>
      <c r="F63" s="108"/>
      <c r="H63" s="10" t="str">
        <f t="shared" si="1"/>
        <v/>
      </c>
      <c r="I63" s="10" t="str">
        <f t="shared" si="2"/>
        <v/>
      </c>
      <c r="J63" s="10" t="str">
        <f t="shared" si="3"/>
        <v/>
      </c>
      <c r="K63" s="10" t="str">
        <f t="shared" si="4"/>
        <v/>
      </c>
      <c r="L63" s="10" t="str">
        <f t="shared" si="5"/>
        <v/>
      </c>
      <c r="N63" s="8" t="b">
        <f t="shared" si="0"/>
        <v>1</v>
      </c>
      <c r="Q63" s="103"/>
      <c r="R63" s="103"/>
      <c r="S63" s="103"/>
      <c r="T63" s="103"/>
      <c r="U63" s="103"/>
      <c r="V63" s="103"/>
    </row>
    <row r="64" spans="2:22" ht="13.5" thickBot="1" x14ac:dyDescent="0.25">
      <c r="B64" s="108"/>
      <c r="C64" s="108"/>
      <c r="D64" s="108"/>
      <c r="E64" s="108"/>
      <c r="F64" s="108"/>
      <c r="H64" s="10" t="str">
        <f t="shared" si="1"/>
        <v/>
      </c>
      <c r="I64" s="10" t="str">
        <f t="shared" si="2"/>
        <v/>
      </c>
      <c r="J64" s="10" t="str">
        <f t="shared" si="3"/>
        <v/>
      </c>
      <c r="K64" s="10" t="str">
        <f t="shared" si="4"/>
        <v/>
      </c>
      <c r="L64" s="10" t="str">
        <f t="shared" si="5"/>
        <v/>
      </c>
      <c r="N64" s="8" t="b">
        <f t="shared" si="0"/>
        <v>1</v>
      </c>
      <c r="Q64" s="103"/>
      <c r="R64" s="103"/>
      <c r="S64" s="103"/>
      <c r="T64" s="103"/>
      <c r="U64" s="103"/>
      <c r="V64" s="103"/>
    </row>
    <row r="65" spans="2:22" ht="13.5" thickBot="1" x14ac:dyDescent="0.25">
      <c r="B65" s="108"/>
      <c r="C65" s="108"/>
      <c r="D65" s="108"/>
      <c r="E65" s="108"/>
      <c r="F65" s="108"/>
      <c r="H65" s="10" t="str">
        <f t="shared" si="1"/>
        <v/>
      </c>
      <c r="I65" s="10" t="str">
        <f t="shared" si="2"/>
        <v/>
      </c>
      <c r="J65" s="10" t="str">
        <f t="shared" si="3"/>
        <v/>
      </c>
      <c r="K65" s="10" t="str">
        <f t="shared" si="4"/>
        <v/>
      </c>
      <c r="L65" s="10" t="str">
        <f t="shared" si="5"/>
        <v/>
      </c>
      <c r="N65" s="8" t="b">
        <f t="shared" si="0"/>
        <v>1</v>
      </c>
      <c r="Q65" s="103"/>
      <c r="R65" s="103"/>
      <c r="S65" s="103"/>
      <c r="T65" s="103"/>
      <c r="U65" s="103"/>
      <c r="V65" s="103"/>
    </row>
    <row r="66" spans="2:22" ht="13.5" thickBot="1" x14ac:dyDescent="0.25">
      <c r="B66" s="108"/>
      <c r="C66" s="108"/>
      <c r="D66" s="108"/>
      <c r="E66" s="108"/>
      <c r="F66" s="108"/>
      <c r="H66" s="10" t="str">
        <f t="shared" si="1"/>
        <v/>
      </c>
      <c r="I66" s="10" t="str">
        <f t="shared" si="2"/>
        <v/>
      </c>
      <c r="J66" s="10" t="str">
        <f t="shared" si="3"/>
        <v/>
      </c>
      <c r="K66" s="10" t="str">
        <f t="shared" si="4"/>
        <v/>
      </c>
      <c r="L66" s="10" t="str">
        <f t="shared" si="5"/>
        <v/>
      </c>
      <c r="N66" s="8" t="b">
        <f t="shared" si="0"/>
        <v>1</v>
      </c>
      <c r="Q66" s="103"/>
      <c r="R66" s="103"/>
      <c r="S66" s="103"/>
      <c r="T66" s="103"/>
      <c r="U66" s="103"/>
      <c r="V66" s="103"/>
    </row>
    <row r="67" spans="2:22" ht="12.75" customHeight="1" thickBot="1" x14ac:dyDescent="0.25">
      <c r="B67" s="108"/>
      <c r="C67" s="108"/>
      <c r="D67" s="108"/>
      <c r="E67" s="108"/>
      <c r="F67" s="108"/>
      <c r="H67" s="10" t="str">
        <f t="shared" si="1"/>
        <v/>
      </c>
      <c r="I67" s="10" t="str">
        <f t="shared" si="2"/>
        <v/>
      </c>
      <c r="J67" s="10" t="str">
        <f t="shared" si="3"/>
        <v/>
      </c>
      <c r="K67" s="10" t="str">
        <f t="shared" si="4"/>
        <v/>
      </c>
      <c r="L67" s="10" t="str">
        <f t="shared" si="5"/>
        <v/>
      </c>
      <c r="N67" s="8" t="b">
        <f t="shared" si="0"/>
        <v>1</v>
      </c>
      <c r="Q67" s="103"/>
      <c r="R67" s="103"/>
      <c r="S67" s="103"/>
      <c r="T67" s="103"/>
      <c r="U67" s="103"/>
      <c r="V67" s="103"/>
    </row>
    <row r="68" spans="2:22" ht="13.5" thickBot="1" x14ac:dyDescent="0.25">
      <c r="B68" s="108"/>
      <c r="C68" s="108"/>
      <c r="D68" s="108"/>
      <c r="E68" s="108"/>
      <c r="F68" s="108"/>
      <c r="H68" s="10" t="str">
        <f t="shared" si="1"/>
        <v/>
      </c>
      <c r="I68" s="10" t="str">
        <f t="shared" si="2"/>
        <v/>
      </c>
      <c r="J68" s="10" t="str">
        <f t="shared" si="3"/>
        <v/>
      </c>
      <c r="K68" s="10" t="str">
        <f t="shared" si="4"/>
        <v/>
      </c>
      <c r="L68" s="10" t="str">
        <f t="shared" si="5"/>
        <v/>
      </c>
      <c r="N68" s="8" t="b">
        <f t="shared" si="0"/>
        <v>1</v>
      </c>
      <c r="Q68" s="103"/>
      <c r="R68" s="103"/>
      <c r="S68" s="103"/>
      <c r="T68" s="103"/>
      <c r="U68" s="103"/>
      <c r="V68" s="103"/>
    </row>
    <row r="69" spans="2:22" ht="13.5" thickBot="1" x14ac:dyDescent="0.25">
      <c r="B69" s="108"/>
      <c r="C69" s="108"/>
      <c r="D69" s="108"/>
      <c r="E69" s="108"/>
      <c r="F69" s="108"/>
      <c r="H69" s="10" t="str">
        <f t="shared" si="1"/>
        <v/>
      </c>
      <c r="I69" s="10" t="str">
        <f t="shared" si="2"/>
        <v/>
      </c>
      <c r="J69" s="10" t="str">
        <f t="shared" si="3"/>
        <v/>
      </c>
      <c r="K69" s="10" t="str">
        <f t="shared" si="4"/>
        <v/>
      </c>
      <c r="L69" s="10" t="str">
        <f t="shared" si="5"/>
        <v/>
      </c>
      <c r="N69" s="8" t="b">
        <f t="shared" si="0"/>
        <v>1</v>
      </c>
      <c r="Q69" s="103"/>
      <c r="R69" s="103"/>
      <c r="S69" s="103"/>
      <c r="T69" s="103"/>
      <c r="U69" s="103"/>
      <c r="V69" s="103"/>
    </row>
    <row r="70" spans="2:22" ht="13.5" thickBot="1" x14ac:dyDescent="0.25">
      <c r="B70" s="108"/>
      <c r="C70" s="108"/>
      <c r="D70" s="108"/>
      <c r="E70" s="108"/>
      <c r="F70" s="108"/>
      <c r="H70" s="10" t="str">
        <f t="shared" si="1"/>
        <v/>
      </c>
      <c r="I70" s="10" t="str">
        <f t="shared" si="2"/>
        <v/>
      </c>
      <c r="J70" s="10" t="str">
        <f t="shared" si="3"/>
        <v/>
      </c>
      <c r="K70" s="10" t="str">
        <f t="shared" si="4"/>
        <v/>
      </c>
      <c r="L70" s="10" t="str">
        <f t="shared" si="5"/>
        <v/>
      </c>
      <c r="N70" s="8" t="b">
        <f t="shared" si="0"/>
        <v>1</v>
      </c>
      <c r="Q70" s="103"/>
      <c r="R70" s="103"/>
      <c r="S70" s="103"/>
      <c r="T70" s="103"/>
      <c r="U70" s="103"/>
      <c r="V70" s="103"/>
    </row>
    <row r="71" spans="2:22" ht="13.5" thickBot="1" x14ac:dyDescent="0.25">
      <c r="B71" s="108"/>
      <c r="C71" s="108"/>
      <c r="D71" s="108"/>
      <c r="E71" s="108"/>
      <c r="F71" s="108"/>
      <c r="H71" s="10" t="str">
        <f t="shared" si="1"/>
        <v/>
      </c>
      <c r="I71" s="10" t="str">
        <f t="shared" si="2"/>
        <v/>
      </c>
      <c r="J71" s="10" t="str">
        <f t="shared" si="3"/>
        <v/>
      </c>
      <c r="K71" s="10" t="str">
        <f t="shared" si="4"/>
        <v/>
      </c>
      <c r="L71" s="10" t="str">
        <f t="shared" si="5"/>
        <v/>
      </c>
      <c r="N71" s="8" t="b">
        <f t="shared" si="0"/>
        <v>1</v>
      </c>
      <c r="Q71" s="103"/>
      <c r="R71" s="103"/>
      <c r="S71" s="103"/>
      <c r="T71" s="103"/>
      <c r="U71" s="103"/>
      <c r="V71" s="103"/>
    </row>
    <row r="72" spans="2:22" ht="13.5" thickBot="1" x14ac:dyDescent="0.25">
      <c r="B72" s="108"/>
      <c r="C72" s="108"/>
      <c r="D72" s="108"/>
      <c r="E72" s="108"/>
      <c r="F72" s="108"/>
      <c r="H72" s="10" t="str">
        <f t="shared" si="1"/>
        <v/>
      </c>
      <c r="I72" s="10" t="str">
        <f t="shared" si="2"/>
        <v/>
      </c>
      <c r="J72" s="10" t="str">
        <f t="shared" si="3"/>
        <v/>
      </c>
      <c r="K72" s="10" t="str">
        <f t="shared" si="4"/>
        <v/>
      </c>
      <c r="L72" s="10" t="str">
        <f t="shared" si="5"/>
        <v/>
      </c>
      <c r="N72" s="8" t="b">
        <f t="shared" ref="N72:N135" si="7">IF($B72=$H72,IF($C72=$I72,IF($D72=$J72,IF($E72=$K72,IF($F72=$L72,TRUE,FALSE),FALSE),FALSE),FALSE),FALSE)</f>
        <v>1</v>
      </c>
      <c r="Q72" s="103"/>
      <c r="R72" s="103"/>
      <c r="S72" s="103"/>
      <c r="T72" s="103"/>
      <c r="U72" s="103"/>
      <c r="V72" s="103"/>
    </row>
    <row r="73" spans="2:22" ht="13.5" thickBot="1" x14ac:dyDescent="0.25">
      <c r="B73" s="108"/>
      <c r="C73" s="108"/>
      <c r="D73" s="108"/>
      <c r="E73" s="108"/>
      <c r="F73" s="108"/>
      <c r="H73" s="10" t="str">
        <f t="shared" ref="H73:H136" si="8">IF(Q73="", "", LOOKUP(Q73,$W$8:$W$40,$X$8:$X$40))</f>
        <v/>
      </c>
      <c r="I73" s="10" t="str">
        <f t="shared" ref="I73:I136" si="9">IF(R73="", "", LOOKUP(R73,$W$8:$W$40,$X$8:$X$40))</f>
        <v/>
      </c>
      <c r="J73" s="10" t="str">
        <f t="shared" ref="J73:J136" si="10">IF(S73="", "", LOOKUP(S73,$W$8:$W$40,$X$8:$X$40))</f>
        <v/>
      </c>
      <c r="K73" s="10" t="str">
        <f t="shared" ref="K73:K136" si="11">IF(T73="", "", LOOKUP(T73,$W$8:$W$40,$X$8:$X$40))</f>
        <v/>
      </c>
      <c r="L73" s="10" t="str">
        <f t="shared" ref="L73:L136" si="12">IF(U73="", "", LOOKUP(U73,$W$8:$W$40,$X$8:$X$40))</f>
        <v/>
      </c>
      <c r="N73" s="8" t="b">
        <f t="shared" si="7"/>
        <v>1</v>
      </c>
      <c r="Q73" s="103"/>
      <c r="R73" s="103"/>
      <c r="S73" s="103"/>
      <c r="T73" s="103"/>
      <c r="U73" s="103"/>
      <c r="V73" s="103"/>
    </row>
    <row r="74" spans="2:22" ht="13.5" thickBot="1" x14ac:dyDescent="0.25">
      <c r="B74" s="108"/>
      <c r="C74" s="108"/>
      <c r="D74" s="108"/>
      <c r="E74" s="108"/>
      <c r="F74" s="108"/>
      <c r="H74" s="10" t="str">
        <f t="shared" si="8"/>
        <v/>
      </c>
      <c r="I74" s="10" t="str">
        <f t="shared" si="9"/>
        <v/>
      </c>
      <c r="J74" s="10" t="str">
        <f t="shared" si="10"/>
        <v/>
      </c>
      <c r="K74" s="10" t="str">
        <f t="shared" si="11"/>
        <v/>
      </c>
      <c r="L74" s="10" t="str">
        <f t="shared" si="12"/>
        <v/>
      </c>
      <c r="N74" s="8" t="b">
        <f t="shared" si="7"/>
        <v>1</v>
      </c>
      <c r="Q74" s="103"/>
      <c r="R74" s="103"/>
      <c r="S74" s="103"/>
      <c r="T74" s="103"/>
      <c r="U74" s="103"/>
      <c r="V74" s="103"/>
    </row>
    <row r="75" spans="2:22" ht="13.5" thickBot="1" x14ac:dyDescent="0.25">
      <c r="B75" s="9"/>
      <c r="C75" s="9"/>
      <c r="D75" s="9"/>
      <c r="E75" s="9"/>
      <c r="F75" s="9"/>
      <c r="H75" s="10" t="str">
        <f t="shared" si="8"/>
        <v/>
      </c>
      <c r="I75" s="10" t="str">
        <f t="shared" si="9"/>
        <v/>
      </c>
      <c r="J75" s="10" t="str">
        <f t="shared" si="10"/>
        <v/>
      </c>
      <c r="K75" s="10" t="str">
        <f t="shared" si="11"/>
        <v/>
      </c>
      <c r="L75" s="10" t="str">
        <f t="shared" si="12"/>
        <v/>
      </c>
      <c r="N75" s="8" t="b">
        <f t="shared" si="7"/>
        <v>1</v>
      </c>
      <c r="Q75" s="103"/>
      <c r="R75" s="103"/>
      <c r="S75" s="103"/>
      <c r="T75" s="103"/>
      <c r="U75" s="103"/>
      <c r="V75" s="103"/>
    </row>
    <row r="76" spans="2:22" ht="13.5" thickBot="1" x14ac:dyDescent="0.25">
      <c r="B76" s="9"/>
      <c r="C76" s="9"/>
      <c r="D76" s="9"/>
      <c r="E76" s="9"/>
      <c r="F76" s="9"/>
      <c r="H76" s="10" t="str">
        <f t="shared" si="8"/>
        <v/>
      </c>
      <c r="I76" s="10" t="str">
        <f t="shared" si="9"/>
        <v/>
      </c>
      <c r="J76" s="10" t="str">
        <f t="shared" si="10"/>
        <v/>
      </c>
      <c r="K76" s="10" t="str">
        <f t="shared" si="11"/>
        <v/>
      </c>
      <c r="L76" s="10" t="str">
        <f t="shared" si="12"/>
        <v/>
      </c>
      <c r="N76" s="8" t="b">
        <f t="shared" si="7"/>
        <v>1</v>
      </c>
      <c r="Q76" s="103"/>
      <c r="R76" s="103"/>
      <c r="S76" s="103"/>
      <c r="T76" s="103"/>
      <c r="U76" s="103"/>
      <c r="V76" s="103"/>
    </row>
    <row r="77" spans="2:22" ht="13.5" thickBot="1" x14ac:dyDescent="0.25">
      <c r="B77" s="9"/>
      <c r="C77" s="9"/>
      <c r="D77" s="9"/>
      <c r="E77" s="9"/>
      <c r="F77" s="9"/>
      <c r="H77" s="10" t="str">
        <f t="shared" si="8"/>
        <v/>
      </c>
      <c r="I77" s="10" t="str">
        <f t="shared" si="9"/>
        <v/>
      </c>
      <c r="J77" s="10" t="str">
        <f t="shared" si="10"/>
        <v/>
      </c>
      <c r="K77" s="10" t="str">
        <f t="shared" si="11"/>
        <v/>
      </c>
      <c r="L77" s="10" t="str">
        <f t="shared" si="12"/>
        <v/>
      </c>
      <c r="N77" s="8" t="b">
        <f t="shared" si="7"/>
        <v>1</v>
      </c>
      <c r="Q77" s="103"/>
      <c r="R77" s="103"/>
      <c r="S77" s="103"/>
      <c r="T77" s="103"/>
      <c r="U77" s="103"/>
      <c r="V77" s="103"/>
    </row>
    <row r="78" spans="2:22" ht="13.5" thickBot="1" x14ac:dyDescent="0.25">
      <c r="B78" s="9"/>
      <c r="C78" s="9"/>
      <c r="D78" s="9"/>
      <c r="E78" s="9"/>
      <c r="F78" s="9"/>
      <c r="H78" s="10" t="str">
        <f t="shared" si="8"/>
        <v/>
      </c>
      <c r="I78" s="10" t="str">
        <f t="shared" si="9"/>
        <v/>
      </c>
      <c r="J78" s="10" t="str">
        <f t="shared" si="10"/>
        <v/>
      </c>
      <c r="K78" s="10" t="str">
        <f t="shared" si="11"/>
        <v/>
      </c>
      <c r="L78" s="10" t="str">
        <f t="shared" si="12"/>
        <v/>
      </c>
      <c r="N78" s="8" t="b">
        <f t="shared" si="7"/>
        <v>1</v>
      </c>
      <c r="Q78" s="103"/>
      <c r="R78" s="103"/>
      <c r="S78" s="103"/>
      <c r="T78" s="103"/>
      <c r="U78" s="103"/>
      <c r="V78" s="103"/>
    </row>
    <row r="79" spans="2:22" ht="13.5" thickBot="1" x14ac:dyDescent="0.25">
      <c r="B79" s="9"/>
      <c r="C79" s="9"/>
      <c r="D79" s="9"/>
      <c r="E79" s="9"/>
      <c r="F79" s="9"/>
      <c r="H79" s="10" t="str">
        <f t="shared" si="8"/>
        <v/>
      </c>
      <c r="I79" s="10" t="str">
        <f t="shared" si="9"/>
        <v/>
      </c>
      <c r="J79" s="10" t="str">
        <f t="shared" si="10"/>
        <v/>
      </c>
      <c r="K79" s="10" t="str">
        <f t="shared" si="11"/>
        <v/>
      </c>
      <c r="L79" s="10" t="str">
        <f t="shared" si="12"/>
        <v/>
      </c>
      <c r="N79" s="8" t="b">
        <f t="shared" si="7"/>
        <v>1</v>
      </c>
      <c r="Q79" s="103"/>
      <c r="R79" s="103"/>
      <c r="S79" s="103"/>
      <c r="T79" s="103"/>
      <c r="U79" s="103"/>
      <c r="V79" s="103"/>
    </row>
    <row r="80" spans="2:22" ht="13.5" thickBot="1" x14ac:dyDescent="0.25">
      <c r="B80" s="9"/>
      <c r="C80" s="9"/>
      <c r="D80" s="9"/>
      <c r="E80" s="9"/>
      <c r="F80" s="9"/>
      <c r="H80" s="10" t="str">
        <f t="shared" si="8"/>
        <v/>
      </c>
      <c r="I80" s="10" t="str">
        <f t="shared" si="9"/>
        <v/>
      </c>
      <c r="J80" s="10" t="str">
        <f t="shared" si="10"/>
        <v/>
      </c>
      <c r="K80" s="10" t="str">
        <f t="shared" si="11"/>
        <v/>
      </c>
      <c r="L80" s="10" t="str">
        <f t="shared" si="12"/>
        <v/>
      </c>
      <c r="N80" s="8" t="b">
        <f t="shared" si="7"/>
        <v>1</v>
      </c>
      <c r="Q80" s="103"/>
      <c r="R80" s="103"/>
      <c r="S80" s="103"/>
      <c r="T80" s="103"/>
      <c r="U80" s="103"/>
      <c r="V80" s="103"/>
    </row>
    <row r="81" spans="2:22" ht="13.5" thickBot="1" x14ac:dyDescent="0.25">
      <c r="B81" s="9"/>
      <c r="C81" s="9"/>
      <c r="D81" s="9"/>
      <c r="E81" s="9"/>
      <c r="F81" s="9"/>
      <c r="H81" s="10" t="str">
        <f t="shared" si="8"/>
        <v/>
      </c>
      <c r="I81" s="10" t="str">
        <f t="shared" si="9"/>
        <v/>
      </c>
      <c r="J81" s="10" t="str">
        <f t="shared" si="10"/>
        <v/>
      </c>
      <c r="K81" s="10" t="str">
        <f t="shared" si="11"/>
        <v/>
      </c>
      <c r="L81" s="10" t="str">
        <f t="shared" si="12"/>
        <v/>
      </c>
      <c r="N81" s="8" t="b">
        <f t="shared" si="7"/>
        <v>1</v>
      </c>
      <c r="Q81" s="103"/>
      <c r="R81" s="103"/>
      <c r="S81" s="103"/>
      <c r="T81" s="103"/>
      <c r="U81" s="103"/>
      <c r="V81" s="103"/>
    </row>
    <row r="82" spans="2:22" ht="13.5" thickBot="1" x14ac:dyDescent="0.25">
      <c r="B82" s="9"/>
      <c r="C82" s="9"/>
      <c r="D82" s="9"/>
      <c r="E82" s="9"/>
      <c r="F82" s="9"/>
      <c r="H82" s="10" t="str">
        <f t="shared" si="8"/>
        <v/>
      </c>
      <c r="I82" s="10" t="str">
        <f t="shared" si="9"/>
        <v/>
      </c>
      <c r="J82" s="10" t="str">
        <f t="shared" si="10"/>
        <v/>
      </c>
      <c r="K82" s="10" t="str">
        <f t="shared" si="11"/>
        <v/>
      </c>
      <c r="L82" s="10" t="str">
        <f t="shared" si="12"/>
        <v/>
      </c>
      <c r="N82" s="8" t="b">
        <f t="shared" si="7"/>
        <v>1</v>
      </c>
      <c r="Q82" s="103"/>
      <c r="R82" s="103"/>
      <c r="S82" s="103"/>
      <c r="T82" s="103"/>
      <c r="U82" s="103"/>
      <c r="V82" s="103"/>
    </row>
    <row r="83" spans="2:22" ht="13.5" thickBot="1" x14ac:dyDescent="0.25">
      <c r="B83" s="9"/>
      <c r="C83" s="9"/>
      <c r="D83" s="9"/>
      <c r="E83" s="9"/>
      <c r="F83" s="9"/>
      <c r="H83" s="10" t="str">
        <f t="shared" si="8"/>
        <v/>
      </c>
      <c r="I83" s="10" t="str">
        <f t="shared" si="9"/>
        <v/>
      </c>
      <c r="J83" s="10" t="str">
        <f t="shared" si="10"/>
        <v/>
      </c>
      <c r="K83" s="10" t="str">
        <f t="shared" si="11"/>
        <v/>
      </c>
      <c r="L83" s="10" t="str">
        <f t="shared" si="12"/>
        <v/>
      </c>
      <c r="N83" s="8" t="b">
        <f t="shared" si="7"/>
        <v>1</v>
      </c>
      <c r="Q83" s="103"/>
      <c r="R83" s="103"/>
      <c r="S83" s="103"/>
      <c r="T83" s="103"/>
      <c r="U83" s="103"/>
      <c r="V83" s="103"/>
    </row>
    <row r="84" spans="2:22" ht="13.5" thickBot="1" x14ac:dyDescent="0.25">
      <c r="B84" s="9"/>
      <c r="C84" s="9"/>
      <c r="D84" s="9"/>
      <c r="E84" s="9"/>
      <c r="F84" s="9"/>
      <c r="H84" s="10" t="str">
        <f t="shared" si="8"/>
        <v/>
      </c>
      <c r="I84" s="10" t="str">
        <f t="shared" si="9"/>
        <v/>
      </c>
      <c r="J84" s="10" t="str">
        <f t="shared" si="10"/>
        <v/>
      </c>
      <c r="K84" s="10" t="str">
        <f t="shared" si="11"/>
        <v/>
      </c>
      <c r="L84" s="10" t="str">
        <f t="shared" si="12"/>
        <v/>
      </c>
      <c r="N84" s="8" t="b">
        <f t="shared" si="7"/>
        <v>1</v>
      </c>
      <c r="Q84" s="103"/>
      <c r="R84" s="103"/>
      <c r="S84" s="103"/>
      <c r="T84" s="103"/>
      <c r="U84" s="103"/>
      <c r="V84" s="103"/>
    </row>
    <row r="85" spans="2:22" ht="13.5" thickBot="1" x14ac:dyDescent="0.25">
      <c r="B85" s="9"/>
      <c r="C85" s="9"/>
      <c r="D85" s="9"/>
      <c r="E85" s="9"/>
      <c r="F85" s="9"/>
      <c r="H85" s="10" t="str">
        <f t="shared" si="8"/>
        <v/>
      </c>
      <c r="I85" s="10" t="str">
        <f t="shared" si="9"/>
        <v/>
      </c>
      <c r="J85" s="10" t="str">
        <f t="shared" si="10"/>
        <v/>
      </c>
      <c r="K85" s="10" t="str">
        <f t="shared" si="11"/>
        <v/>
      </c>
      <c r="L85" s="10" t="str">
        <f t="shared" si="12"/>
        <v/>
      </c>
      <c r="N85" s="8" t="b">
        <f t="shared" si="7"/>
        <v>1</v>
      </c>
      <c r="Q85" s="103"/>
      <c r="R85" s="103"/>
      <c r="S85" s="103"/>
      <c r="T85" s="103"/>
      <c r="U85" s="103"/>
      <c r="V85" s="103"/>
    </row>
    <row r="86" spans="2:22" ht="13.5" thickBot="1" x14ac:dyDescent="0.25">
      <c r="B86" s="9"/>
      <c r="C86" s="9"/>
      <c r="D86" s="9"/>
      <c r="E86" s="9"/>
      <c r="F86" s="9"/>
      <c r="H86" s="10" t="str">
        <f t="shared" si="8"/>
        <v/>
      </c>
      <c r="I86" s="10" t="str">
        <f t="shared" si="9"/>
        <v/>
      </c>
      <c r="J86" s="10" t="str">
        <f t="shared" si="10"/>
        <v/>
      </c>
      <c r="K86" s="10" t="str">
        <f t="shared" si="11"/>
        <v/>
      </c>
      <c r="L86" s="10" t="str">
        <f t="shared" si="12"/>
        <v/>
      </c>
      <c r="N86" s="8" t="b">
        <f t="shared" si="7"/>
        <v>1</v>
      </c>
      <c r="Q86" s="103"/>
      <c r="R86" s="103"/>
      <c r="S86" s="103"/>
      <c r="T86" s="103"/>
      <c r="U86" s="103"/>
      <c r="V86" s="103"/>
    </row>
    <row r="87" spans="2:22" ht="13.5" thickBot="1" x14ac:dyDescent="0.25">
      <c r="B87" s="9"/>
      <c r="C87" s="9"/>
      <c r="D87" s="9"/>
      <c r="E87" s="9"/>
      <c r="F87" s="9"/>
      <c r="H87" s="10" t="str">
        <f t="shared" si="8"/>
        <v/>
      </c>
      <c r="I87" s="10" t="str">
        <f t="shared" si="9"/>
        <v/>
      </c>
      <c r="J87" s="10" t="str">
        <f t="shared" si="10"/>
        <v/>
      </c>
      <c r="K87" s="10" t="str">
        <f t="shared" si="11"/>
        <v/>
      </c>
      <c r="L87" s="10" t="str">
        <f t="shared" si="12"/>
        <v/>
      </c>
      <c r="N87" s="8" t="b">
        <f t="shared" si="7"/>
        <v>1</v>
      </c>
      <c r="Q87" s="103"/>
      <c r="R87" s="103"/>
      <c r="S87" s="103"/>
      <c r="T87" s="103"/>
      <c r="U87" s="103"/>
      <c r="V87" s="103"/>
    </row>
    <row r="88" spans="2:22" ht="13.5" thickBot="1" x14ac:dyDescent="0.25">
      <c r="B88" s="9"/>
      <c r="C88" s="9"/>
      <c r="D88" s="9"/>
      <c r="E88" s="9"/>
      <c r="F88" s="9"/>
      <c r="H88" s="10" t="str">
        <f t="shared" si="8"/>
        <v/>
      </c>
      <c r="I88" s="10" t="str">
        <f t="shared" si="9"/>
        <v/>
      </c>
      <c r="J88" s="10" t="str">
        <f t="shared" si="10"/>
        <v/>
      </c>
      <c r="K88" s="10" t="str">
        <f t="shared" si="11"/>
        <v/>
      </c>
      <c r="L88" s="10" t="str">
        <f t="shared" si="12"/>
        <v/>
      </c>
      <c r="N88" s="8" t="b">
        <f t="shared" si="7"/>
        <v>1</v>
      </c>
      <c r="Q88" s="103"/>
      <c r="R88" s="103"/>
      <c r="S88" s="103"/>
      <c r="T88" s="103"/>
      <c r="U88" s="103"/>
      <c r="V88" s="103"/>
    </row>
    <row r="89" spans="2:22" ht="13.5" thickBot="1" x14ac:dyDescent="0.25">
      <c r="B89" s="9"/>
      <c r="C89" s="9"/>
      <c r="D89" s="9"/>
      <c r="E89" s="9"/>
      <c r="F89" s="9"/>
      <c r="H89" s="10" t="str">
        <f t="shared" si="8"/>
        <v/>
      </c>
      <c r="I89" s="10" t="str">
        <f t="shared" si="9"/>
        <v/>
      </c>
      <c r="J89" s="10" t="str">
        <f t="shared" si="10"/>
        <v/>
      </c>
      <c r="K89" s="10" t="str">
        <f t="shared" si="11"/>
        <v/>
      </c>
      <c r="L89" s="10" t="str">
        <f t="shared" si="12"/>
        <v/>
      </c>
      <c r="N89" s="8" t="b">
        <f t="shared" si="7"/>
        <v>1</v>
      </c>
      <c r="Q89" s="103"/>
      <c r="R89" s="103"/>
      <c r="S89" s="103"/>
      <c r="T89" s="103"/>
      <c r="U89" s="103"/>
      <c r="V89" s="103"/>
    </row>
    <row r="90" spans="2:22" ht="13.5" thickBot="1" x14ac:dyDescent="0.25">
      <c r="B90" s="9"/>
      <c r="C90" s="9"/>
      <c r="D90" s="9"/>
      <c r="E90" s="9"/>
      <c r="F90" s="9"/>
      <c r="H90" s="10" t="str">
        <f t="shared" si="8"/>
        <v/>
      </c>
      <c r="I90" s="10" t="str">
        <f t="shared" si="9"/>
        <v/>
      </c>
      <c r="J90" s="10" t="str">
        <f t="shared" si="10"/>
        <v/>
      </c>
      <c r="K90" s="10" t="str">
        <f t="shared" si="11"/>
        <v/>
      </c>
      <c r="L90" s="10" t="str">
        <f t="shared" si="12"/>
        <v/>
      </c>
      <c r="N90" s="8" t="b">
        <f t="shared" si="7"/>
        <v>1</v>
      </c>
      <c r="Q90" s="103"/>
      <c r="R90" s="103"/>
      <c r="S90" s="103"/>
      <c r="T90" s="103"/>
      <c r="U90" s="103"/>
      <c r="V90" s="103"/>
    </row>
    <row r="91" spans="2:22" ht="13.5" thickBot="1" x14ac:dyDescent="0.25">
      <c r="B91" s="9"/>
      <c r="C91" s="9"/>
      <c r="D91" s="9"/>
      <c r="E91" s="9"/>
      <c r="F91" s="9"/>
      <c r="H91" s="10" t="str">
        <f t="shared" si="8"/>
        <v/>
      </c>
      <c r="I91" s="10" t="str">
        <f t="shared" si="9"/>
        <v/>
      </c>
      <c r="J91" s="10" t="str">
        <f t="shared" si="10"/>
        <v/>
      </c>
      <c r="K91" s="10" t="str">
        <f t="shared" si="11"/>
        <v/>
      </c>
      <c r="L91" s="10" t="str">
        <f t="shared" si="12"/>
        <v/>
      </c>
      <c r="N91" s="8" t="b">
        <f t="shared" si="7"/>
        <v>1</v>
      </c>
      <c r="Q91" s="103"/>
      <c r="R91" s="103"/>
      <c r="S91" s="103"/>
      <c r="T91" s="103"/>
      <c r="U91" s="103"/>
      <c r="V91" s="103"/>
    </row>
    <row r="92" spans="2:22" ht="13.5" thickBot="1" x14ac:dyDescent="0.25">
      <c r="B92" s="9"/>
      <c r="C92" s="9"/>
      <c r="D92" s="9"/>
      <c r="E92" s="9"/>
      <c r="F92" s="9"/>
      <c r="H92" s="10" t="str">
        <f t="shared" si="8"/>
        <v/>
      </c>
      <c r="I92" s="10" t="str">
        <f t="shared" si="9"/>
        <v/>
      </c>
      <c r="J92" s="10" t="str">
        <f t="shared" si="10"/>
        <v/>
      </c>
      <c r="K92" s="10" t="str">
        <f t="shared" si="11"/>
        <v/>
      </c>
      <c r="L92" s="10" t="str">
        <f t="shared" si="12"/>
        <v/>
      </c>
      <c r="N92" s="8" t="b">
        <f t="shared" si="7"/>
        <v>1</v>
      </c>
      <c r="Q92" s="103"/>
      <c r="R92" s="103"/>
      <c r="S92" s="103"/>
      <c r="T92" s="103"/>
      <c r="U92" s="103"/>
      <c r="V92" s="103"/>
    </row>
    <row r="93" spans="2:22" ht="13.5" thickBot="1" x14ac:dyDescent="0.25">
      <c r="B93" s="9"/>
      <c r="C93" s="9"/>
      <c r="D93" s="9"/>
      <c r="E93" s="9"/>
      <c r="F93" s="9"/>
      <c r="H93" s="10" t="str">
        <f t="shared" si="8"/>
        <v/>
      </c>
      <c r="I93" s="10" t="str">
        <f t="shared" si="9"/>
        <v/>
      </c>
      <c r="J93" s="10" t="str">
        <f t="shared" si="10"/>
        <v/>
      </c>
      <c r="K93" s="10" t="str">
        <f t="shared" si="11"/>
        <v/>
      </c>
      <c r="L93" s="10" t="str">
        <f t="shared" si="12"/>
        <v/>
      </c>
      <c r="N93" s="8" t="b">
        <f t="shared" si="7"/>
        <v>1</v>
      </c>
      <c r="Q93" s="103"/>
      <c r="R93" s="103"/>
      <c r="S93" s="103"/>
      <c r="T93" s="103"/>
      <c r="U93" s="103"/>
      <c r="V93" s="103"/>
    </row>
    <row r="94" spans="2:22" ht="13.5" thickBot="1" x14ac:dyDescent="0.25">
      <c r="B94" s="9"/>
      <c r="C94" s="9"/>
      <c r="D94" s="9"/>
      <c r="E94" s="9"/>
      <c r="F94" s="9"/>
      <c r="H94" s="10" t="str">
        <f t="shared" si="8"/>
        <v/>
      </c>
      <c r="I94" s="10" t="str">
        <f t="shared" si="9"/>
        <v/>
      </c>
      <c r="J94" s="10" t="str">
        <f t="shared" si="10"/>
        <v/>
      </c>
      <c r="K94" s="10" t="str">
        <f t="shared" si="11"/>
        <v/>
      </c>
      <c r="L94" s="10" t="str">
        <f t="shared" si="12"/>
        <v/>
      </c>
      <c r="N94" s="8" t="b">
        <f t="shared" si="7"/>
        <v>1</v>
      </c>
      <c r="Q94" s="103"/>
      <c r="R94" s="103"/>
      <c r="S94" s="103"/>
      <c r="T94" s="103"/>
      <c r="U94" s="103"/>
      <c r="V94" s="103"/>
    </row>
    <row r="95" spans="2:22" ht="13.5" thickBot="1" x14ac:dyDescent="0.25">
      <c r="B95" s="9"/>
      <c r="C95" s="9"/>
      <c r="D95" s="9"/>
      <c r="E95" s="9"/>
      <c r="F95" s="9"/>
      <c r="H95" s="10" t="str">
        <f t="shared" si="8"/>
        <v/>
      </c>
      <c r="I95" s="10" t="str">
        <f t="shared" si="9"/>
        <v/>
      </c>
      <c r="J95" s="10" t="str">
        <f t="shared" si="10"/>
        <v/>
      </c>
      <c r="K95" s="10" t="str">
        <f t="shared" si="11"/>
        <v/>
      </c>
      <c r="L95" s="10" t="str">
        <f t="shared" si="12"/>
        <v/>
      </c>
      <c r="N95" s="8" t="b">
        <f t="shared" si="7"/>
        <v>1</v>
      </c>
      <c r="Q95" s="103"/>
      <c r="R95" s="103"/>
      <c r="S95" s="103"/>
      <c r="T95" s="103"/>
      <c r="U95" s="103"/>
      <c r="V95" s="103"/>
    </row>
    <row r="96" spans="2:22" ht="13.5" thickBot="1" x14ac:dyDescent="0.25">
      <c r="B96" s="9"/>
      <c r="C96" s="9"/>
      <c r="D96" s="9"/>
      <c r="E96" s="9"/>
      <c r="F96" s="9"/>
      <c r="H96" s="10" t="str">
        <f t="shared" si="8"/>
        <v/>
      </c>
      <c r="I96" s="10" t="str">
        <f t="shared" si="9"/>
        <v/>
      </c>
      <c r="J96" s="10" t="str">
        <f t="shared" si="10"/>
        <v/>
      </c>
      <c r="K96" s="10" t="str">
        <f t="shared" si="11"/>
        <v/>
      </c>
      <c r="L96" s="10" t="str">
        <f t="shared" si="12"/>
        <v/>
      </c>
      <c r="N96" s="8" t="b">
        <f t="shared" si="7"/>
        <v>1</v>
      </c>
      <c r="Q96" s="103"/>
      <c r="R96" s="103"/>
      <c r="S96" s="103"/>
      <c r="T96" s="103"/>
      <c r="U96" s="103"/>
      <c r="V96" s="103"/>
    </row>
    <row r="97" spans="2:22" ht="13.5" thickBot="1" x14ac:dyDescent="0.25">
      <c r="B97" s="9"/>
      <c r="C97" s="9"/>
      <c r="D97" s="9"/>
      <c r="E97" s="9"/>
      <c r="F97" s="9"/>
      <c r="H97" s="10" t="str">
        <f t="shared" si="8"/>
        <v/>
      </c>
      <c r="I97" s="10" t="str">
        <f t="shared" si="9"/>
        <v/>
      </c>
      <c r="J97" s="10" t="str">
        <f t="shared" si="10"/>
        <v/>
      </c>
      <c r="K97" s="10" t="str">
        <f t="shared" si="11"/>
        <v/>
      </c>
      <c r="L97" s="10" t="str">
        <f t="shared" si="12"/>
        <v/>
      </c>
      <c r="N97" s="8" t="b">
        <f t="shared" si="7"/>
        <v>1</v>
      </c>
      <c r="Q97" s="103"/>
      <c r="R97" s="103"/>
      <c r="S97" s="103"/>
      <c r="T97" s="103"/>
      <c r="U97" s="103"/>
      <c r="V97" s="103"/>
    </row>
    <row r="98" spans="2:22" ht="13.5" thickBot="1" x14ac:dyDescent="0.25">
      <c r="B98" s="9"/>
      <c r="C98" s="9"/>
      <c r="D98" s="9"/>
      <c r="E98" s="9"/>
      <c r="F98" s="9"/>
      <c r="H98" s="10" t="str">
        <f t="shared" si="8"/>
        <v/>
      </c>
      <c r="I98" s="10" t="str">
        <f t="shared" si="9"/>
        <v/>
      </c>
      <c r="J98" s="10" t="str">
        <f t="shared" si="10"/>
        <v/>
      </c>
      <c r="K98" s="10" t="str">
        <f t="shared" si="11"/>
        <v/>
      </c>
      <c r="L98" s="10" t="str">
        <f t="shared" si="12"/>
        <v/>
      </c>
      <c r="N98" s="8" t="b">
        <f t="shared" si="7"/>
        <v>1</v>
      </c>
      <c r="Q98" s="103"/>
      <c r="R98" s="103"/>
      <c r="S98" s="103"/>
      <c r="T98" s="103"/>
      <c r="U98" s="103"/>
      <c r="V98" s="103"/>
    </row>
    <row r="99" spans="2:22" ht="12.75" customHeight="1" thickBot="1" x14ac:dyDescent="0.25">
      <c r="B99" s="9"/>
      <c r="C99" s="9"/>
      <c r="D99" s="9"/>
      <c r="E99" s="9"/>
      <c r="F99" s="9"/>
      <c r="H99" s="10" t="str">
        <f t="shared" si="8"/>
        <v/>
      </c>
      <c r="I99" s="10" t="str">
        <f t="shared" si="9"/>
        <v/>
      </c>
      <c r="J99" s="10" t="str">
        <f t="shared" si="10"/>
        <v/>
      </c>
      <c r="K99" s="10" t="str">
        <f t="shared" si="11"/>
        <v/>
      </c>
      <c r="L99" s="10" t="str">
        <f t="shared" si="12"/>
        <v/>
      </c>
      <c r="N99" s="8" t="b">
        <f t="shared" si="7"/>
        <v>1</v>
      </c>
      <c r="Q99" s="103"/>
      <c r="R99" s="103"/>
      <c r="S99" s="103"/>
      <c r="T99" s="103"/>
      <c r="U99" s="103"/>
      <c r="V99" s="103"/>
    </row>
    <row r="100" spans="2:22" ht="13.5" thickBot="1" x14ac:dyDescent="0.25">
      <c r="B100" s="9"/>
      <c r="C100" s="9"/>
      <c r="D100" s="9"/>
      <c r="E100" s="9"/>
      <c r="F100" s="9"/>
      <c r="H100" s="10" t="str">
        <f t="shared" si="8"/>
        <v/>
      </c>
      <c r="I100" s="10" t="str">
        <f t="shared" si="9"/>
        <v/>
      </c>
      <c r="J100" s="10" t="str">
        <f t="shared" si="10"/>
        <v/>
      </c>
      <c r="K100" s="10" t="str">
        <f t="shared" si="11"/>
        <v/>
      </c>
      <c r="L100" s="10" t="str">
        <f t="shared" si="12"/>
        <v/>
      </c>
      <c r="N100" s="8" t="b">
        <f t="shared" si="7"/>
        <v>1</v>
      </c>
      <c r="Q100" s="103"/>
      <c r="R100" s="103"/>
      <c r="S100" s="103"/>
      <c r="T100" s="103"/>
      <c r="U100" s="103"/>
      <c r="V100" s="103"/>
    </row>
    <row r="101" spans="2:22" ht="13.5" thickBot="1" x14ac:dyDescent="0.25">
      <c r="B101" s="9"/>
      <c r="C101" s="9"/>
      <c r="D101" s="9"/>
      <c r="E101" s="9"/>
      <c r="F101" s="9"/>
      <c r="H101" s="10" t="str">
        <f t="shared" si="8"/>
        <v/>
      </c>
      <c r="I101" s="10" t="str">
        <f t="shared" si="9"/>
        <v/>
      </c>
      <c r="J101" s="10" t="str">
        <f t="shared" si="10"/>
        <v/>
      </c>
      <c r="K101" s="10" t="str">
        <f t="shared" si="11"/>
        <v/>
      </c>
      <c r="L101" s="10" t="str">
        <f t="shared" si="12"/>
        <v/>
      </c>
      <c r="N101" s="8" t="b">
        <f t="shared" si="7"/>
        <v>1</v>
      </c>
      <c r="Q101" s="103"/>
      <c r="R101" s="103"/>
      <c r="S101" s="103"/>
      <c r="T101" s="103"/>
      <c r="U101" s="103"/>
      <c r="V101" s="103"/>
    </row>
    <row r="102" spans="2:22" ht="13.5" thickBot="1" x14ac:dyDescent="0.25">
      <c r="B102" s="9"/>
      <c r="C102" s="9"/>
      <c r="D102" s="9"/>
      <c r="E102" s="9"/>
      <c r="F102" s="9"/>
      <c r="H102" s="10" t="str">
        <f t="shared" si="8"/>
        <v/>
      </c>
      <c r="I102" s="10" t="str">
        <f t="shared" si="9"/>
        <v/>
      </c>
      <c r="J102" s="10" t="str">
        <f t="shared" si="10"/>
        <v/>
      </c>
      <c r="K102" s="10" t="str">
        <f t="shared" si="11"/>
        <v/>
      </c>
      <c r="L102" s="10" t="str">
        <f t="shared" si="12"/>
        <v/>
      </c>
      <c r="N102" s="8" t="b">
        <f t="shared" si="7"/>
        <v>1</v>
      </c>
      <c r="Q102" s="103"/>
      <c r="R102" s="103"/>
      <c r="S102" s="103"/>
      <c r="T102" s="103"/>
      <c r="U102" s="103"/>
      <c r="V102" s="103"/>
    </row>
    <row r="103" spans="2:22" ht="13.5" thickBot="1" x14ac:dyDescent="0.25">
      <c r="B103" s="9"/>
      <c r="C103" s="9"/>
      <c r="D103" s="9"/>
      <c r="E103" s="9"/>
      <c r="F103" s="9"/>
      <c r="H103" s="10" t="str">
        <f t="shared" si="8"/>
        <v/>
      </c>
      <c r="I103" s="10" t="str">
        <f t="shared" si="9"/>
        <v/>
      </c>
      <c r="J103" s="10" t="str">
        <f t="shared" si="10"/>
        <v/>
      </c>
      <c r="K103" s="10" t="str">
        <f t="shared" si="11"/>
        <v/>
      </c>
      <c r="L103" s="10" t="str">
        <f t="shared" si="12"/>
        <v/>
      </c>
      <c r="N103" s="8" t="b">
        <f t="shared" si="7"/>
        <v>1</v>
      </c>
      <c r="Q103" s="103"/>
      <c r="R103" s="103"/>
      <c r="S103" s="103"/>
      <c r="T103" s="103"/>
      <c r="U103" s="103"/>
      <c r="V103" s="103"/>
    </row>
    <row r="104" spans="2:22" ht="13.5" thickBot="1" x14ac:dyDescent="0.25">
      <c r="B104" s="9"/>
      <c r="C104" s="9"/>
      <c r="D104" s="9"/>
      <c r="E104" s="9"/>
      <c r="F104" s="9"/>
      <c r="H104" s="10" t="str">
        <f t="shared" si="8"/>
        <v/>
      </c>
      <c r="I104" s="10" t="str">
        <f t="shared" si="9"/>
        <v/>
      </c>
      <c r="J104" s="10" t="str">
        <f t="shared" si="10"/>
        <v/>
      </c>
      <c r="K104" s="10" t="str">
        <f t="shared" si="11"/>
        <v/>
      </c>
      <c r="L104" s="10" t="str">
        <f t="shared" si="12"/>
        <v/>
      </c>
      <c r="N104" s="8" t="b">
        <f t="shared" si="7"/>
        <v>1</v>
      </c>
      <c r="Q104" s="103"/>
      <c r="R104" s="103"/>
      <c r="S104" s="103"/>
      <c r="T104" s="103"/>
      <c r="U104" s="103"/>
      <c r="V104" s="103"/>
    </row>
    <row r="105" spans="2:22" ht="13.5" thickBot="1" x14ac:dyDescent="0.25">
      <c r="B105" s="9"/>
      <c r="C105" s="9"/>
      <c r="D105" s="9"/>
      <c r="E105" s="9"/>
      <c r="F105" s="9"/>
      <c r="H105" s="10" t="str">
        <f t="shared" si="8"/>
        <v/>
      </c>
      <c r="I105" s="10" t="str">
        <f t="shared" si="9"/>
        <v/>
      </c>
      <c r="J105" s="10" t="str">
        <f t="shared" si="10"/>
        <v/>
      </c>
      <c r="K105" s="10" t="str">
        <f t="shared" si="11"/>
        <v/>
      </c>
      <c r="L105" s="10" t="str">
        <f t="shared" si="12"/>
        <v/>
      </c>
      <c r="N105" s="8" t="b">
        <f t="shared" si="7"/>
        <v>1</v>
      </c>
      <c r="Q105" s="103"/>
      <c r="R105" s="103"/>
      <c r="S105" s="103"/>
      <c r="T105" s="103"/>
      <c r="U105" s="103"/>
      <c r="V105" s="103"/>
    </row>
    <row r="106" spans="2:22" ht="13.5" thickBot="1" x14ac:dyDescent="0.25">
      <c r="B106" s="9"/>
      <c r="C106" s="9"/>
      <c r="D106" s="9"/>
      <c r="E106" s="9"/>
      <c r="F106" s="9"/>
      <c r="H106" s="10" t="str">
        <f t="shared" si="8"/>
        <v/>
      </c>
      <c r="I106" s="10" t="str">
        <f t="shared" si="9"/>
        <v/>
      </c>
      <c r="J106" s="10" t="str">
        <f t="shared" si="10"/>
        <v/>
      </c>
      <c r="K106" s="10" t="str">
        <f t="shared" si="11"/>
        <v/>
      </c>
      <c r="L106" s="10" t="str">
        <f t="shared" si="12"/>
        <v/>
      </c>
      <c r="N106" s="8" t="b">
        <f t="shared" si="7"/>
        <v>1</v>
      </c>
      <c r="Q106" s="103"/>
      <c r="R106" s="103"/>
      <c r="S106" s="103"/>
      <c r="T106" s="103"/>
      <c r="U106" s="103"/>
      <c r="V106" s="103"/>
    </row>
    <row r="107" spans="2:22" ht="13.5" thickBot="1" x14ac:dyDescent="0.25">
      <c r="B107" s="9"/>
      <c r="C107" s="9"/>
      <c r="D107" s="9"/>
      <c r="E107" s="9"/>
      <c r="F107" s="9"/>
      <c r="H107" s="10" t="str">
        <f t="shared" si="8"/>
        <v/>
      </c>
      <c r="I107" s="10" t="str">
        <f t="shared" si="9"/>
        <v/>
      </c>
      <c r="J107" s="10" t="str">
        <f t="shared" si="10"/>
        <v/>
      </c>
      <c r="K107" s="10" t="str">
        <f t="shared" si="11"/>
        <v/>
      </c>
      <c r="L107" s="10" t="str">
        <f t="shared" si="12"/>
        <v/>
      </c>
      <c r="N107" s="8" t="b">
        <f t="shared" si="7"/>
        <v>1</v>
      </c>
      <c r="Q107" s="103"/>
      <c r="R107" s="103"/>
      <c r="S107" s="103"/>
      <c r="T107" s="103"/>
      <c r="U107" s="103"/>
      <c r="V107" s="103"/>
    </row>
    <row r="108" spans="2:22" ht="13.5" thickBot="1" x14ac:dyDescent="0.25">
      <c r="B108" s="9"/>
      <c r="C108" s="9"/>
      <c r="D108" s="9"/>
      <c r="E108" s="9"/>
      <c r="F108" s="9"/>
      <c r="H108" s="10" t="str">
        <f t="shared" si="8"/>
        <v/>
      </c>
      <c r="I108" s="10" t="str">
        <f t="shared" si="9"/>
        <v/>
      </c>
      <c r="J108" s="10" t="str">
        <f t="shared" si="10"/>
        <v/>
      </c>
      <c r="K108" s="10" t="str">
        <f t="shared" si="11"/>
        <v/>
      </c>
      <c r="L108" s="10" t="str">
        <f t="shared" si="12"/>
        <v/>
      </c>
      <c r="N108" s="8" t="b">
        <f t="shared" si="7"/>
        <v>1</v>
      </c>
      <c r="Q108" s="103"/>
      <c r="R108" s="103"/>
      <c r="S108" s="103"/>
      <c r="T108" s="103"/>
      <c r="U108" s="103"/>
      <c r="V108" s="103"/>
    </row>
    <row r="109" spans="2:22" ht="13.5" thickBot="1" x14ac:dyDescent="0.25">
      <c r="B109" s="9"/>
      <c r="C109" s="9"/>
      <c r="D109" s="9"/>
      <c r="E109" s="9"/>
      <c r="F109" s="9"/>
      <c r="H109" s="10" t="str">
        <f t="shared" si="8"/>
        <v/>
      </c>
      <c r="I109" s="10" t="str">
        <f t="shared" si="9"/>
        <v/>
      </c>
      <c r="J109" s="10" t="str">
        <f t="shared" si="10"/>
        <v/>
      </c>
      <c r="K109" s="10" t="str">
        <f t="shared" si="11"/>
        <v/>
      </c>
      <c r="L109" s="10" t="str">
        <f t="shared" si="12"/>
        <v/>
      </c>
      <c r="N109" s="8" t="b">
        <f t="shared" si="7"/>
        <v>1</v>
      </c>
      <c r="Q109" s="103"/>
      <c r="R109" s="103"/>
      <c r="S109" s="103"/>
      <c r="T109" s="103"/>
      <c r="U109" s="103"/>
      <c r="V109" s="103"/>
    </row>
    <row r="110" spans="2:22" ht="13.5" thickBot="1" x14ac:dyDescent="0.25">
      <c r="B110" s="9"/>
      <c r="C110" s="9"/>
      <c r="D110" s="9"/>
      <c r="E110" s="9"/>
      <c r="F110" s="9"/>
      <c r="H110" s="10" t="str">
        <f t="shared" si="8"/>
        <v/>
      </c>
      <c r="I110" s="10" t="str">
        <f t="shared" si="9"/>
        <v/>
      </c>
      <c r="J110" s="10" t="str">
        <f t="shared" si="10"/>
        <v/>
      </c>
      <c r="K110" s="10" t="str">
        <f t="shared" si="11"/>
        <v/>
      </c>
      <c r="L110" s="10" t="str">
        <f t="shared" si="12"/>
        <v/>
      </c>
      <c r="N110" s="8" t="b">
        <f t="shared" si="7"/>
        <v>1</v>
      </c>
      <c r="Q110" s="103"/>
      <c r="R110" s="103"/>
      <c r="S110" s="103"/>
      <c r="T110" s="103"/>
      <c r="U110" s="103"/>
      <c r="V110" s="103"/>
    </row>
    <row r="111" spans="2:22" ht="13.5" thickBot="1" x14ac:dyDescent="0.25">
      <c r="B111" s="9"/>
      <c r="C111" s="9"/>
      <c r="D111" s="9"/>
      <c r="E111" s="9"/>
      <c r="F111" s="9"/>
      <c r="H111" s="10" t="str">
        <f t="shared" si="8"/>
        <v/>
      </c>
      <c r="I111" s="10" t="str">
        <f t="shared" si="9"/>
        <v/>
      </c>
      <c r="J111" s="10" t="str">
        <f t="shared" si="10"/>
        <v/>
      </c>
      <c r="K111" s="10" t="str">
        <f t="shared" si="11"/>
        <v/>
      </c>
      <c r="L111" s="10" t="str">
        <f t="shared" si="12"/>
        <v/>
      </c>
      <c r="N111" s="8" t="b">
        <f t="shared" si="7"/>
        <v>1</v>
      </c>
      <c r="Q111" s="103"/>
      <c r="R111" s="103"/>
      <c r="S111" s="103"/>
      <c r="T111" s="103"/>
      <c r="U111" s="103"/>
      <c r="V111" s="103"/>
    </row>
    <row r="112" spans="2:22" ht="13.5" thickBot="1" x14ac:dyDescent="0.25">
      <c r="B112" s="9"/>
      <c r="C112" s="9"/>
      <c r="D112" s="9"/>
      <c r="E112" s="9"/>
      <c r="F112" s="9"/>
      <c r="H112" s="10" t="str">
        <f t="shared" si="8"/>
        <v/>
      </c>
      <c r="I112" s="10" t="str">
        <f t="shared" si="9"/>
        <v/>
      </c>
      <c r="J112" s="10" t="str">
        <f t="shared" si="10"/>
        <v/>
      </c>
      <c r="K112" s="10" t="str">
        <f t="shared" si="11"/>
        <v/>
      </c>
      <c r="L112" s="10" t="str">
        <f t="shared" si="12"/>
        <v/>
      </c>
      <c r="N112" s="8" t="b">
        <f t="shared" si="7"/>
        <v>1</v>
      </c>
      <c r="Q112" s="103"/>
      <c r="R112" s="103"/>
      <c r="S112" s="103"/>
      <c r="T112" s="103"/>
      <c r="U112" s="103"/>
      <c r="V112" s="103"/>
    </row>
    <row r="113" spans="2:22" ht="13.5" thickBot="1" x14ac:dyDescent="0.25">
      <c r="B113" s="9"/>
      <c r="C113" s="9"/>
      <c r="D113" s="9"/>
      <c r="E113" s="9"/>
      <c r="F113" s="9"/>
      <c r="H113" s="10" t="str">
        <f t="shared" si="8"/>
        <v/>
      </c>
      <c r="I113" s="10" t="str">
        <f t="shared" si="9"/>
        <v/>
      </c>
      <c r="J113" s="10" t="str">
        <f t="shared" si="10"/>
        <v/>
      </c>
      <c r="K113" s="10" t="str">
        <f t="shared" si="11"/>
        <v/>
      </c>
      <c r="L113" s="10" t="str">
        <f t="shared" si="12"/>
        <v/>
      </c>
      <c r="N113" s="8" t="b">
        <f t="shared" si="7"/>
        <v>1</v>
      </c>
      <c r="Q113" s="103"/>
      <c r="R113" s="103"/>
      <c r="S113" s="103"/>
      <c r="T113" s="103"/>
      <c r="U113" s="103"/>
      <c r="V113" s="103"/>
    </row>
    <row r="114" spans="2:22" ht="13.5" thickBot="1" x14ac:dyDescent="0.25">
      <c r="B114" s="9"/>
      <c r="C114" s="9"/>
      <c r="D114" s="9"/>
      <c r="E114" s="9"/>
      <c r="F114" s="9"/>
      <c r="H114" s="10" t="str">
        <f t="shared" si="8"/>
        <v/>
      </c>
      <c r="I114" s="10" t="str">
        <f t="shared" si="9"/>
        <v/>
      </c>
      <c r="J114" s="10" t="str">
        <f t="shared" si="10"/>
        <v/>
      </c>
      <c r="K114" s="10" t="str">
        <f t="shared" si="11"/>
        <v/>
      </c>
      <c r="L114" s="10" t="str">
        <f t="shared" si="12"/>
        <v/>
      </c>
      <c r="N114" s="8" t="b">
        <f t="shared" si="7"/>
        <v>1</v>
      </c>
      <c r="Q114" s="103"/>
      <c r="R114" s="103"/>
      <c r="S114" s="103"/>
      <c r="T114" s="103"/>
      <c r="U114" s="103"/>
      <c r="V114" s="103"/>
    </row>
    <row r="115" spans="2:22" ht="13.5" thickBot="1" x14ac:dyDescent="0.25">
      <c r="B115" s="9"/>
      <c r="C115" s="9"/>
      <c r="D115" s="9"/>
      <c r="E115" s="9"/>
      <c r="F115" s="9"/>
      <c r="H115" s="10" t="str">
        <f t="shared" si="8"/>
        <v/>
      </c>
      <c r="I115" s="10" t="str">
        <f t="shared" si="9"/>
        <v/>
      </c>
      <c r="J115" s="10" t="str">
        <f t="shared" si="10"/>
        <v/>
      </c>
      <c r="K115" s="10" t="str">
        <f t="shared" si="11"/>
        <v/>
      </c>
      <c r="L115" s="10" t="str">
        <f t="shared" si="12"/>
        <v/>
      </c>
      <c r="N115" s="8" t="b">
        <f t="shared" si="7"/>
        <v>1</v>
      </c>
      <c r="Q115" s="103"/>
      <c r="R115" s="103"/>
      <c r="S115" s="103"/>
      <c r="T115" s="103"/>
      <c r="U115" s="103"/>
      <c r="V115" s="103"/>
    </row>
    <row r="116" spans="2:22" ht="13.5" thickBot="1" x14ac:dyDescent="0.25">
      <c r="B116" s="9"/>
      <c r="C116" s="9"/>
      <c r="D116" s="9"/>
      <c r="E116" s="9"/>
      <c r="F116" s="9"/>
      <c r="H116" s="10" t="str">
        <f t="shared" si="8"/>
        <v/>
      </c>
      <c r="I116" s="10" t="str">
        <f t="shared" si="9"/>
        <v/>
      </c>
      <c r="J116" s="10" t="str">
        <f t="shared" si="10"/>
        <v/>
      </c>
      <c r="K116" s="10" t="str">
        <f t="shared" si="11"/>
        <v/>
      </c>
      <c r="L116" s="10" t="str">
        <f t="shared" si="12"/>
        <v/>
      </c>
      <c r="N116" s="8" t="b">
        <f t="shared" si="7"/>
        <v>1</v>
      </c>
      <c r="Q116" s="103"/>
      <c r="R116" s="103"/>
      <c r="S116" s="103"/>
      <c r="T116" s="103"/>
      <c r="U116" s="103"/>
      <c r="V116" s="103"/>
    </row>
    <row r="117" spans="2:22" ht="13.5" thickBot="1" x14ac:dyDescent="0.25">
      <c r="B117" s="9"/>
      <c r="C117" s="9"/>
      <c r="D117" s="9"/>
      <c r="E117" s="9"/>
      <c r="F117" s="9"/>
      <c r="H117" s="10" t="str">
        <f t="shared" si="8"/>
        <v/>
      </c>
      <c r="I117" s="10" t="str">
        <f t="shared" si="9"/>
        <v/>
      </c>
      <c r="J117" s="10" t="str">
        <f t="shared" si="10"/>
        <v/>
      </c>
      <c r="K117" s="10" t="str">
        <f t="shared" si="11"/>
        <v/>
      </c>
      <c r="L117" s="10" t="str">
        <f t="shared" si="12"/>
        <v/>
      </c>
      <c r="N117" s="8" t="b">
        <f t="shared" si="7"/>
        <v>1</v>
      </c>
      <c r="Q117" s="103"/>
      <c r="R117" s="103"/>
      <c r="S117" s="103"/>
      <c r="T117" s="103"/>
      <c r="U117" s="103"/>
      <c r="V117" s="103"/>
    </row>
    <row r="118" spans="2:22" ht="13.5" thickBot="1" x14ac:dyDescent="0.25">
      <c r="B118" s="9"/>
      <c r="C118" s="9"/>
      <c r="D118" s="9"/>
      <c r="E118" s="9"/>
      <c r="F118" s="9"/>
      <c r="H118" s="10" t="str">
        <f t="shared" si="8"/>
        <v/>
      </c>
      <c r="I118" s="10" t="str">
        <f t="shared" si="9"/>
        <v/>
      </c>
      <c r="J118" s="10" t="str">
        <f t="shared" si="10"/>
        <v/>
      </c>
      <c r="K118" s="10" t="str">
        <f t="shared" si="11"/>
        <v/>
      </c>
      <c r="L118" s="10" t="str">
        <f t="shared" si="12"/>
        <v/>
      </c>
      <c r="N118" s="8" t="b">
        <f t="shared" si="7"/>
        <v>1</v>
      </c>
      <c r="Q118" s="103"/>
      <c r="R118" s="103"/>
      <c r="S118" s="103"/>
      <c r="T118" s="103"/>
      <c r="U118" s="103"/>
      <c r="V118" s="103"/>
    </row>
    <row r="119" spans="2:22" ht="13.5" thickBot="1" x14ac:dyDescent="0.25">
      <c r="B119" s="9"/>
      <c r="C119" s="9"/>
      <c r="D119" s="9"/>
      <c r="E119" s="9"/>
      <c r="F119" s="9"/>
      <c r="H119" s="10" t="str">
        <f t="shared" si="8"/>
        <v/>
      </c>
      <c r="I119" s="10" t="str">
        <f t="shared" si="9"/>
        <v/>
      </c>
      <c r="J119" s="10" t="str">
        <f t="shared" si="10"/>
        <v/>
      </c>
      <c r="K119" s="10" t="str">
        <f t="shared" si="11"/>
        <v/>
      </c>
      <c r="L119" s="10" t="str">
        <f t="shared" si="12"/>
        <v/>
      </c>
      <c r="N119" s="8" t="b">
        <f t="shared" si="7"/>
        <v>1</v>
      </c>
      <c r="Q119" s="103"/>
      <c r="R119" s="103"/>
      <c r="S119" s="103"/>
      <c r="T119" s="103"/>
      <c r="U119" s="103"/>
      <c r="V119" s="103"/>
    </row>
    <row r="120" spans="2:22" ht="13.5" thickBot="1" x14ac:dyDescent="0.25">
      <c r="B120" s="9"/>
      <c r="C120" s="9"/>
      <c r="D120" s="9"/>
      <c r="E120" s="9"/>
      <c r="F120" s="9"/>
      <c r="H120" s="10" t="str">
        <f t="shared" si="8"/>
        <v/>
      </c>
      <c r="I120" s="10" t="str">
        <f t="shared" si="9"/>
        <v/>
      </c>
      <c r="J120" s="10" t="str">
        <f t="shared" si="10"/>
        <v/>
      </c>
      <c r="K120" s="10" t="str">
        <f t="shared" si="11"/>
        <v/>
      </c>
      <c r="L120" s="10" t="str">
        <f t="shared" si="12"/>
        <v/>
      </c>
      <c r="N120" s="8" t="b">
        <f t="shared" si="7"/>
        <v>1</v>
      </c>
      <c r="Q120" s="103"/>
      <c r="R120" s="103"/>
      <c r="S120" s="103"/>
      <c r="T120" s="103"/>
      <c r="U120" s="103"/>
      <c r="V120" s="103"/>
    </row>
    <row r="121" spans="2:22" ht="13.5" thickBot="1" x14ac:dyDescent="0.25">
      <c r="B121" s="9"/>
      <c r="C121" s="9"/>
      <c r="D121" s="9"/>
      <c r="E121" s="9"/>
      <c r="F121" s="9"/>
      <c r="H121" s="10" t="str">
        <f t="shared" si="8"/>
        <v/>
      </c>
      <c r="I121" s="10" t="str">
        <f t="shared" si="9"/>
        <v/>
      </c>
      <c r="J121" s="10" t="str">
        <f t="shared" si="10"/>
        <v/>
      </c>
      <c r="K121" s="10" t="str">
        <f t="shared" si="11"/>
        <v/>
      </c>
      <c r="L121" s="10" t="str">
        <f t="shared" si="12"/>
        <v/>
      </c>
      <c r="N121" s="8" t="b">
        <f t="shared" si="7"/>
        <v>1</v>
      </c>
      <c r="Q121" s="103"/>
      <c r="R121" s="103"/>
      <c r="S121" s="103"/>
      <c r="T121" s="103"/>
      <c r="U121" s="103"/>
      <c r="V121" s="103"/>
    </row>
    <row r="122" spans="2:22" ht="13.5" thickBot="1" x14ac:dyDescent="0.25">
      <c r="B122" s="9"/>
      <c r="C122" s="9"/>
      <c r="D122" s="9"/>
      <c r="E122" s="9"/>
      <c r="F122" s="9"/>
      <c r="H122" s="10" t="str">
        <f t="shared" si="8"/>
        <v/>
      </c>
      <c r="I122" s="10" t="str">
        <f t="shared" si="9"/>
        <v/>
      </c>
      <c r="J122" s="10" t="str">
        <f t="shared" si="10"/>
        <v/>
      </c>
      <c r="K122" s="10" t="str">
        <f t="shared" si="11"/>
        <v/>
      </c>
      <c r="L122" s="10" t="str">
        <f t="shared" si="12"/>
        <v/>
      </c>
      <c r="N122" s="8" t="b">
        <f t="shared" si="7"/>
        <v>1</v>
      </c>
      <c r="Q122" s="103"/>
      <c r="R122" s="103"/>
      <c r="S122" s="103"/>
      <c r="T122" s="103"/>
      <c r="U122" s="103"/>
      <c r="V122" s="103"/>
    </row>
    <row r="123" spans="2:22" ht="13.5" thickBot="1" x14ac:dyDescent="0.25">
      <c r="B123" s="9"/>
      <c r="C123" s="9"/>
      <c r="D123" s="9"/>
      <c r="E123" s="9"/>
      <c r="F123" s="9"/>
      <c r="H123" s="10" t="str">
        <f t="shared" si="8"/>
        <v/>
      </c>
      <c r="I123" s="10" t="str">
        <f t="shared" si="9"/>
        <v/>
      </c>
      <c r="J123" s="10" t="str">
        <f t="shared" si="10"/>
        <v/>
      </c>
      <c r="K123" s="10" t="str">
        <f t="shared" si="11"/>
        <v/>
      </c>
      <c r="L123" s="10" t="str">
        <f t="shared" si="12"/>
        <v/>
      </c>
      <c r="N123" s="8" t="b">
        <f t="shared" si="7"/>
        <v>1</v>
      </c>
      <c r="Q123" s="103"/>
      <c r="R123" s="103"/>
      <c r="S123" s="103"/>
      <c r="T123" s="103"/>
      <c r="U123" s="103"/>
      <c r="V123" s="103"/>
    </row>
    <row r="124" spans="2:22" ht="13.5" thickBot="1" x14ac:dyDescent="0.25">
      <c r="B124" s="9"/>
      <c r="C124" s="9"/>
      <c r="D124" s="9"/>
      <c r="E124" s="9"/>
      <c r="F124" s="9"/>
      <c r="H124" s="10" t="str">
        <f t="shared" si="8"/>
        <v/>
      </c>
      <c r="I124" s="10" t="str">
        <f t="shared" si="9"/>
        <v/>
      </c>
      <c r="J124" s="10" t="str">
        <f t="shared" si="10"/>
        <v/>
      </c>
      <c r="K124" s="10" t="str">
        <f t="shared" si="11"/>
        <v/>
      </c>
      <c r="L124" s="10" t="str">
        <f t="shared" si="12"/>
        <v/>
      </c>
      <c r="N124" s="8" t="b">
        <f t="shared" si="7"/>
        <v>1</v>
      </c>
      <c r="Q124" s="103"/>
      <c r="R124" s="103"/>
      <c r="S124" s="103"/>
      <c r="T124" s="103"/>
      <c r="U124" s="103"/>
      <c r="V124" s="103"/>
    </row>
    <row r="125" spans="2:22" ht="13.5" thickBot="1" x14ac:dyDescent="0.25">
      <c r="B125" s="9"/>
      <c r="C125" s="9"/>
      <c r="D125" s="9"/>
      <c r="E125" s="9"/>
      <c r="F125" s="9"/>
      <c r="H125" s="10" t="str">
        <f t="shared" si="8"/>
        <v/>
      </c>
      <c r="I125" s="10" t="str">
        <f t="shared" si="9"/>
        <v/>
      </c>
      <c r="J125" s="10" t="str">
        <f t="shared" si="10"/>
        <v/>
      </c>
      <c r="K125" s="10" t="str">
        <f t="shared" si="11"/>
        <v/>
      </c>
      <c r="L125" s="10" t="str">
        <f t="shared" si="12"/>
        <v/>
      </c>
      <c r="N125" s="8" t="b">
        <f t="shared" si="7"/>
        <v>1</v>
      </c>
      <c r="Q125" s="103"/>
      <c r="R125" s="103"/>
      <c r="S125" s="103"/>
      <c r="T125" s="103"/>
      <c r="U125" s="103"/>
      <c r="V125" s="103"/>
    </row>
    <row r="126" spans="2:22" ht="13.5" thickBot="1" x14ac:dyDescent="0.25">
      <c r="B126" s="9"/>
      <c r="C126" s="9"/>
      <c r="D126" s="9"/>
      <c r="E126" s="9"/>
      <c r="F126" s="9"/>
      <c r="H126" s="10" t="str">
        <f t="shared" si="8"/>
        <v/>
      </c>
      <c r="I126" s="10" t="str">
        <f t="shared" si="9"/>
        <v/>
      </c>
      <c r="J126" s="10" t="str">
        <f t="shared" si="10"/>
        <v/>
      </c>
      <c r="K126" s="10" t="str">
        <f t="shared" si="11"/>
        <v/>
      </c>
      <c r="L126" s="10" t="str">
        <f t="shared" si="12"/>
        <v/>
      </c>
      <c r="N126" s="8" t="b">
        <f t="shared" si="7"/>
        <v>1</v>
      </c>
      <c r="Q126" s="103"/>
      <c r="R126" s="103"/>
      <c r="S126" s="103"/>
      <c r="T126" s="103"/>
      <c r="U126" s="103"/>
      <c r="V126" s="103"/>
    </row>
    <row r="127" spans="2:22" ht="13.5" thickBot="1" x14ac:dyDescent="0.25">
      <c r="B127" s="9"/>
      <c r="C127" s="9"/>
      <c r="D127" s="9"/>
      <c r="E127" s="9"/>
      <c r="F127" s="9"/>
      <c r="H127" s="10" t="str">
        <f t="shared" si="8"/>
        <v/>
      </c>
      <c r="I127" s="10" t="str">
        <f t="shared" si="9"/>
        <v/>
      </c>
      <c r="J127" s="10" t="str">
        <f t="shared" si="10"/>
        <v/>
      </c>
      <c r="K127" s="10" t="str">
        <f t="shared" si="11"/>
        <v/>
      </c>
      <c r="L127" s="10" t="str">
        <f t="shared" si="12"/>
        <v/>
      </c>
      <c r="N127" s="8" t="b">
        <f t="shared" si="7"/>
        <v>1</v>
      </c>
      <c r="Q127" s="103"/>
      <c r="R127" s="103"/>
      <c r="S127" s="103"/>
      <c r="T127" s="103"/>
      <c r="U127" s="103"/>
      <c r="V127" s="103"/>
    </row>
    <row r="128" spans="2:22" ht="13.5" thickBot="1" x14ac:dyDescent="0.25">
      <c r="B128" s="9"/>
      <c r="C128" s="9"/>
      <c r="D128" s="9"/>
      <c r="E128" s="9"/>
      <c r="F128" s="9"/>
      <c r="H128" s="10" t="str">
        <f t="shared" si="8"/>
        <v/>
      </c>
      <c r="I128" s="10" t="str">
        <f t="shared" si="9"/>
        <v/>
      </c>
      <c r="J128" s="10" t="str">
        <f t="shared" si="10"/>
        <v/>
      </c>
      <c r="K128" s="10" t="str">
        <f t="shared" si="11"/>
        <v/>
      </c>
      <c r="L128" s="10" t="str">
        <f t="shared" si="12"/>
        <v/>
      </c>
      <c r="N128" s="8" t="b">
        <f t="shared" si="7"/>
        <v>1</v>
      </c>
      <c r="Q128" s="103"/>
      <c r="R128" s="103"/>
      <c r="S128" s="103"/>
      <c r="T128" s="103"/>
      <c r="U128" s="103"/>
      <c r="V128" s="103"/>
    </row>
    <row r="129" spans="2:22" ht="13.5" thickBot="1" x14ac:dyDescent="0.25">
      <c r="B129" s="9"/>
      <c r="C129" s="9"/>
      <c r="D129" s="9"/>
      <c r="E129" s="9"/>
      <c r="F129" s="9"/>
      <c r="H129" s="10" t="str">
        <f t="shared" si="8"/>
        <v/>
      </c>
      <c r="I129" s="10" t="str">
        <f t="shared" si="9"/>
        <v/>
      </c>
      <c r="J129" s="10" t="str">
        <f t="shared" si="10"/>
        <v/>
      </c>
      <c r="K129" s="10" t="str">
        <f t="shared" si="11"/>
        <v/>
      </c>
      <c r="L129" s="10" t="str">
        <f t="shared" si="12"/>
        <v/>
      </c>
      <c r="N129" s="8" t="b">
        <f t="shared" si="7"/>
        <v>1</v>
      </c>
      <c r="Q129" s="103"/>
      <c r="R129" s="103"/>
      <c r="S129" s="103"/>
      <c r="T129" s="103"/>
      <c r="U129" s="103"/>
      <c r="V129" s="103"/>
    </row>
    <row r="130" spans="2:22" ht="13.5" thickBot="1" x14ac:dyDescent="0.25">
      <c r="B130" s="9"/>
      <c r="C130" s="9"/>
      <c r="D130" s="9"/>
      <c r="E130" s="9"/>
      <c r="F130" s="9"/>
      <c r="H130" s="10" t="str">
        <f t="shared" si="8"/>
        <v/>
      </c>
      <c r="I130" s="10" t="str">
        <f t="shared" si="9"/>
        <v/>
      </c>
      <c r="J130" s="10" t="str">
        <f t="shared" si="10"/>
        <v/>
      </c>
      <c r="K130" s="10" t="str">
        <f t="shared" si="11"/>
        <v/>
      </c>
      <c r="L130" s="10" t="str">
        <f t="shared" si="12"/>
        <v/>
      </c>
      <c r="N130" s="8" t="b">
        <f t="shared" si="7"/>
        <v>1</v>
      </c>
      <c r="Q130" s="103"/>
      <c r="R130" s="103"/>
      <c r="S130" s="103"/>
      <c r="T130" s="103"/>
      <c r="U130" s="103"/>
      <c r="V130" s="103"/>
    </row>
    <row r="131" spans="2:22" ht="13.5" thickBot="1" x14ac:dyDescent="0.25">
      <c r="B131" s="9"/>
      <c r="C131" s="9"/>
      <c r="D131" s="9"/>
      <c r="E131" s="9"/>
      <c r="F131" s="9"/>
      <c r="H131" s="10" t="str">
        <f t="shared" si="8"/>
        <v/>
      </c>
      <c r="I131" s="10" t="str">
        <f t="shared" si="9"/>
        <v/>
      </c>
      <c r="J131" s="10" t="str">
        <f t="shared" si="10"/>
        <v/>
      </c>
      <c r="K131" s="10" t="str">
        <f t="shared" si="11"/>
        <v/>
      </c>
      <c r="L131" s="10" t="str">
        <f t="shared" si="12"/>
        <v/>
      </c>
      <c r="N131" s="8" t="b">
        <f t="shared" si="7"/>
        <v>1</v>
      </c>
      <c r="Q131" s="103"/>
      <c r="R131" s="103"/>
      <c r="S131" s="103"/>
      <c r="T131" s="103"/>
      <c r="U131" s="103"/>
      <c r="V131" s="103"/>
    </row>
    <row r="132" spans="2:22" ht="13.5" thickBot="1" x14ac:dyDescent="0.25">
      <c r="B132" s="9"/>
      <c r="C132" s="9"/>
      <c r="D132" s="9"/>
      <c r="E132" s="9"/>
      <c r="F132" s="9"/>
      <c r="H132" s="10" t="str">
        <f t="shared" si="8"/>
        <v/>
      </c>
      <c r="I132" s="10" t="str">
        <f t="shared" si="9"/>
        <v/>
      </c>
      <c r="J132" s="10" t="str">
        <f t="shared" si="10"/>
        <v/>
      </c>
      <c r="K132" s="10" t="str">
        <f t="shared" si="11"/>
        <v/>
      </c>
      <c r="L132" s="10" t="str">
        <f t="shared" si="12"/>
        <v/>
      </c>
      <c r="N132" s="8" t="b">
        <f t="shared" si="7"/>
        <v>1</v>
      </c>
      <c r="Q132" s="103"/>
      <c r="R132" s="103"/>
      <c r="S132" s="103"/>
      <c r="T132" s="103"/>
      <c r="U132" s="103"/>
      <c r="V132" s="103"/>
    </row>
    <row r="133" spans="2:22" ht="13.5" thickBot="1" x14ac:dyDescent="0.25">
      <c r="B133" s="9"/>
      <c r="C133" s="9"/>
      <c r="D133" s="9"/>
      <c r="E133" s="9"/>
      <c r="F133" s="9"/>
      <c r="H133" s="10" t="str">
        <f t="shared" si="8"/>
        <v/>
      </c>
      <c r="I133" s="10" t="str">
        <f t="shared" si="9"/>
        <v/>
      </c>
      <c r="J133" s="10" t="str">
        <f t="shared" si="10"/>
        <v/>
      </c>
      <c r="K133" s="10" t="str">
        <f t="shared" si="11"/>
        <v/>
      </c>
      <c r="L133" s="10" t="str">
        <f t="shared" si="12"/>
        <v/>
      </c>
      <c r="N133" s="8" t="b">
        <f t="shared" si="7"/>
        <v>1</v>
      </c>
      <c r="Q133" s="103"/>
      <c r="R133" s="103"/>
      <c r="S133" s="103"/>
      <c r="T133" s="103"/>
      <c r="U133" s="103"/>
      <c r="V133" s="103"/>
    </row>
    <row r="134" spans="2:22" ht="13.5" thickBot="1" x14ac:dyDescent="0.25">
      <c r="B134" s="9"/>
      <c r="C134" s="9"/>
      <c r="D134" s="9"/>
      <c r="E134" s="9"/>
      <c r="F134" s="9"/>
      <c r="H134" s="10" t="str">
        <f t="shared" si="8"/>
        <v/>
      </c>
      <c r="I134" s="10" t="str">
        <f t="shared" si="9"/>
        <v/>
      </c>
      <c r="J134" s="10" t="str">
        <f t="shared" si="10"/>
        <v/>
      </c>
      <c r="K134" s="10" t="str">
        <f t="shared" si="11"/>
        <v/>
      </c>
      <c r="L134" s="10" t="str">
        <f t="shared" si="12"/>
        <v/>
      </c>
      <c r="N134" s="8" t="b">
        <f t="shared" si="7"/>
        <v>1</v>
      </c>
      <c r="Q134" s="103"/>
      <c r="R134" s="103"/>
      <c r="S134" s="103"/>
      <c r="T134" s="103"/>
      <c r="U134" s="103"/>
      <c r="V134" s="103"/>
    </row>
    <row r="135" spans="2:22" ht="13.5" thickBot="1" x14ac:dyDescent="0.25">
      <c r="B135" s="9"/>
      <c r="C135" s="9"/>
      <c r="D135" s="9"/>
      <c r="E135" s="9"/>
      <c r="F135" s="9"/>
      <c r="H135" s="10" t="str">
        <f t="shared" si="8"/>
        <v/>
      </c>
      <c r="I135" s="10" t="str">
        <f t="shared" si="9"/>
        <v/>
      </c>
      <c r="J135" s="10" t="str">
        <f t="shared" si="10"/>
        <v/>
      </c>
      <c r="K135" s="10" t="str">
        <f t="shared" si="11"/>
        <v/>
      </c>
      <c r="L135" s="10" t="str">
        <f t="shared" si="12"/>
        <v/>
      </c>
      <c r="N135" s="8" t="b">
        <f t="shared" si="7"/>
        <v>1</v>
      </c>
      <c r="Q135" s="103"/>
      <c r="R135" s="103"/>
      <c r="S135" s="103"/>
      <c r="T135" s="103"/>
      <c r="U135" s="103"/>
      <c r="V135" s="103"/>
    </row>
    <row r="136" spans="2:22" ht="13.5" thickBot="1" x14ac:dyDescent="0.25">
      <c r="B136" s="9"/>
      <c r="C136" s="9"/>
      <c r="D136" s="9"/>
      <c r="E136" s="9"/>
      <c r="F136" s="9"/>
      <c r="H136" s="10" t="str">
        <f t="shared" si="8"/>
        <v/>
      </c>
      <c r="I136" s="10" t="str">
        <f t="shared" si="9"/>
        <v/>
      </c>
      <c r="J136" s="10" t="str">
        <f t="shared" si="10"/>
        <v/>
      </c>
      <c r="K136" s="10" t="str">
        <f t="shared" si="11"/>
        <v/>
      </c>
      <c r="L136" s="10" t="str">
        <f t="shared" si="12"/>
        <v/>
      </c>
      <c r="N136" s="8" t="b">
        <f t="shared" ref="N136:N199" si="13">IF($B136=$H136,IF($C136=$I136,IF($D136=$J136,IF($E136=$K136,IF($F136=$L136,TRUE,FALSE),FALSE),FALSE),FALSE),FALSE)</f>
        <v>1</v>
      </c>
      <c r="Q136" s="103"/>
      <c r="R136" s="103"/>
      <c r="S136" s="103"/>
      <c r="T136" s="103"/>
      <c r="U136" s="103"/>
      <c r="V136" s="103"/>
    </row>
    <row r="137" spans="2:22" ht="13.5" thickBot="1" x14ac:dyDescent="0.25">
      <c r="B137" s="9"/>
      <c r="C137" s="9"/>
      <c r="D137" s="9"/>
      <c r="E137" s="9"/>
      <c r="F137" s="9"/>
      <c r="H137" s="10" t="str">
        <f t="shared" ref="H137:H200" si="14">IF(Q137="", "", LOOKUP(Q137,$W$8:$W$40,$X$8:$X$40))</f>
        <v/>
      </c>
      <c r="I137" s="10" t="str">
        <f t="shared" ref="I137:I200" si="15">IF(R137="", "", LOOKUP(R137,$W$8:$W$40,$X$8:$X$40))</f>
        <v/>
      </c>
      <c r="J137" s="10" t="str">
        <f t="shared" ref="J137:J200" si="16">IF(S137="", "", LOOKUP(S137,$W$8:$W$40,$X$8:$X$40))</f>
        <v/>
      </c>
      <c r="K137" s="10" t="str">
        <f t="shared" ref="K137:K200" si="17">IF(T137="", "", LOOKUP(T137,$W$8:$W$40,$X$8:$X$40))</f>
        <v/>
      </c>
      <c r="L137" s="10" t="str">
        <f t="shared" ref="L137:L200" si="18">IF(U137="", "", LOOKUP(U137,$W$8:$W$40,$X$8:$X$40))</f>
        <v/>
      </c>
      <c r="N137" s="8" t="b">
        <f t="shared" si="13"/>
        <v>1</v>
      </c>
      <c r="Q137" s="103"/>
      <c r="R137" s="103"/>
      <c r="S137" s="103"/>
      <c r="T137" s="103"/>
      <c r="U137" s="103"/>
      <c r="V137" s="103"/>
    </row>
    <row r="138" spans="2:22" ht="13.5" thickBot="1" x14ac:dyDescent="0.25">
      <c r="B138" s="9"/>
      <c r="C138" s="9"/>
      <c r="D138" s="9"/>
      <c r="E138" s="9"/>
      <c r="F138" s="9"/>
      <c r="H138" s="10" t="str">
        <f t="shared" si="14"/>
        <v/>
      </c>
      <c r="I138" s="10" t="str">
        <f t="shared" si="15"/>
        <v/>
      </c>
      <c r="J138" s="10" t="str">
        <f t="shared" si="16"/>
        <v/>
      </c>
      <c r="K138" s="10" t="str">
        <f t="shared" si="17"/>
        <v/>
      </c>
      <c r="L138" s="10" t="str">
        <f t="shared" si="18"/>
        <v/>
      </c>
      <c r="N138" s="8" t="b">
        <f t="shared" si="13"/>
        <v>1</v>
      </c>
      <c r="Q138" s="103"/>
      <c r="R138" s="103"/>
      <c r="S138" s="103"/>
      <c r="T138" s="103"/>
      <c r="U138" s="103"/>
      <c r="V138" s="103"/>
    </row>
    <row r="139" spans="2:22" ht="13.5" thickBot="1" x14ac:dyDescent="0.25">
      <c r="B139" s="9"/>
      <c r="C139" s="9"/>
      <c r="D139" s="9"/>
      <c r="E139" s="9"/>
      <c r="F139" s="9"/>
      <c r="H139" s="10" t="str">
        <f t="shared" si="14"/>
        <v/>
      </c>
      <c r="I139" s="10" t="str">
        <f t="shared" si="15"/>
        <v/>
      </c>
      <c r="J139" s="10" t="str">
        <f t="shared" si="16"/>
        <v/>
      </c>
      <c r="K139" s="10" t="str">
        <f t="shared" si="17"/>
        <v/>
      </c>
      <c r="L139" s="10" t="str">
        <f t="shared" si="18"/>
        <v/>
      </c>
      <c r="N139" s="8" t="b">
        <f t="shared" si="13"/>
        <v>1</v>
      </c>
      <c r="Q139" s="103"/>
      <c r="R139" s="103"/>
      <c r="S139" s="103"/>
      <c r="T139" s="103"/>
      <c r="U139" s="103"/>
      <c r="V139" s="103"/>
    </row>
    <row r="140" spans="2:22" ht="13.5" thickBot="1" x14ac:dyDescent="0.25">
      <c r="B140" s="9"/>
      <c r="C140" s="9"/>
      <c r="D140" s="9"/>
      <c r="E140" s="9"/>
      <c r="F140" s="9"/>
      <c r="H140" s="10" t="str">
        <f t="shared" si="14"/>
        <v/>
      </c>
      <c r="I140" s="10" t="str">
        <f t="shared" si="15"/>
        <v/>
      </c>
      <c r="J140" s="10" t="str">
        <f t="shared" si="16"/>
        <v/>
      </c>
      <c r="K140" s="10" t="str">
        <f t="shared" si="17"/>
        <v/>
      </c>
      <c r="L140" s="10" t="str">
        <f t="shared" si="18"/>
        <v/>
      </c>
      <c r="N140" s="8" t="b">
        <f t="shared" si="13"/>
        <v>1</v>
      </c>
      <c r="Q140" s="103"/>
      <c r="R140" s="103"/>
      <c r="S140" s="103"/>
      <c r="T140" s="103"/>
      <c r="U140" s="103"/>
      <c r="V140" s="103"/>
    </row>
    <row r="141" spans="2:22" ht="13.5" thickBot="1" x14ac:dyDescent="0.25">
      <c r="B141" s="9"/>
      <c r="C141" s="9"/>
      <c r="D141" s="9"/>
      <c r="E141" s="9"/>
      <c r="F141" s="9"/>
      <c r="H141" s="10" t="str">
        <f t="shared" si="14"/>
        <v/>
      </c>
      <c r="I141" s="10" t="str">
        <f t="shared" si="15"/>
        <v/>
      </c>
      <c r="J141" s="10" t="str">
        <f t="shared" si="16"/>
        <v/>
      </c>
      <c r="K141" s="10" t="str">
        <f t="shared" si="17"/>
        <v/>
      </c>
      <c r="L141" s="10" t="str">
        <f t="shared" si="18"/>
        <v/>
      </c>
      <c r="N141" s="8" t="b">
        <f t="shared" si="13"/>
        <v>1</v>
      </c>
      <c r="Q141" s="103"/>
      <c r="R141" s="103"/>
      <c r="S141" s="103"/>
      <c r="T141" s="103"/>
      <c r="U141" s="103"/>
      <c r="V141" s="103"/>
    </row>
    <row r="142" spans="2:22" ht="13.5" thickBot="1" x14ac:dyDescent="0.25">
      <c r="B142" s="9"/>
      <c r="C142" s="9"/>
      <c r="D142" s="9"/>
      <c r="E142" s="9"/>
      <c r="F142" s="9"/>
      <c r="H142" s="10" t="str">
        <f t="shared" si="14"/>
        <v/>
      </c>
      <c r="I142" s="10" t="str">
        <f t="shared" si="15"/>
        <v/>
      </c>
      <c r="J142" s="10" t="str">
        <f t="shared" si="16"/>
        <v/>
      </c>
      <c r="K142" s="10" t="str">
        <f t="shared" si="17"/>
        <v/>
      </c>
      <c r="L142" s="10" t="str">
        <f t="shared" si="18"/>
        <v/>
      </c>
      <c r="N142" s="8" t="b">
        <f t="shared" si="13"/>
        <v>1</v>
      </c>
      <c r="Q142" s="103"/>
      <c r="R142" s="103"/>
      <c r="S142" s="103"/>
      <c r="T142" s="103"/>
      <c r="U142" s="103"/>
      <c r="V142" s="103"/>
    </row>
    <row r="143" spans="2:22" ht="13.5" thickBot="1" x14ac:dyDescent="0.25">
      <c r="B143" s="9"/>
      <c r="C143" s="9"/>
      <c r="D143" s="9"/>
      <c r="E143" s="9"/>
      <c r="F143" s="9"/>
      <c r="H143" s="10" t="str">
        <f t="shared" si="14"/>
        <v/>
      </c>
      <c r="I143" s="10" t="str">
        <f t="shared" si="15"/>
        <v/>
      </c>
      <c r="J143" s="10" t="str">
        <f t="shared" si="16"/>
        <v/>
      </c>
      <c r="K143" s="10" t="str">
        <f t="shared" si="17"/>
        <v/>
      </c>
      <c r="L143" s="10" t="str">
        <f t="shared" si="18"/>
        <v/>
      </c>
      <c r="N143" s="8" t="b">
        <f t="shared" si="13"/>
        <v>1</v>
      </c>
      <c r="Q143" s="103"/>
      <c r="R143" s="103"/>
      <c r="S143" s="103"/>
      <c r="T143" s="103"/>
      <c r="U143" s="103"/>
      <c r="V143" s="103"/>
    </row>
    <row r="144" spans="2:22" ht="13.5" thickBot="1" x14ac:dyDescent="0.25">
      <c r="B144" s="9"/>
      <c r="C144" s="9"/>
      <c r="D144" s="9"/>
      <c r="E144" s="9"/>
      <c r="F144" s="9"/>
      <c r="H144" s="10" t="str">
        <f t="shared" si="14"/>
        <v/>
      </c>
      <c r="I144" s="10" t="str">
        <f t="shared" si="15"/>
        <v/>
      </c>
      <c r="J144" s="10" t="str">
        <f t="shared" si="16"/>
        <v/>
      </c>
      <c r="K144" s="10" t="str">
        <f t="shared" si="17"/>
        <v/>
      </c>
      <c r="L144" s="10" t="str">
        <f t="shared" si="18"/>
        <v/>
      </c>
      <c r="N144" s="8" t="b">
        <f t="shared" si="13"/>
        <v>1</v>
      </c>
      <c r="Q144" s="103"/>
      <c r="R144" s="103"/>
      <c r="S144" s="103"/>
      <c r="T144" s="103"/>
      <c r="U144" s="103"/>
      <c r="V144" s="103"/>
    </row>
    <row r="145" spans="2:22" ht="13.5" thickBot="1" x14ac:dyDescent="0.25">
      <c r="B145" s="9"/>
      <c r="C145" s="9"/>
      <c r="D145" s="9"/>
      <c r="E145" s="9"/>
      <c r="F145" s="9"/>
      <c r="H145" s="10" t="str">
        <f t="shared" si="14"/>
        <v/>
      </c>
      <c r="I145" s="10" t="str">
        <f t="shared" si="15"/>
        <v/>
      </c>
      <c r="J145" s="10" t="str">
        <f t="shared" si="16"/>
        <v/>
      </c>
      <c r="K145" s="10" t="str">
        <f t="shared" si="17"/>
        <v/>
      </c>
      <c r="L145" s="10" t="str">
        <f t="shared" si="18"/>
        <v/>
      </c>
      <c r="N145" s="8" t="b">
        <f t="shared" si="13"/>
        <v>1</v>
      </c>
      <c r="Q145" s="103"/>
      <c r="R145" s="103"/>
      <c r="S145" s="103"/>
      <c r="T145" s="103"/>
      <c r="U145" s="103"/>
      <c r="V145" s="103"/>
    </row>
    <row r="146" spans="2:22" ht="13.5" thickBot="1" x14ac:dyDescent="0.25">
      <c r="B146" s="9"/>
      <c r="C146" s="9"/>
      <c r="D146" s="9"/>
      <c r="E146" s="9"/>
      <c r="F146" s="9"/>
      <c r="H146" s="10" t="str">
        <f t="shared" si="14"/>
        <v/>
      </c>
      <c r="I146" s="10" t="str">
        <f t="shared" si="15"/>
        <v/>
      </c>
      <c r="J146" s="10" t="str">
        <f t="shared" si="16"/>
        <v/>
      </c>
      <c r="K146" s="10" t="str">
        <f t="shared" si="17"/>
        <v/>
      </c>
      <c r="L146" s="10" t="str">
        <f t="shared" si="18"/>
        <v/>
      </c>
      <c r="N146" s="8" t="b">
        <f t="shared" si="13"/>
        <v>1</v>
      </c>
      <c r="Q146" s="103"/>
      <c r="R146" s="103"/>
      <c r="S146" s="103"/>
      <c r="T146" s="103"/>
      <c r="U146" s="103"/>
      <c r="V146" s="103"/>
    </row>
    <row r="147" spans="2:22" ht="13.5" thickBot="1" x14ac:dyDescent="0.25">
      <c r="B147" s="9"/>
      <c r="C147" s="9"/>
      <c r="D147" s="9"/>
      <c r="E147" s="9"/>
      <c r="F147" s="9"/>
      <c r="H147" s="10" t="str">
        <f t="shared" si="14"/>
        <v/>
      </c>
      <c r="I147" s="10" t="str">
        <f t="shared" si="15"/>
        <v/>
      </c>
      <c r="J147" s="10" t="str">
        <f t="shared" si="16"/>
        <v/>
      </c>
      <c r="K147" s="10" t="str">
        <f t="shared" si="17"/>
        <v/>
      </c>
      <c r="L147" s="10" t="str">
        <f t="shared" si="18"/>
        <v/>
      </c>
      <c r="N147" s="8" t="b">
        <f t="shared" si="13"/>
        <v>1</v>
      </c>
      <c r="Q147" s="103"/>
      <c r="R147" s="103"/>
      <c r="S147" s="103"/>
      <c r="T147" s="103"/>
      <c r="U147" s="103"/>
      <c r="V147" s="103"/>
    </row>
    <row r="148" spans="2:22" ht="13.5" thickBot="1" x14ac:dyDescent="0.25">
      <c r="B148" s="9"/>
      <c r="C148" s="9"/>
      <c r="D148" s="9"/>
      <c r="E148" s="9"/>
      <c r="F148" s="9"/>
      <c r="H148" s="10" t="str">
        <f t="shared" si="14"/>
        <v/>
      </c>
      <c r="I148" s="10" t="str">
        <f t="shared" si="15"/>
        <v/>
      </c>
      <c r="J148" s="10" t="str">
        <f t="shared" si="16"/>
        <v/>
      </c>
      <c r="K148" s="10" t="str">
        <f t="shared" si="17"/>
        <v/>
      </c>
      <c r="L148" s="10" t="str">
        <f t="shared" si="18"/>
        <v/>
      </c>
      <c r="N148" s="8" t="b">
        <f t="shared" si="13"/>
        <v>1</v>
      </c>
      <c r="Q148" s="103"/>
      <c r="R148" s="103"/>
      <c r="S148" s="103"/>
      <c r="T148" s="103"/>
      <c r="U148" s="103"/>
      <c r="V148" s="103"/>
    </row>
    <row r="149" spans="2:22" ht="13.5" thickBot="1" x14ac:dyDescent="0.25">
      <c r="B149" s="9"/>
      <c r="C149" s="9"/>
      <c r="D149" s="9"/>
      <c r="E149" s="9"/>
      <c r="F149" s="9"/>
      <c r="H149" s="10" t="str">
        <f t="shared" si="14"/>
        <v/>
      </c>
      <c r="I149" s="10" t="str">
        <f t="shared" si="15"/>
        <v/>
      </c>
      <c r="J149" s="10" t="str">
        <f t="shared" si="16"/>
        <v/>
      </c>
      <c r="K149" s="10" t="str">
        <f t="shared" si="17"/>
        <v/>
      </c>
      <c r="L149" s="10" t="str">
        <f t="shared" si="18"/>
        <v/>
      </c>
      <c r="N149" s="8" t="b">
        <f t="shared" si="13"/>
        <v>1</v>
      </c>
      <c r="Q149" s="103"/>
      <c r="R149" s="103"/>
      <c r="S149" s="103"/>
      <c r="T149" s="103"/>
      <c r="U149" s="103"/>
      <c r="V149" s="103"/>
    </row>
    <row r="150" spans="2:22" ht="13.5" thickBot="1" x14ac:dyDescent="0.25">
      <c r="B150" s="9"/>
      <c r="C150" s="9"/>
      <c r="D150" s="9"/>
      <c r="E150" s="9"/>
      <c r="F150" s="9"/>
      <c r="H150" s="10" t="str">
        <f t="shared" si="14"/>
        <v/>
      </c>
      <c r="I150" s="10" t="str">
        <f t="shared" si="15"/>
        <v/>
      </c>
      <c r="J150" s="10" t="str">
        <f t="shared" si="16"/>
        <v/>
      </c>
      <c r="K150" s="10" t="str">
        <f t="shared" si="17"/>
        <v/>
      </c>
      <c r="L150" s="10" t="str">
        <f t="shared" si="18"/>
        <v/>
      </c>
      <c r="N150" s="8" t="b">
        <f t="shared" si="13"/>
        <v>1</v>
      </c>
      <c r="Q150" s="103"/>
      <c r="R150" s="103"/>
      <c r="S150" s="103"/>
      <c r="T150" s="103"/>
      <c r="U150" s="103"/>
      <c r="V150" s="103"/>
    </row>
    <row r="151" spans="2:22" ht="13.5" thickBot="1" x14ac:dyDescent="0.25">
      <c r="B151" s="9"/>
      <c r="C151" s="9"/>
      <c r="D151" s="9"/>
      <c r="E151" s="9"/>
      <c r="F151" s="9"/>
      <c r="H151" s="10" t="str">
        <f t="shared" si="14"/>
        <v/>
      </c>
      <c r="I151" s="10" t="str">
        <f t="shared" si="15"/>
        <v/>
      </c>
      <c r="J151" s="10" t="str">
        <f t="shared" si="16"/>
        <v/>
      </c>
      <c r="K151" s="10" t="str">
        <f t="shared" si="17"/>
        <v/>
      </c>
      <c r="L151" s="10" t="str">
        <f t="shared" si="18"/>
        <v/>
      </c>
      <c r="N151" s="8" t="b">
        <f t="shared" si="13"/>
        <v>1</v>
      </c>
      <c r="Q151" s="103"/>
      <c r="R151" s="103"/>
      <c r="S151" s="103"/>
      <c r="T151" s="103"/>
      <c r="U151" s="103"/>
      <c r="V151" s="103"/>
    </row>
    <row r="152" spans="2:22" ht="13.5" thickBot="1" x14ac:dyDescent="0.25">
      <c r="B152" s="9"/>
      <c r="C152" s="9"/>
      <c r="D152" s="9"/>
      <c r="E152" s="9"/>
      <c r="F152" s="9"/>
      <c r="H152" s="10" t="str">
        <f t="shared" si="14"/>
        <v/>
      </c>
      <c r="I152" s="10" t="str">
        <f t="shared" si="15"/>
        <v/>
      </c>
      <c r="J152" s="10" t="str">
        <f t="shared" si="16"/>
        <v/>
      </c>
      <c r="K152" s="10" t="str">
        <f t="shared" si="17"/>
        <v/>
      </c>
      <c r="L152" s="10" t="str">
        <f t="shared" si="18"/>
        <v/>
      </c>
      <c r="N152" s="8" t="b">
        <f t="shared" si="13"/>
        <v>1</v>
      </c>
      <c r="Q152" s="103"/>
      <c r="R152" s="103"/>
      <c r="S152" s="103"/>
      <c r="T152" s="103"/>
      <c r="U152" s="103"/>
      <c r="V152" s="103"/>
    </row>
    <row r="153" spans="2:22" ht="13.5" thickBot="1" x14ac:dyDescent="0.25">
      <c r="B153" s="9"/>
      <c r="C153" s="9"/>
      <c r="D153" s="9"/>
      <c r="E153" s="9"/>
      <c r="F153" s="9"/>
      <c r="H153" s="10" t="str">
        <f t="shared" si="14"/>
        <v/>
      </c>
      <c r="I153" s="10" t="str">
        <f t="shared" si="15"/>
        <v/>
      </c>
      <c r="J153" s="10" t="str">
        <f t="shared" si="16"/>
        <v/>
      </c>
      <c r="K153" s="10" t="str">
        <f t="shared" si="17"/>
        <v/>
      </c>
      <c r="L153" s="10" t="str">
        <f t="shared" si="18"/>
        <v/>
      </c>
      <c r="N153" s="8" t="b">
        <f t="shared" si="13"/>
        <v>1</v>
      </c>
      <c r="Q153" s="103"/>
      <c r="R153" s="103"/>
      <c r="S153" s="103"/>
      <c r="T153" s="103"/>
      <c r="U153" s="103"/>
      <c r="V153" s="103"/>
    </row>
    <row r="154" spans="2:22" ht="13.5" thickBot="1" x14ac:dyDescent="0.25">
      <c r="B154" s="9"/>
      <c r="C154" s="9"/>
      <c r="D154" s="9"/>
      <c r="E154" s="9"/>
      <c r="F154" s="9"/>
      <c r="H154" s="10" t="str">
        <f t="shared" si="14"/>
        <v/>
      </c>
      <c r="I154" s="10" t="str">
        <f t="shared" si="15"/>
        <v/>
      </c>
      <c r="J154" s="10" t="str">
        <f t="shared" si="16"/>
        <v/>
      </c>
      <c r="K154" s="10" t="str">
        <f t="shared" si="17"/>
        <v/>
      </c>
      <c r="L154" s="10" t="str">
        <f t="shared" si="18"/>
        <v/>
      </c>
      <c r="N154" s="8" t="b">
        <f t="shared" si="13"/>
        <v>1</v>
      </c>
      <c r="Q154" s="103"/>
      <c r="R154" s="103"/>
      <c r="S154" s="103"/>
      <c r="T154" s="103"/>
      <c r="U154" s="103"/>
      <c r="V154" s="103"/>
    </row>
    <row r="155" spans="2:22" ht="13.5" thickBot="1" x14ac:dyDescent="0.25">
      <c r="B155" s="9"/>
      <c r="C155" s="9"/>
      <c r="D155" s="9"/>
      <c r="E155" s="9"/>
      <c r="F155" s="9"/>
      <c r="H155" s="10" t="str">
        <f t="shared" si="14"/>
        <v/>
      </c>
      <c r="I155" s="10" t="str">
        <f t="shared" si="15"/>
        <v/>
      </c>
      <c r="J155" s="10" t="str">
        <f t="shared" si="16"/>
        <v/>
      </c>
      <c r="K155" s="10" t="str">
        <f t="shared" si="17"/>
        <v/>
      </c>
      <c r="L155" s="10" t="str">
        <f t="shared" si="18"/>
        <v/>
      </c>
      <c r="N155" s="8" t="b">
        <f t="shared" si="13"/>
        <v>1</v>
      </c>
      <c r="Q155" s="103"/>
      <c r="R155" s="103"/>
      <c r="S155" s="103"/>
      <c r="T155" s="103"/>
      <c r="U155" s="103"/>
      <c r="V155" s="103"/>
    </row>
    <row r="156" spans="2:22" ht="13.5" thickBot="1" x14ac:dyDescent="0.25">
      <c r="B156" s="9"/>
      <c r="C156" s="9"/>
      <c r="D156" s="9"/>
      <c r="E156" s="9"/>
      <c r="F156" s="9"/>
      <c r="H156" s="10" t="str">
        <f t="shared" si="14"/>
        <v/>
      </c>
      <c r="I156" s="10" t="str">
        <f t="shared" si="15"/>
        <v/>
      </c>
      <c r="J156" s="10" t="str">
        <f t="shared" si="16"/>
        <v/>
      </c>
      <c r="K156" s="10" t="str">
        <f t="shared" si="17"/>
        <v/>
      </c>
      <c r="L156" s="10" t="str">
        <f t="shared" si="18"/>
        <v/>
      </c>
      <c r="N156" s="8" t="b">
        <f t="shared" si="13"/>
        <v>1</v>
      </c>
      <c r="Q156" s="103"/>
      <c r="R156" s="103"/>
      <c r="S156" s="103"/>
      <c r="T156" s="103"/>
      <c r="U156" s="103"/>
      <c r="V156" s="103"/>
    </row>
    <row r="157" spans="2:22" ht="13.5" thickBot="1" x14ac:dyDescent="0.25">
      <c r="B157" s="9"/>
      <c r="C157" s="9"/>
      <c r="D157" s="9"/>
      <c r="E157" s="9"/>
      <c r="F157" s="9"/>
      <c r="H157" s="10" t="str">
        <f t="shared" si="14"/>
        <v/>
      </c>
      <c r="I157" s="10" t="str">
        <f t="shared" si="15"/>
        <v/>
      </c>
      <c r="J157" s="10" t="str">
        <f t="shared" si="16"/>
        <v/>
      </c>
      <c r="K157" s="10" t="str">
        <f t="shared" si="17"/>
        <v/>
      </c>
      <c r="L157" s="10" t="str">
        <f t="shared" si="18"/>
        <v/>
      </c>
      <c r="N157" s="8" t="b">
        <f t="shared" si="13"/>
        <v>1</v>
      </c>
      <c r="Q157" s="103"/>
      <c r="R157" s="103"/>
      <c r="S157" s="103"/>
      <c r="T157" s="103"/>
      <c r="U157" s="103"/>
      <c r="V157" s="103"/>
    </row>
    <row r="158" spans="2:22" ht="13.5" thickBot="1" x14ac:dyDescent="0.25">
      <c r="B158" s="9"/>
      <c r="C158" s="9"/>
      <c r="D158" s="9"/>
      <c r="E158" s="9"/>
      <c r="F158" s="9"/>
      <c r="H158" s="10" t="str">
        <f t="shared" si="14"/>
        <v/>
      </c>
      <c r="I158" s="10" t="str">
        <f t="shared" si="15"/>
        <v/>
      </c>
      <c r="J158" s="10" t="str">
        <f t="shared" si="16"/>
        <v/>
      </c>
      <c r="K158" s="10" t="str">
        <f t="shared" si="17"/>
        <v/>
      </c>
      <c r="L158" s="10" t="str">
        <f t="shared" si="18"/>
        <v/>
      </c>
      <c r="N158" s="8" t="b">
        <f t="shared" si="13"/>
        <v>1</v>
      </c>
      <c r="Q158" s="103"/>
      <c r="R158" s="103"/>
      <c r="S158" s="103"/>
      <c r="T158" s="103"/>
      <c r="U158" s="103"/>
      <c r="V158" s="103"/>
    </row>
    <row r="159" spans="2:22" ht="13.5" thickBot="1" x14ac:dyDescent="0.25">
      <c r="B159" s="9"/>
      <c r="C159" s="9"/>
      <c r="D159" s="9"/>
      <c r="E159" s="9"/>
      <c r="F159" s="9"/>
      <c r="H159" s="10" t="str">
        <f t="shared" si="14"/>
        <v/>
      </c>
      <c r="I159" s="10" t="str">
        <f t="shared" si="15"/>
        <v/>
      </c>
      <c r="J159" s="10" t="str">
        <f t="shared" si="16"/>
        <v/>
      </c>
      <c r="K159" s="10" t="str">
        <f t="shared" si="17"/>
        <v/>
      </c>
      <c r="L159" s="10" t="str">
        <f t="shared" si="18"/>
        <v/>
      </c>
      <c r="N159" s="8" t="b">
        <f t="shared" si="13"/>
        <v>1</v>
      </c>
      <c r="Q159" s="103"/>
      <c r="R159" s="103"/>
      <c r="S159" s="103"/>
      <c r="T159" s="103"/>
      <c r="U159" s="103"/>
      <c r="V159" s="103"/>
    </row>
    <row r="160" spans="2:22" ht="13.5" thickBot="1" x14ac:dyDescent="0.25">
      <c r="B160" s="9"/>
      <c r="C160" s="9"/>
      <c r="D160" s="9"/>
      <c r="E160" s="9"/>
      <c r="F160" s="9"/>
      <c r="H160" s="10" t="str">
        <f t="shared" si="14"/>
        <v/>
      </c>
      <c r="I160" s="10" t="str">
        <f t="shared" si="15"/>
        <v/>
      </c>
      <c r="J160" s="10" t="str">
        <f t="shared" si="16"/>
        <v/>
      </c>
      <c r="K160" s="10" t="str">
        <f t="shared" si="17"/>
        <v/>
      </c>
      <c r="L160" s="10" t="str">
        <f t="shared" si="18"/>
        <v/>
      </c>
      <c r="N160" s="8" t="b">
        <f t="shared" si="13"/>
        <v>1</v>
      </c>
      <c r="Q160" s="103"/>
      <c r="R160" s="103"/>
      <c r="S160" s="103"/>
      <c r="T160" s="103"/>
      <c r="U160" s="103"/>
      <c r="V160" s="103"/>
    </row>
    <row r="161" spans="2:22" ht="13.5" thickBot="1" x14ac:dyDescent="0.25">
      <c r="B161" s="9"/>
      <c r="C161" s="9"/>
      <c r="D161" s="9"/>
      <c r="E161" s="9"/>
      <c r="F161" s="9"/>
      <c r="H161" s="10" t="str">
        <f t="shared" si="14"/>
        <v/>
      </c>
      <c r="I161" s="10" t="str">
        <f t="shared" si="15"/>
        <v/>
      </c>
      <c r="J161" s="10" t="str">
        <f t="shared" si="16"/>
        <v/>
      </c>
      <c r="K161" s="10" t="str">
        <f t="shared" si="17"/>
        <v/>
      </c>
      <c r="L161" s="10" t="str">
        <f t="shared" si="18"/>
        <v/>
      </c>
      <c r="N161" s="8" t="b">
        <f t="shared" si="13"/>
        <v>1</v>
      </c>
      <c r="Q161" s="103"/>
      <c r="R161" s="103"/>
      <c r="S161" s="103"/>
      <c r="T161" s="103"/>
      <c r="U161" s="103"/>
      <c r="V161" s="103"/>
    </row>
    <row r="162" spans="2:22" ht="13.5" thickBot="1" x14ac:dyDescent="0.25">
      <c r="B162" s="9"/>
      <c r="C162" s="9"/>
      <c r="D162" s="9"/>
      <c r="E162" s="9"/>
      <c r="F162" s="9"/>
      <c r="H162" s="10" t="str">
        <f t="shared" si="14"/>
        <v/>
      </c>
      <c r="I162" s="10" t="str">
        <f t="shared" si="15"/>
        <v/>
      </c>
      <c r="J162" s="10" t="str">
        <f t="shared" si="16"/>
        <v/>
      </c>
      <c r="K162" s="10" t="str">
        <f t="shared" si="17"/>
        <v/>
      </c>
      <c r="L162" s="10" t="str">
        <f t="shared" si="18"/>
        <v/>
      </c>
      <c r="N162" s="8" t="b">
        <f t="shared" si="13"/>
        <v>1</v>
      </c>
      <c r="Q162" s="103"/>
      <c r="R162" s="103"/>
      <c r="S162" s="103"/>
      <c r="T162" s="103"/>
      <c r="U162" s="103"/>
      <c r="V162" s="103"/>
    </row>
    <row r="163" spans="2:22" ht="13.5" thickBot="1" x14ac:dyDescent="0.25">
      <c r="B163" s="9"/>
      <c r="C163" s="9"/>
      <c r="D163" s="9"/>
      <c r="E163" s="9"/>
      <c r="F163" s="9"/>
      <c r="H163" s="10" t="str">
        <f t="shared" si="14"/>
        <v/>
      </c>
      <c r="I163" s="10" t="str">
        <f t="shared" si="15"/>
        <v/>
      </c>
      <c r="J163" s="10" t="str">
        <f t="shared" si="16"/>
        <v/>
      </c>
      <c r="K163" s="10" t="str">
        <f t="shared" si="17"/>
        <v/>
      </c>
      <c r="L163" s="10" t="str">
        <f t="shared" si="18"/>
        <v/>
      </c>
      <c r="N163" s="8" t="b">
        <f t="shared" si="13"/>
        <v>1</v>
      </c>
      <c r="Q163" s="103"/>
      <c r="R163" s="103"/>
      <c r="S163" s="103"/>
      <c r="T163" s="103"/>
      <c r="U163" s="103"/>
      <c r="V163" s="103"/>
    </row>
    <row r="164" spans="2:22" ht="13.5" thickBot="1" x14ac:dyDescent="0.25">
      <c r="B164" s="9"/>
      <c r="C164" s="9"/>
      <c r="D164" s="9"/>
      <c r="E164" s="9"/>
      <c r="F164" s="9"/>
      <c r="H164" s="10" t="str">
        <f t="shared" si="14"/>
        <v/>
      </c>
      <c r="I164" s="10" t="str">
        <f t="shared" si="15"/>
        <v/>
      </c>
      <c r="J164" s="10" t="str">
        <f t="shared" si="16"/>
        <v/>
      </c>
      <c r="K164" s="10" t="str">
        <f t="shared" si="17"/>
        <v/>
      </c>
      <c r="L164" s="10" t="str">
        <f t="shared" si="18"/>
        <v/>
      </c>
      <c r="N164" s="8" t="b">
        <f t="shared" si="13"/>
        <v>1</v>
      </c>
      <c r="Q164" s="103"/>
      <c r="R164" s="103"/>
      <c r="S164" s="103"/>
      <c r="T164" s="103"/>
      <c r="U164" s="103"/>
      <c r="V164" s="103"/>
    </row>
    <row r="165" spans="2:22" ht="13.5" thickBot="1" x14ac:dyDescent="0.25">
      <c r="B165" s="9"/>
      <c r="C165" s="9"/>
      <c r="D165" s="9"/>
      <c r="E165" s="9"/>
      <c r="F165" s="9"/>
      <c r="H165" s="10" t="str">
        <f t="shared" si="14"/>
        <v/>
      </c>
      <c r="I165" s="10" t="str">
        <f t="shared" si="15"/>
        <v/>
      </c>
      <c r="J165" s="10" t="str">
        <f t="shared" si="16"/>
        <v/>
      </c>
      <c r="K165" s="10" t="str">
        <f t="shared" si="17"/>
        <v/>
      </c>
      <c r="L165" s="10" t="str">
        <f t="shared" si="18"/>
        <v/>
      </c>
      <c r="N165" s="8" t="b">
        <f t="shared" si="13"/>
        <v>1</v>
      </c>
      <c r="Q165" s="103"/>
      <c r="R165" s="103"/>
      <c r="S165" s="103"/>
      <c r="T165" s="103"/>
      <c r="U165" s="103"/>
      <c r="V165" s="103"/>
    </row>
    <row r="166" spans="2:22" ht="13.5" thickBot="1" x14ac:dyDescent="0.25">
      <c r="B166" s="9"/>
      <c r="C166" s="9"/>
      <c r="D166" s="9"/>
      <c r="E166" s="9"/>
      <c r="F166" s="9"/>
      <c r="H166" s="10" t="str">
        <f t="shared" si="14"/>
        <v/>
      </c>
      <c r="I166" s="10" t="str">
        <f t="shared" si="15"/>
        <v/>
      </c>
      <c r="J166" s="10" t="str">
        <f t="shared" si="16"/>
        <v/>
      </c>
      <c r="K166" s="10" t="str">
        <f t="shared" si="17"/>
        <v/>
      </c>
      <c r="L166" s="10" t="str">
        <f t="shared" si="18"/>
        <v/>
      </c>
      <c r="N166" s="8" t="b">
        <f t="shared" si="13"/>
        <v>1</v>
      </c>
      <c r="Q166" s="103"/>
      <c r="R166" s="103"/>
      <c r="S166" s="103"/>
      <c r="T166" s="103"/>
      <c r="U166" s="103"/>
      <c r="V166" s="103"/>
    </row>
    <row r="167" spans="2:22" ht="13.5" thickBot="1" x14ac:dyDescent="0.25">
      <c r="B167" s="9"/>
      <c r="C167" s="9"/>
      <c r="D167" s="9"/>
      <c r="E167" s="9"/>
      <c r="F167" s="9"/>
      <c r="H167" s="10" t="str">
        <f t="shared" si="14"/>
        <v/>
      </c>
      <c r="I167" s="10" t="str">
        <f t="shared" si="15"/>
        <v/>
      </c>
      <c r="J167" s="10" t="str">
        <f t="shared" si="16"/>
        <v/>
      </c>
      <c r="K167" s="10" t="str">
        <f t="shared" si="17"/>
        <v/>
      </c>
      <c r="L167" s="10" t="str">
        <f t="shared" si="18"/>
        <v/>
      </c>
      <c r="N167" s="8" t="b">
        <f t="shared" si="13"/>
        <v>1</v>
      </c>
      <c r="Q167" s="103"/>
      <c r="R167" s="103"/>
      <c r="S167" s="103"/>
      <c r="T167" s="103"/>
      <c r="U167" s="103"/>
      <c r="V167" s="103"/>
    </row>
    <row r="168" spans="2:22" ht="13.5" thickBot="1" x14ac:dyDescent="0.25">
      <c r="B168" s="9"/>
      <c r="C168" s="9"/>
      <c r="D168" s="9"/>
      <c r="E168" s="9"/>
      <c r="F168" s="9"/>
      <c r="H168" s="10" t="str">
        <f t="shared" si="14"/>
        <v/>
      </c>
      <c r="I168" s="10" t="str">
        <f t="shared" si="15"/>
        <v/>
      </c>
      <c r="J168" s="10" t="str">
        <f t="shared" si="16"/>
        <v/>
      </c>
      <c r="K168" s="10" t="str">
        <f t="shared" si="17"/>
        <v/>
      </c>
      <c r="L168" s="10" t="str">
        <f t="shared" si="18"/>
        <v/>
      </c>
      <c r="N168" s="8" t="b">
        <f t="shared" si="13"/>
        <v>1</v>
      </c>
      <c r="Q168" s="103"/>
      <c r="R168" s="103"/>
      <c r="S168" s="103"/>
      <c r="T168" s="103"/>
      <c r="U168" s="103"/>
      <c r="V168" s="103"/>
    </row>
    <row r="169" spans="2:22" ht="13.5" thickBot="1" x14ac:dyDescent="0.25">
      <c r="B169" s="9"/>
      <c r="C169" s="9"/>
      <c r="D169" s="9"/>
      <c r="E169" s="9"/>
      <c r="F169" s="9"/>
      <c r="H169" s="10" t="str">
        <f t="shared" si="14"/>
        <v/>
      </c>
      <c r="I169" s="10" t="str">
        <f t="shared" si="15"/>
        <v/>
      </c>
      <c r="J169" s="10" t="str">
        <f t="shared" si="16"/>
        <v/>
      </c>
      <c r="K169" s="10" t="str">
        <f t="shared" si="17"/>
        <v/>
      </c>
      <c r="L169" s="10" t="str">
        <f t="shared" si="18"/>
        <v/>
      </c>
      <c r="N169" s="8" t="b">
        <f t="shared" si="13"/>
        <v>1</v>
      </c>
      <c r="Q169" s="103"/>
      <c r="R169" s="103"/>
      <c r="S169" s="103"/>
      <c r="T169" s="103"/>
      <c r="U169" s="103"/>
      <c r="V169" s="103"/>
    </row>
    <row r="170" spans="2:22" ht="13.5" thickBot="1" x14ac:dyDescent="0.25">
      <c r="B170" s="9"/>
      <c r="C170" s="9"/>
      <c r="D170" s="9"/>
      <c r="E170" s="9"/>
      <c r="F170" s="9"/>
      <c r="H170" s="10" t="str">
        <f t="shared" si="14"/>
        <v/>
      </c>
      <c r="I170" s="10" t="str">
        <f t="shared" si="15"/>
        <v/>
      </c>
      <c r="J170" s="10" t="str">
        <f t="shared" si="16"/>
        <v/>
      </c>
      <c r="K170" s="10" t="str">
        <f t="shared" si="17"/>
        <v/>
      </c>
      <c r="L170" s="10" t="str">
        <f t="shared" si="18"/>
        <v/>
      </c>
      <c r="N170" s="8" t="b">
        <f t="shared" si="13"/>
        <v>1</v>
      </c>
      <c r="Q170" s="103"/>
      <c r="R170" s="103"/>
      <c r="S170" s="103"/>
      <c r="T170" s="103"/>
      <c r="U170" s="103"/>
      <c r="V170" s="103"/>
    </row>
    <row r="171" spans="2:22" ht="13.5" thickBot="1" x14ac:dyDescent="0.25">
      <c r="B171" s="9"/>
      <c r="C171" s="9"/>
      <c r="D171" s="9"/>
      <c r="E171" s="9"/>
      <c r="F171" s="9"/>
      <c r="H171" s="10" t="str">
        <f t="shared" si="14"/>
        <v/>
      </c>
      <c r="I171" s="10" t="str">
        <f t="shared" si="15"/>
        <v/>
      </c>
      <c r="J171" s="10" t="str">
        <f t="shared" si="16"/>
        <v/>
      </c>
      <c r="K171" s="10" t="str">
        <f t="shared" si="17"/>
        <v/>
      </c>
      <c r="L171" s="10" t="str">
        <f t="shared" si="18"/>
        <v/>
      </c>
      <c r="N171" s="8" t="b">
        <f t="shared" si="13"/>
        <v>1</v>
      </c>
      <c r="Q171" s="103"/>
      <c r="R171" s="103"/>
      <c r="S171" s="103"/>
      <c r="T171" s="103"/>
      <c r="U171" s="103"/>
      <c r="V171" s="103"/>
    </row>
    <row r="172" spans="2:22" ht="13.5" thickBot="1" x14ac:dyDescent="0.25">
      <c r="B172" s="9"/>
      <c r="C172" s="9"/>
      <c r="D172" s="9"/>
      <c r="E172" s="9"/>
      <c r="F172" s="9"/>
      <c r="H172" s="10" t="str">
        <f t="shared" si="14"/>
        <v/>
      </c>
      <c r="I172" s="10" t="str">
        <f t="shared" si="15"/>
        <v/>
      </c>
      <c r="J172" s="10" t="str">
        <f t="shared" si="16"/>
        <v/>
      </c>
      <c r="K172" s="10" t="str">
        <f t="shared" si="17"/>
        <v/>
      </c>
      <c r="L172" s="10" t="str">
        <f t="shared" si="18"/>
        <v/>
      </c>
      <c r="N172" s="8" t="b">
        <f t="shared" si="13"/>
        <v>1</v>
      </c>
      <c r="Q172" s="103"/>
      <c r="R172" s="103"/>
      <c r="S172" s="103"/>
      <c r="T172" s="103"/>
      <c r="U172" s="103"/>
      <c r="V172" s="103"/>
    </row>
    <row r="173" spans="2:22" ht="13.5" thickBot="1" x14ac:dyDescent="0.25">
      <c r="B173" s="9"/>
      <c r="C173" s="9"/>
      <c r="D173" s="9"/>
      <c r="E173" s="9"/>
      <c r="F173" s="9"/>
      <c r="H173" s="10" t="str">
        <f t="shared" si="14"/>
        <v/>
      </c>
      <c r="I173" s="10" t="str">
        <f t="shared" si="15"/>
        <v/>
      </c>
      <c r="J173" s="10" t="str">
        <f t="shared" si="16"/>
        <v/>
      </c>
      <c r="K173" s="10" t="str">
        <f t="shared" si="17"/>
        <v/>
      </c>
      <c r="L173" s="10" t="str">
        <f t="shared" si="18"/>
        <v/>
      </c>
      <c r="N173" s="8" t="b">
        <f t="shared" si="13"/>
        <v>1</v>
      </c>
      <c r="Q173" s="103"/>
      <c r="R173" s="103"/>
      <c r="S173" s="103"/>
      <c r="T173" s="103"/>
      <c r="U173" s="103"/>
      <c r="V173" s="103"/>
    </row>
    <row r="174" spans="2:22" ht="13.5" thickBot="1" x14ac:dyDescent="0.25">
      <c r="B174" s="9"/>
      <c r="C174" s="9"/>
      <c r="D174" s="9"/>
      <c r="E174" s="9"/>
      <c r="F174" s="9"/>
      <c r="H174" s="10" t="str">
        <f t="shared" si="14"/>
        <v/>
      </c>
      <c r="I174" s="10" t="str">
        <f t="shared" si="15"/>
        <v/>
      </c>
      <c r="J174" s="10" t="str">
        <f t="shared" si="16"/>
        <v/>
      </c>
      <c r="K174" s="10" t="str">
        <f t="shared" si="17"/>
        <v/>
      </c>
      <c r="L174" s="10" t="str">
        <f t="shared" si="18"/>
        <v/>
      </c>
      <c r="N174" s="8" t="b">
        <f t="shared" si="13"/>
        <v>1</v>
      </c>
      <c r="Q174" s="103"/>
      <c r="R174" s="103"/>
      <c r="S174" s="103"/>
      <c r="T174" s="103"/>
      <c r="U174" s="103"/>
      <c r="V174" s="103"/>
    </row>
    <row r="175" spans="2:22" ht="13.5" thickBot="1" x14ac:dyDescent="0.25">
      <c r="B175" s="9"/>
      <c r="C175" s="9"/>
      <c r="D175" s="9"/>
      <c r="E175" s="9"/>
      <c r="F175" s="9"/>
      <c r="H175" s="10" t="str">
        <f t="shared" si="14"/>
        <v/>
      </c>
      <c r="I175" s="10" t="str">
        <f t="shared" si="15"/>
        <v/>
      </c>
      <c r="J175" s="10" t="str">
        <f t="shared" si="16"/>
        <v/>
      </c>
      <c r="K175" s="10" t="str">
        <f t="shared" si="17"/>
        <v/>
      </c>
      <c r="L175" s="10" t="str">
        <f t="shared" si="18"/>
        <v/>
      </c>
      <c r="N175" s="8" t="b">
        <f t="shared" si="13"/>
        <v>1</v>
      </c>
      <c r="Q175" s="103"/>
      <c r="R175" s="103"/>
      <c r="S175" s="103"/>
      <c r="T175" s="103"/>
      <c r="U175" s="103"/>
      <c r="V175" s="103"/>
    </row>
    <row r="176" spans="2:22" ht="13.5" thickBot="1" x14ac:dyDescent="0.25">
      <c r="B176" s="9"/>
      <c r="C176" s="9"/>
      <c r="D176" s="9"/>
      <c r="E176" s="9"/>
      <c r="F176" s="9"/>
      <c r="H176" s="10" t="str">
        <f t="shared" si="14"/>
        <v/>
      </c>
      <c r="I176" s="10" t="str">
        <f t="shared" si="15"/>
        <v/>
      </c>
      <c r="J176" s="10" t="str">
        <f t="shared" si="16"/>
        <v/>
      </c>
      <c r="K176" s="10" t="str">
        <f t="shared" si="17"/>
        <v/>
      </c>
      <c r="L176" s="10" t="str">
        <f t="shared" si="18"/>
        <v/>
      </c>
      <c r="N176" s="8" t="b">
        <f t="shared" si="13"/>
        <v>1</v>
      </c>
      <c r="Q176" s="103"/>
      <c r="R176" s="103"/>
      <c r="S176" s="103"/>
      <c r="T176" s="103"/>
      <c r="U176" s="103"/>
      <c r="V176" s="103"/>
    </row>
    <row r="177" spans="2:22" ht="13.5" thickBot="1" x14ac:dyDescent="0.25">
      <c r="B177" s="9"/>
      <c r="C177" s="9"/>
      <c r="D177" s="9"/>
      <c r="E177" s="9"/>
      <c r="F177" s="9"/>
      <c r="H177" s="10" t="str">
        <f t="shared" si="14"/>
        <v/>
      </c>
      <c r="I177" s="10" t="str">
        <f t="shared" si="15"/>
        <v/>
      </c>
      <c r="J177" s="10" t="str">
        <f t="shared" si="16"/>
        <v/>
      </c>
      <c r="K177" s="10" t="str">
        <f t="shared" si="17"/>
        <v/>
      </c>
      <c r="L177" s="10" t="str">
        <f t="shared" si="18"/>
        <v/>
      </c>
      <c r="N177" s="8" t="b">
        <f t="shared" si="13"/>
        <v>1</v>
      </c>
      <c r="Q177" s="103"/>
      <c r="R177" s="103"/>
      <c r="S177" s="103"/>
      <c r="T177" s="103"/>
      <c r="U177" s="103"/>
      <c r="V177" s="103"/>
    </row>
    <row r="178" spans="2:22" ht="13.5" thickBot="1" x14ac:dyDescent="0.25">
      <c r="B178" s="9"/>
      <c r="C178" s="9"/>
      <c r="D178" s="9"/>
      <c r="E178" s="9"/>
      <c r="F178" s="9"/>
      <c r="H178" s="10" t="str">
        <f t="shared" si="14"/>
        <v/>
      </c>
      <c r="I178" s="10" t="str">
        <f t="shared" si="15"/>
        <v/>
      </c>
      <c r="J178" s="10" t="str">
        <f t="shared" si="16"/>
        <v/>
      </c>
      <c r="K178" s="10" t="str">
        <f t="shared" si="17"/>
        <v/>
      </c>
      <c r="L178" s="10" t="str">
        <f t="shared" si="18"/>
        <v/>
      </c>
      <c r="N178" s="8" t="b">
        <f t="shared" si="13"/>
        <v>1</v>
      </c>
      <c r="Q178" s="103"/>
      <c r="R178" s="103"/>
      <c r="S178" s="103"/>
      <c r="T178" s="103"/>
      <c r="U178" s="103"/>
      <c r="V178" s="103"/>
    </row>
    <row r="179" spans="2:22" ht="13.5" thickBot="1" x14ac:dyDescent="0.25">
      <c r="B179" s="9"/>
      <c r="C179" s="9"/>
      <c r="D179" s="9"/>
      <c r="E179" s="9"/>
      <c r="F179" s="9"/>
      <c r="H179" s="10" t="str">
        <f t="shared" si="14"/>
        <v/>
      </c>
      <c r="I179" s="10" t="str">
        <f t="shared" si="15"/>
        <v/>
      </c>
      <c r="J179" s="10" t="str">
        <f t="shared" si="16"/>
        <v/>
      </c>
      <c r="K179" s="10" t="str">
        <f t="shared" si="17"/>
        <v/>
      </c>
      <c r="L179" s="10" t="str">
        <f t="shared" si="18"/>
        <v/>
      </c>
      <c r="N179" s="8" t="b">
        <f t="shared" si="13"/>
        <v>1</v>
      </c>
      <c r="Q179" s="103"/>
      <c r="R179" s="103"/>
      <c r="S179" s="103"/>
      <c r="T179" s="103"/>
      <c r="U179" s="103"/>
      <c r="V179" s="103"/>
    </row>
    <row r="180" spans="2:22" ht="13.5" thickBot="1" x14ac:dyDescent="0.25">
      <c r="B180" s="9"/>
      <c r="C180" s="9"/>
      <c r="D180" s="9"/>
      <c r="E180" s="9"/>
      <c r="F180" s="9"/>
      <c r="H180" s="10" t="str">
        <f t="shared" si="14"/>
        <v/>
      </c>
      <c r="I180" s="10" t="str">
        <f t="shared" si="15"/>
        <v/>
      </c>
      <c r="J180" s="10" t="str">
        <f t="shared" si="16"/>
        <v/>
      </c>
      <c r="K180" s="10" t="str">
        <f t="shared" si="17"/>
        <v/>
      </c>
      <c r="L180" s="10" t="str">
        <f t="shared" si="18"/>
        <v/>
      </c>
      <c r="N180" s="8" t="b">
        <f t="shared" si="13"/>
        <v>1</v>
      </c>
      <c r="Q180" s="103"/>
      <c r="R180" s="103"/>
      <c r="S180" s="103"/>
      <c r="T180" s="103"/>
      <c r="U180" s="103"/>
      <c r="V180" s="103"/>
    </row>
    <row r="181" spans="2:22" ht="13.5" thickBot="1" x14ac:dyDescent="0.25">
      <c r="B181" s="9"/>
      <c r="C181" s="9"/>
      <c r="D181" s="9"/>
      <c r="E181" s="9"/>
      <c r="F181" s="9"/>
      <c r="H181" s="10" t="str">
        <f t="shared" si="14"/>
        <v/>
      </c>
      <c r="I181" s="10" t="str">
        <f t="shared" si="15"/>
        <v/>
      </c>
      <c r="J181" s="10" t="str">
        <f t="shared" si="16"/>
        <v/>
      </c>
      <c r="K181" s="10" t="str">
        <f t="shared" si="17"/>
        <v/>
      </c>
      <c r="L181" s="10" t="str">
        <f t="shared" si="18"/>
        <v/>
      </c>
      <c r="N181" s="8" t="b">
        <f t="shared" si="13"/>
        <v>1</v>
      </c>
      <c r="Q181" s="103"/>
      <c r="R181" s="103"/>
      <c r="S181" s="103"/>
      <c r="T181" s="103"/>
      <c r="U181" s="103"/>
      <c r="V181" s="103"/>
    </row>
    <row r="182" spans="2:22" ht="13.5" thickBot="1" x14ac:dyDescent="0.25">
      <c r="B182" s="9"/>
      <c r="C182" s="9"/>
      <c r="D182" s="9"/>
      <c r="E182" s="9"/>
      <c r="F182" s="9"/>
      <c r="H182" s="10" t="str">
        <f t="shared" si="14"/>
        <v/>
      </c>
      <c r="I182" s="10" t="str">
        <f t="shared" si="15"/>
        <v/>
      </c>
      <c r="J182" s="10" t="str">
        <f t="shared" si="16"/>
        <v/>
      </c>
      <c r="K182" s="10" t="str">
        <f t="shared" si="17"/>
        <v/>
      </c>
      <c r="L182" s="10" t="str">
        <f t="shared" si="18"/>
        <v/>
      </c>
      <c r="N182" s="8" t="b">
        <f t="shared" si="13"/>
        <v>1</v>
      </c>
      <c r="Q182" s="103"/>
      <c r="R182" s="103"/>
      <c r="S182" s="103"/>
      <c r="T182" s="103"/>
      <c r="U182" s="103"/>
      <c r="V182" s="103"/>
    </row>
    <row r="183" spans="2:22" ht="13.5" thickBot="1" x14ac:dyDescent="0.25">
      <c r="B183" s="9"/>
      <c r="C183" s="9"/>
      <c r="D183" s="9"/>
      <c r="E183" s="9"/>
      <c r="F183" s="9"/>
      <c r="H183" s="10" t="str">
        <f t="shared" si="14"/>
        <v/>
      </c>
      <c r="I183" s="10" t="str">
        <f t="shared" si="15"/>
        <v/>
      </c>
      <c r="J183" s="10" t="str">
        <f t="shared" si="16"/>
        <v/>
      </c>
      <c r="K183" s="10" t="str">
        <f t="shared" si="17"/>
        <v/>
      </c>
      <c r="L183" s="10" t="str">
        <f t="shared" si="18"/>
        <v/>
      </c>
      <c r="N183" s="8" t="b">
        <f t="shared" si="13"/>
        <v>1</v>
      </c>
      <c r="Q183" s="103"/>
      <c r="R183" s="103"/>
      <c r="S183" s="103"/>
      <c r="T183" s="103"/>
      <c r="U183" s="103"/>
      <c r="V183" s="103"/>
    </row>
    <row r="184" spans="2:22" ht="13.5" thickBot="1" x14ac:dyDescent="0.25">
      <c r="B184" s="9"/>
      <c r="C184" s="9"/>
      <c r="D184" s="9"/>
      <c r="E184" s="9"/>
      <c r="F184" s="9"/>
      <c r="H184" s="10" t="str">
        <f t="shared" si="14"/>
        <v/>
      </c>
      <c r="I184" s="10" t="str">
        <f t="shared" si="15"/>
        <v/>
      </c>
      <c r="J184" s="10" t="str">
        <f t="shared" si="16"/>
        <v/>
      </c>
      <c r="K184" s="10" t="str">
        <f t="shared" si="17"/>
        <v/>
      </c>
      <c r="L184" s="10" t="str">
        <f t="shared" si="18"/>
        <v/>
      </c>
      <c r="N184" s="8" t="b">
        <f t="shared" si="13"/>
        <v>1</v>
      </c>
      <c r="Q184" s="103"/>
      <c r="R184" s="103"/>
      <c r="S184" s="103"/>
      <c r="T184" s="103"/>
      <c r="U184" s="103"/>
      <c r="V184" s="103"/>
    </row>
    <row r="185" spans="2:22" ht="13.5" thickBot="1" x14ac:dyDescent="0.25">
      <c r="B185" s="9"/>
      <c r="C185" s="9"/>
      <c r="D185" s="9"/>
      <c r="E185" s="9"/>
      <c r="F185" s="9"/>
      <c r="H185" s="10" t="str">
        <f t="shared" si="14"/>
        <v/>
      </c>
      <c r="I185" s="10" t="str">
        <f t="shared" si="15"/>
        <v/>
      </c>
      <c r="J185" s="10" t="str">
        <f t="shared" si="16"/>
        <v/>
      </c>
      <c r="K185" s="10" t="str">
        <f t="shared" si="17"/>
        <v/>
      </c>
      <c r="L185" s="10" t="str">
        <f t="shared" si="18"/>
        <v/>
      </c>
      <c r="N185" s="8" t="b">
        <f t="shared" si="13"/>
        <v>1</v>
      </c>
      <c r="Q185" s="103"/>
      <c r="R185" s="103"/>
      <c r="S185" s="103"/>
      <c r="T185" s="103"/>
      <c r="U185" s="103"/>
      <c r="V185" s="103"/>
    </row>
    <row r="186" spans="2:22" ht="13.5" thickBot="1" x14ac:dyDescent="0.25">
      <c r="B186" s="9"/>
      <c r="C186" s="9"/>
      <c r="D186" s="9"/>
      <c r="E186" s="9"/>
      <c r="F186" s="9"/>
      <c r="H186" s="10" t="str">
        <f t="shared" si="14"/>
        <v/>
      </c>
      <c r="I186" s="10" t="str">
        <f t="shared" si="15"/>
        <v/>
      </c>
      <c r="J186" s="10" t="str">
        <f t="shared" si="16"/>
        <v/>
      </c>
      <c r="K186" s="10" t="str">
        <f t="shared" si="17"/>
        <v/>
      </c>
      <c r="L186" s="10" t="str">
        <f t="shared" si="18"/>
        <v/>
      </c>
      <c r="N186" s="8" t="b">
        <f t="shared" si="13"/>
        <v>1</v>
      </c>
      <c r="Q186" s="103"/>
      <c r="R186" s="103"/>
      <c r="S186" s="103"/>
      <c r="T186" s="103"/>
      <c r="U186" s="103"/>
      <c r="V186" s="103"/>
    </row>
    <row r="187" spans="2:22" ht="13.5" thickBot="1" x14ac:dyDescent="0.25">
      <c r="B187" s="9"/>
      <c r="C187" s="9"/>
      <c r="D187" s="9"/>
      <c r="E187" s="9"/>
      <c r="F187" s="9"/>
      <c r="H187" s="10" t="str">
        <f t="shared" si="14"/>
        <v/>
      </c>
      <c r="I187" s="10" t="str">
        <f t="shared" si="15"/>
        <v/>
      </c>
      <c r="J187" s="10" t="str">
        <f t="shared" si="16"/>
        <v/>
      </c>
      <c r="K187" s="10" t="str">
        <f t="shared" si="17"/>
        <v/>
      </c>
      <c r="L187" s="10" t="str">
        <f t="shared" si="18"/>
        <v/>
      </c>
      <c r="N187" s="8" t="b">
        <f t="shared" si="13"/>
        <v>1</v>
      </c>
      <c r="Q187" s="103"/>
      <c r="R187" s="103"/>
      <c r="S187" s="103"/>
      <c r="T187" s="103"/>
      <c r="U187" s="103"/>
      <c r="V187" s="103"/>
    </row>
    <row r="188" spans="2:22" ht="13.5" thickBot="1" x14ac:dyDescent="0.25">
      <c r="B188" s="9"/>
      <c r="C188" s="9"/>
      <c r="D188" s="9"/>
      <c r="E188" s="9"/>
      <c r="F188" s="9"/>
      <c r="H188" s="10" t="str">
        <f t="shared" si="14"/>
        <v/>
      </c>
      <c r="I188" s="10" t="str">
        <f t="shared" si="15"/>
        <v/>
      </c>
      <c r="J188" s="10" t="str">
        <f t="shared" si="16"/>
        <v/>
      </c>
      <c r="K188" s="10" t="str">
        <f t="shared" si="17"/>
        <v/>
      </c>
      <c r="L188" s="10" t="str">
        <f t="shared" si="18"/>
        <v/>
      </c>
      <c r="N188" s="8" t="b">
        <f t="shared" si="13"/>
        <v>1</v>
      </c>
      <c r="Q188" s="103"/>
      <c r="R188" s="103"/>
      <c r="S188" s="103"/>
      <c r="T188" s="103"/>
      <c r="U188" s="103"/>
      <c r="V188" s="103"/>
    </row>
    <row r="189" spans="2:22" ht="13.5" thickBot="1" x14ac:dyDescent="0.25">
      <c r="B189" s="9"/>
      <c r="C189" s="9"/>
      <c r="D189" s="9"/>
      <c r="E189" s="9"/>
      <c r="F189" s="9"/>
      <c r="H189" s="10" t="str">
        <f t="shared" si="14"/>
        <v/>
      </c>
      <c r="I189" s="10" t="str">
        <f t="shared" si="15"/>
        <v/>
      </c>
      <c r="J189" s="10" t="str">
        <f t="shared" si="16"/>
        <v/>
      </c>
      <c r="K189" s="10" t="str">
        <f t="shared" si="17"/>
        <v/>
      </c>
      <c r="L189" s="10" t="str">
        <f t="shared" si="18"/>
        <v/>
      </c>
      <c r="N189" s="8" t="b">
        <f t="shared" si="13"/>
        <v>1</v>
      </c>
      <c r="Q189" s="103"/>
      <c r="R189" s="103"/>
      <c r="S189" s="103"/>
      <c r="T189" s="103"/>
      <c r="U189" s="103"/>
      <c r="V189" s="103"/>
    </row>
    <row r="190" spans="2:22" ht="13.5" thickBot="1" x14ac:dyDescent="0.25">
      <c r="B190" s="9"/>
      <c r="C190" s="9"/>
      <c r="D190" s="9"/>
      <c r="E190" s="9"/>
      <c r="F190" s="9"/>
      <c r="H190" s="10" t="str">
        <f t="shared" si="14"/>
        <v/>
      </c>
      <c r="I190" s="10" t="str">
        <f t="shared" si="15"/>
        <v/>
      </c>
      <c r="J190" s="10" t="str">
        <f t="shared" si="16"/>
        <v/>
      </c>
      <c r="K190" s="10" t="str">
        <f t="shared" si="17"/>
        <v/>
      </c>
      <c r="L190" s="10" t="str">
        <f t="shared" si="18"/>
        <v/>
      </c>
      <c r="N190" s="8" t="b">
        <f t="shared" si="13"/>
        <v>1</v>
      </c>
      <c r="Q190" s="103"/>
      <c r="R190" s="103"/>
      <c r="S190" s="103"/>
      <c r="T190" s="103"/>
      <c r="U190" s="103"/>
      <c r="V190" s="103"/>
    </row>
    <row r="191" spans="2:22" ht="13.5" thickBot="1" x14ac:dyDescent="0.25">
      <c r="B191" s="9"/>
      <c r="C191" s="9"/>
      <c r="D191" s="9"/>
      <c r="E191" s="9"/>
      <c r="F191" s="9"/>
      <c r="H191" s="10" t="str">
        <f t="shared" si="14"/>
        <v/>
      </c>
      <c r="I191" s="10" t="str">
        <f t="shared" si="15"/>
        <v/>
      </c>
      <c r="J191" s="10" t="str">
        <f t="shared" si="16"/>
        <v/>
      </c>
      <c r="K191" s="10" t="str">
        <f t="shared" si="17"/>
        <v/>
      </c>
      <c r="L191" s="10" t="str">
        <f t="shared" si="18"/>
        <v/>
      </c>
      <c r="N191" s="8" t="b">
        <f t="shared" si="13"/>
        <v>1</v>
      </c>
      <c r="Q191" s="103"/>
      <c r="R191" s="103"/>
      <c r="S191" s="103"/>
      <c r="T191" s="103"/>
      <c r="U191" s="103"/>
      <c r="V191" s="103"/>
    </row>
    <row r="192" spans="2:22" ht="13.5" thickBot="1" x14ac:dyDescent="0.25">
      <c r="B192" s="9"/>
      <c r="C192" s="9"/>
      <c r="D192" s="9"/>
      <c r="E192" s="9"/>
      <c r="F192" s="9"/>
      <c r="H192" s="10" t="str">
        <f t="shared" si="14"/>
        <v/>
      </c>
      <c r="I192" s="10" t="str">
        <f t="shared" si="15"/>
        <v/>
      </c>
      <c r="J192" s="10" t="str">
        <f t="shared" si="16"/>
        <v/>
      </c>
      <c r="K192" s="10" t="str">
        <f t="shared" si="17"/>
        <v/>
      </c>
      <c r="L192" s="10" t="str">
        <f t="shared" si="18"/>
        <v/>
      </c>
      <c r="N192" s="8" t="b">
        <f t="shared" si="13"/>
        <v>1</v>
      </c>
      <c r="Q192" s="103"/>
      <c r="R192" s="103"/>
      <c r="S192" s="103"/>
      <c r="T192" s="103"/>
      <c r="U192" s="103"/>
      <c r="V192" s="103"/>
    </row>
    <row r="193" spans="2:22" ht="13.5" thickBot="1" x14ac:dyDescent="0.25">
      <c r="B193" s="9"/>
      <c r="C193" s="9"/>
      <c r="D193" s="9"/>
      <c r="E193" s="9"/>
      <c r="F193" s="9"/>
      <c r="H193" s="10" t="str">
        <f t="shared" si="14"/>
        <v/>
      </c>
      <c r="I193" s="10" t="str">
        <f t="shared" si="15"/>
        <v/>
      </c>
      <c r="J193" s="10" t="str">
        <f t="shared" si="16"/>
        <v/>
      </c>
      <c r="K193" s="10" t="str">
        <f t="shared" si="17"/>
        <v/>
      </c>
      <c r="L193" s="10" t="str">
        <f t="shared" si="18"/>
        <v/>
      </c>
      <c r="N193" s="8" t="b">
        <f t="shared" si="13"/>
        <v>1</v>
      </c>
      <c r="Q193" s="103"/>
      <c r="R193" s="103"/>
      <c r="S193" s="103"/>
      <c r="T193" s="103"/>
      <c r="U193" s="103"/>
      <c r="V193" s="103"/>
    </row>
    <row r="194" spans="2:22" ht="13.5" thickBot="1" x14ac:dyDescent="0.25">
      <c r="B194" s="9"/>
      <c r="C194" s="9"/>
      <c r="D194" s="9"/>
      <c r="E194" s="9"/>
      <c r="F194" s="9"/>
      <c r="H194" s="10" t="str">
        <f t="shared" si="14"/>
        <v/>
      </c>
      <c r="I194" s="10" t="str">
        <f t="shared" si="15"/>
        <v/>
      </c>
      <c r="J194" s="10" t="str">
        <f t="shared" si="16"/>
        <v/>
      </c>
      <c r="K194" s="10" t="str">
        <f t="shared" si="17"/>
        <v/>
      </c>
      <c r="L194" s="10" t="str">
        <f t="shared" si="18"/>
        <v/>
      </c>
      <c r="N194" s="8" t="b">
        <f t="shared" si="13"/>
        <v>1</v>
      </c>
      <c r="Q194" s="103"/>
      <c r="R194" s="103"/>
      <c r="S194" s="103"/>
      <c r="T194" s="103"/>
      <c r="U194" s="103"/>
      <c r="V194" s="103"/>
    </row>
    <row r="195" spans="2:22" ht="13.5" thickBot="1" x14ac:dyDescent="0.25">
      <c r="B195" s="9"/>
      <c r="C195" s="9"/>
      <c r="D195" s="9"/>
      <c r="E195" s="9"/>
      <c r="F195" s="9"/>
      <c r="H195" s="10" t="str">
        <f t="shared" si="14"/>
        <v/>
      </c>
      <c r="I195" s="10" t="str">
        <f t="shared" si="15"/>
        <v/>
      </c>
      <c r="J195" s="10" t="str">
        <f t="shared" si="16"/>
        <v/>
      </c>
      <c r="K195" s="10" t="str">
        <f t="shared" si="17"/>
        <v/>
      </c>
      <c r="L195" s="10" t="str">
        <f t="shared" si="18"/>
        <v/>
      </c>
      <c r="N195" s="8" t="b">
        <f t="shared" si="13"/>
        <v>1</v>
      </c>
      <c r="Q195" s="103"/>
      <c r="R195" s="103"/>
      <c r="S195" s="103"/>
      <c r="T195" s="103"/>
      <c r="U195" s="103"/>
      <c r="V195" s="103"/>
    </row>
    <row r="196" spans="2:22" ht="13.5" thickBot="1" x14ac:dyDescent="0.25">
      <c r="B196" s="9"/>
      <c r="C196" s="9"/>
      <c r="D196" s="9"/>
      <c r="E196" s="9"/>
      <c r="F196" s="9"/>
      <c r="H196" s="10" t="str">
        <f t="shared" si="14"/>
        <v/>
      </c>
      <c r="I196" s="10" t="str">
        <f t="shared" si="15"/>
        <v/>
      </c>
      <c r="J196" s="10" t="str">
        <f t="shared" si="16"/>
        <v/>
      </c>
      <c r="K196" s="10" t="str">
        <f t="shared" si="17"/>
        <v/>
      </c>
      <c r="L196" s="10" t="str">
        <f t="shared" si="18"/>
        <v/>
      </c>
      <c r="N196" s="8" t="b">
        <f t="shared" si="13"/>
        <v>1</v>
      </c>
      <c r="Q196" s="103"/>
      <c r="R196" s="103"/>
      <c r="S196" s="103"/>
      <c r="T196" s="103"/>
      <c r="U196" s="103"/>
      <c r="V196" s="103"/>
    </row>
    <row r="197" spans="2:22" ht="13.5" thickBot="1" x14ac:dyDescent="0.25">
      <c r="B197" s="9"/>
      <c r="C197" s="9"/>
      <c r="D197" s="9"/>
      <c r="E197" s="9"/>
      <c r="F197" s="9"/>
      <c r="H197" s="10" t="str">
        <f t="shared" si="14"/>
        <v/>
      </c>
      <c r="I197" s="10" t="str">
        <f t="shared" si="15"/>
        <v/>
      </c>
      <c r="J197" s="10" t="str">
        <f t="shared" si="16"/>
        <v/>
      </c>
      <c r="K197" s="10" t="str">
        <f t="shared" si="17"/>
        <v/>
      </c>
      <c r="L197" s="10" t="str">
        <f t="shared" si="18"/>
        <v/>
      </c>
      <c r="N197" s="8" t="b">
        <f t="shared" si="13"/>
        <v>1</v>
      </c>
      <c r="Q197" s="103"/>
      <c r="R197" s="103"/>
      <c r="S197" s="103"/>
      <c r="T197" s="103"/>
      <c r="U197" s="103"/>
      <c r="V197" s="103"/>
    </row>
    <row r="198" spans="2:22" ht="13.5" thickBot="1" x14ac:dyDescent="0.25">
      <c r="B198" s="9"/>
      <c r="C198" s="9"/>
      <c r="D198" s="9"/>
      <c r="E198" s="9"/>
      <c r="F198" s="9"/>
      <c r="H198" s="10" t="str">
        <f t="shared" si="14"/>
        <v/>
      </c>
      <c r="I198" s="10" t="str">
        <f t="shared" si="15"/>
        <v/>
      </c>
      <c r="J198" s="10" t="str">
        <f t="shared" si="16"/>
        <v/>
      </c>
      <c r="K198" s="10" t="str">
        <f t="shared" si="17"/>
        <v/>
      </c>
      <c r="L198" s="10" t="str">
        <f t="shared" si="18"/>
        <v/>
      </c>
      <c r="N198" s="8" t="b">
        <f t="shared" si="13"/>
        <v>1</v>
      </c>
      <c r="Q198" s="103"/>
      <c r="R198" s="103"/>
      <c r="S198" s="103"/>
      <c r="T198" s="103"/>
      <c r="U198" s="103"/>
      <c r="V198" s="103"/>
    </row>
    <row r="199" spans="2:22" ht="13.5" thickBot="1" x14ac:dyDescent="0.25">
      <c r="B199" s="9"/>
      <c r="C199" s="9"/>
      <c r="D199" s="9"/>
      <c r="E199" s="9"/>
      <c r="F199" s="9"/>
      <c r="H199" s="10" t="str">
        <f t="shared" si="14"/>
        <v/>
      </c>
      <c r="I199" s="10" t="str">
        <f t="shared" si="15"/>
        <v/>
      </c>
      <c r="J199" s="10" t="str">
        <f t="shared" si="16"/>
        <v/>
      </c>
      <c r="K199" s="10" t="str">
        <f t="shared" si="17"/>
        <v/>
      </c>
      <c r="L199" s="10" t="str">
        <f t="shared" si="18"/>
        <v/>
      </c>
      <c r="N199" s="8" t="b">
        <f t="shared" si="13"/>
        <v>1</v>
      </c>
      <c r="Q199" s="103"/>
      <c r="R199" s="103"/>
      <c r="S199" s="103"/>
      <c r="T199" s="103"/>
      <c r="U199" s="103"/>
      <c r="V199" s="103"/>
    </row>
    <row r="200" spans="2:22" ht="13.5" thickBot="1" x14ac:dyDescent="0.25">
      <c r="B200" s="9"/>
      <c r="C200" s="9"/>
      <c r="D200" s="9"/>
      <c r="E200" s="9"/>
      <c r="F200" s="9"/>
      <c r="H200" s="10" t="str">
        <f t="shared" si="14"/>
        <v/>
      </c>
      <c r="I200" s="10" t="str">
        <f t="shared" si="15"/>
        <v/>
      </c>
      <c r="J200" s="10" t="str">
        <f t="shared" si="16"/>
        <v/>
      </c>
      <c r="K200" s="10" t="str">
        <f t="shared" si="17"/>
        <v/>
      </c>
      <c r="L200" s="10" t="str">
        <f t="shared" si="18"/>
        <v/>
      </c>
      <c r="N200" s="8" t="b">
        <f t="shared" ref="N200:N263" si="19">IF($B200=$H200,IF($C200=$I200,IF($D200=$J200,IF($E200=$K200,IF($F200=$L200,TRUE,FALSE),FALSE),FALSE),FALSE),FALSE)</f>
        <v>1</v>
      </c>
      <c r="Q200" s="103"/>
      <c r="R200" s="103"/>
      <c r="S200" s="103"/>
      <c r="T200" s="103"/>
      <c r="U200" s="103"/>
      <c r="V200" s="103"/>
    </row>
    <row r="201" spans="2:22" ht="13.5" thickBot="1" x14ac:dyDescent="0.25">
      <c r="B201" s="9"/>
      <c r="C201" s="9"/>
      <c r="D201" s="9"/>
      <c r="E201" s="9"/>
      <c r="F201" s="9"/>
      <c r="H201" s="10" t="str">
        <f t="shared" ref="H201:H264" si="20">IF(Q201="", "", LOOKUP(Q201,$W$8:$W$40,$X$8:$X$40))</f>
        <v/>
      </c>
      <c r="I201" s="10" t="str">
        <f t="shared" ref="I201:I264" si="21">IF(R201="", "", LOOKUP(R201,$W$8:$W$40,$X$8:$X$40))</f>
        <v/>
      </c>
      <c r="J201" s="10" t="str">
        <f t="shared" ref="J201:J264" si="22">IF(S201="", "", LOOKUP(S201,$W$8:$W$40,$X$8:$X$40))</f>
        <v/>
      </c>
      <c r="K201" s="10" t="str">
        <f t="shared" ref="K201:K264" si="23">IF(T201="", "", LOOKUP(T201,$W$8:$W$40,$X$8:$X$40))</f>
        <v/>
      </c>
      <c r="L201" s="10" t="str">
        <f t="shared" ref="L201:L264" si="24">IF(U201="", "", LOOKUP(U201,$W$8:$W$40,$X$8:$X$40))</f>
        <v/>
      </c>
      <c r="N201" s="8" t="b">
        <f t="shared" si="19"/>
        <v>1</v>
      </c>
      <c r="Q201" s="103"/>
      <c r="R201" s="103"/>
      <c r="S201" s="103"/>
      <c r="T201" s="103"/>
      <c r="U201" s="103"/>
      <c r="V201" s="103"/>
    </row>
    <row r="202" spans="2:22" ht="13.5" thickBot="1" x14ac:dyDescent="0.25">
      <c r="B202" s="9"/>
      <c r="C202" s="9"/>
      <c r="D202" s="9"/>
      <c r="E202" s="9"/>
      <c r="F202" s="9"/>
      <c r="H202" s="10" t="str">
        <f t="shared" si="20"/>
        <v/>
      </c>
      <c r="I202" s="10" t="str">
        <f t="shared" si="21"/>
        <v/>
      </c>
      <c r="J202" s="10" t="str">
        <f t="shared" si="22"/>
        <v/>
      </c>
      <c r="K202" s="10" t="str">
        <f t="shared" si="23"/>
        <v/>
      </c>
      <c r="L202" s="10" t="str">
        <f t="shared" si="24"/>
        <v/>
      </c>
      <c r="N202" s="8" t="b">
        <f t="shared" si="19"/>
        <v>1</v>
      </c>
      <c r="Q202" s="103"/>
      <c r="R202" s="103"/>
      <c r="S202" s="103"/>
      <c r="T202" s="103"/>
      <c r="U202" s="103"/>
      <c r="V202" s="103"/>
    </row>
    <row r="203" spans="2:22" ht="13.5" thickBot="1" x14ac:dyDescent="0.25">
      <c r="B203" s="9"/>
      <c r="C203" s="9"/>
      <c r="D203" s="9"/>
      <c r="E203" s="9"/>
      <c r="F203" s="9"/>
      <c r="H203" s="10" t="str">
        <f t="shared" si="20"/>
        <v/>
      </c>
      <c r="I203" s="10" t="str">
        <f t="shared" si="21"/>
        <v/>
      </c>
      <c r="J203" s="10" t="str">
        <f t="shared" si="22"/>
        <v/>
      </c>
      <c r="K203" s="10" t="str">
        <f t="shared" si="23"/>
        <v/>
      </c>
      <c r="L203" s="10" t="str">
        <f t="shared" si="24"/>
        <v/>
      </c>
      <c r="N203" s="8" t="b">
        <f t="shared" si="19"/>
        <v>1</v>
      </c>
      <c r="Q203" s="103"/>
      <c r="R203" s="103"/>
      <c r="S203" s="103"/>
      <c r="T203" s="103"/>
      <c r="U203" s="103"/>
      <c r="V203" s="103"/>
    </row>
    <row r="204" spans="2:22" ht="13.5" thickBot="1" x14ac:dyDescent="0.25">
      <c r="B204" s="9"/>
      <c r="C204" s="9"/>
      <c r="D204" s="9"/>
      <c r="E204" s="9"/>
      <c r="F204" s="9"/>
      <c r="H204" s="10" t="str">
        <f t="shared" si="20"/>
        <v/>
      </c>
      <c r="I204" s="10" t="str">
        <f t="shared" si="21"/>
        <v/>
      </c>
      <c r="J204" s="10" t="str">
        <f t="shared" si="22"/>
        <v/>
      </c>
      <c r="K204" s="10" t="str">
        <f t="shared" si="23"/>
        <v/>
      </c>
      <c r="L204" s="10" t="str">
        <f t="shared" si="24"/>
        <v/>
      </c>
      <c r="N204" s="8" t="b">
        <f t="shared" si="19"/>
        <v>1</v>
      </c>
      <c r="Q204" s="103"/>
      <c r="R204" s="103"/>
      <c r="S204" s="103"/>
      <c r="T204" s="103"/>
      <c r="U204" s="103"/>
      <c r="V204" s="103"/>
    </row>
    <row r="205" spans="2:22" ht="13.5" thickBot="1" x14ac:dyDescent="0.25">
      <c r="B205" s="9"/>
      <c r="C205" s="9"/>
      <c r="D205" s="9"/>
      <c r="E205" s="9"/>
      <c r="F205" s="9"/>
      <c r="H205" s="10" t="str">
        <f t="shared" si="20"/>
        <v/>
      </c>
      <c r="I205" s="10" t="str">
        <f t="shared" si="21"/>
        <v/>
      </c>
      <c r="J205" s="10" t="str">
        <f t="shared" si="22"/>
        <v/>
      </c>
      <c r="K205" s="10" t="str">
        <f t="shared" si="23"/>
        <v/>
      </c>
      <c r="L205" s="10" t="str">
        <f t="shared" si="24"/>
        <v/>
      </c>
      <c r="N205" s="8" t="b">
        <f t="shared" si="19"/>
        <v>1</v>
      </c>
      <c r="Q205" s="103"/>
      <c r="R205" s="103"/>
      <c r="S205" s="103"/>
      <c r="T205" s="103"/>
      <c r="U205" s="103"/>
      <c r="V205" s="103"/>
    </row>
    <row r="206" spans="2:22" ht="13.5" thickBot="1" x14ac:dyDescent="0.25">
      <c r="B206" s="9"/>
      <c r="C206" s="9"/>
      <c r="D206" s="9"/>
      <c r="E206" s="9"/>
      <c r="F206" s="9"/>
      <c r="H206" s="10" t="str">
        <f t="shared" si="20"/>
        <v/>
      </c>
      <c r="I206" s="10" t="str">
        <f t="shared" si="21"/>
        <v/>
      </c>
      <c r="J206" s="10" t="str">
        <f t="shared" si="22"/>
        <v/>
      </c>
      <c r="K206" s="10" t="str">
        <f t="shared" si="23"/>
        <v/>
      </c>
      <c r="L206" s="10" t="str">
        <f t="shared" si="24"/>
        <v/>
      </c>
      <c r="N206" s="8" t="b">
        <f t="shared" si="19"/>
        <v>1</v>
      </c>
      <c r="Q206" s="103"/>
      <c r="R206" s="103"/>
      <c r="S206" s="103"/>
      <c r="T206" s="103"/>
      <c r="U206" s="103"/>
      <c r="V206" s="103"/>
    </row>
    <row r="207" spans="2:22" ht="13.5" thickBot="1" x14ac:dyDescent="0.25">
      <c r="B207" s="9"/>
      <c r="C207" s="9"/>
      <c r="D207" s="9"/>
      <c r="E207" s="9"/>
      <c r="F207" s="9"/>
      <c r="H207" s="10" t="str">
        <f t="shared" si="20"/>
        <v/>
      </c>
      <c r="I207" s="10" t="str">
        <f t="shared" si="21"/>
        <v/>
      </c>
      <c r="J207" s="10" t="str">
        <f t="shared" si="22"/>
        <v/>
      </c>
      <c r="K207" s="10" t="str">
        <f t="shared" si="23"/>
        <v/>
      </c>
      <c r="L207" s="10" t="str">
        <f t="shared" si="24"/>
        <v/>
      </c>
      <c r="N207" s="8" t="b">
        <f t="shared" si="19"/>
        <v>1</v>
      </c>
      <c r="Q207" s="103"/>
      <c r="R207" s="103"/>
      <c r="S207" s="103"/>
      <c r="T207" s="103"/>
      <c r="U207" s="103"/>
      <c r="V207" s="103"/>
    </row>
    <row r="208" spans="2:22" ht="13.5" thickBot="1" x14ac:dyDescent="0.25">
      <c r="B208" s="9"/>
      <c r="C208" s="9"/>
      <c r="D208" s="9"/>
      <c r="E208" s="9"/>
      <c r="F208" s="9"/>
      <c r="H208" s="10" t="str">
        <f t="shared" si="20"/>
        <v/>
      </c>
      <c r="I208" s="10" t="str">
        <f t="shared" si="21"/>
        <v/>
      </c>
      <c r="J208" s="10" t="str">
        <f t="shared" si="22"/>
        <v/>
      </c>
      <c r="K208" s="10" t="str">
        <f t="shared" si="23"/>
        <v/>
      </c>
      <c r="L208" s="10" t="str">
        <f t="shared" si="24"/>
        <v/>
      </c>
      <c r="N208" s="8" t="b">
        <f t="shared" si="19"/>
        <v>1</v>
      </c>
      <c r="Q208" s="103"/>
      <c r="R208" s="103"/>
      <c r="S208" s="103"/>
      <c r="T208" s="103"/>
      <c r="U208" s="103"/>
      <c r="V208" s="103"/>
    </row>
    <row r="209" spans="2:22" ht="13.5" thickBot="1" x14ac:dyDescent="0.25">
      <c r="B209" s="9"/>
      <c r="C209" s="9"/>
      <c r="D209" s="9"/>
      <c r="E209" s="9"/>
      <c r="F209" s="9"/>
      <c r="H209" s="10" t="str">
        <f t="shared" si="20"/>
        <v/>
      </c>
      <c r="I209" s="10" t="str">
        <f t="shared" si="21"/>
        <v/>
      </c>
      <c r="J209" s="10" t="str">
        <f t="shared" si="22"/>
        <v/>
      </c>
      <c r="K209" s="10" t="str">
        <f t="shared" si="23"/>
        <v/>
      </c>
      <c r="L209" s="10" t="str">
        <f t="shared" si="24"/>
        <v/>
      </c>
      <c r="N209" s="8" t="b">
        <f t="shared" si="19"/>
        <v>1</v>
      </c>
      <c r="Q209" s="103"/>
      <c r="R209" s="103"/>
      <c r="S209" s="103"/>
      <c r="T209" s="103"/>
      <c r="U209" s="103"/>
      <c r="V209" s="103"/>
    </row>
    <row r="210" spans="2:22" ht="13.5" thickBot="1" x14ac:dyDescent="0.25">
      <c r="B210" s="9"/>
      <c r="C210" s="9"/>
      <c r="D210" s="9"/>
      <c r="E210" s="9"/>
      <c r="F210" s="9"/>
      <c r="H210" s="10" t="str">
        <f t="shared" si="20"/>
        <v/>
      </c>
      <c r="I210" s="10" t="str">
        <f t="shared" si="21"/>
        <v/>
      </c>
      <c r="J210" s="10" t="str">
        <f t="shared" si="22"/>
        <v/>
      </c>
      <c r="K210" s="10" t="str">
        <f t="shared" si="23"/>
        <v/>
      </c>
      <c r="L210" s="10" t="str">
        <f t="shared" si="24"/>
        <v/>
      </c>
      <c r="N210" s="8" t="b">
        <f t="shared" si="19"/>
        <v>1</v>
      </c>
      <c r="Q210" s="103"/>
      <c r="R210" s="103"/>
      <c r="S210" s="103"/>
      <c r="T210" s="103"/>
      <c r="U210" s="103"/>
      <c r="V210" s="103"/>
    </row>
    <row r="211" spans="2:22" ht="13.5" thickBot="1" x14ac:dyDescent="0.25">
      <c r="B211" s="9"/>
      <c r="C211" s="9"/>
      <c r="D211" s="9"/>
      <c r="E211" s="9"/>
      <c r="F211" s="9"/>
      <c r="H211" s="10" t="str">
        <f t="shared" si="20"/>
        <v/>
      </c>
      <c r="I211" s="10" t="str">
        <f t="shared" si="21"/>
        <v/>
      </c>
      <c r="J211" s="10" t="str">
        <f t="shared" si="22"/>
        <v/>
      </c>
      <c r="K211" s="10" t="str">
        <f t="shared" si="23"/>
        <v/>
      </c>
      <c r="L211" s="10" t="str">
        <f t="shared" si="24"/>
        <v/>
      </c>
      <c r="N211" s="8" t="b">
        <f t="shared" si="19"/>
        <v>1</v>
      </c>
      <c r="Q211" s="103"/>
      <c r="R211" s="103"/>
      <c r="S211" s="103"/>
      <c r="T211" s="103"/>
      <c r="U211" s="103"/>
      <c r="V211" s="103"/>
    </row>
    <row r="212" spans="2:22" ht="13.5" thickBot="1" x14ac:dyDescent="0.25">
      <c r="B212" s="9"/>
      <c r="C212" s="9"/>
      <c r="D212" s="9"/>
      <c r="E212" s="9"/>
      <c r="F212" s="9"/>
      <c r="H212" s="10" t="str">
        <f t="shared" si="20"/>
        <v/>
      </c>
      <c r="I212" s="10" t="str">
        <f t="shared" si="21"/>
        <v/>
      </c>
      <c r="J212" s="10" t="str">
        <f t="shared" si="22"/>
        <v/>
      </c>
      <c r="K212" s="10" t="str">
        <f t="shared" si="23"/>
        <v/>
      </c>
      <c r="L212" s="10" t="str">
        <f t="shared" si="24"/>
        <v/>
      </c>
      <c r="N212" s="8" t="b">
        <f t="shared" si="19"/>
        <v>1</v>
      </c>
      <c r="Q212" s="103"/>
      <c r="R212" s="103"/>
      <c r="S212" s="103"/>
      <c r="T212" s="103"/>
      <c r="U212" s="103"/>
      <c r="V212" s="103"/>
    </row>
    <row r="213" spans="2:22" ht="13.5" thickBot="1" x14ac:dyDescent="0.25">
      <c r="B213" s="9"/>
      <c r="C213" s="9"/>
      <c r="D213" s="9"/>
      <c r="E213" s="9"/>
      <c r="F213" s="9"/>
      <c r="H213" s="10" t="str">
        <f t="shared" si="20"/>
        <v/>
      </c>
      <c r="I213" s="10" t="str">
        <f t="shared" si="21"/>
        <v/>
      </c>
      <c r="J213" s="10" t="str">
        <f t="shared" si="22"/>
        <v/>
      </c>
      <c r="K213" s="10" t="str">
        <f t="shared" si="23"/>
        <v/>
      </c>
      <c r="L213" s="10" t="str">
        <f t="shared" si="24"/>
        <v/>
      </c>
      <c r="N213" s="8" t="b">
        <f t="shared" si="19"/>
        <v>1</v>
      </c>
      <c r="Q213" s="103"/>
      <c r="R213" s="103"/>
      <c r="S213" s="103"/>
      <c r="T213" s="103"/>
      <c r="U213" s="103"/>
      <c r="V213" s="103"/>
    </row>
    <row r="214" spans="2:22" ht="13.5" thickBot="1" x14ac:dyDescent="0.25">
      <c r="B214" s="9"/>
      <c r="C214" s="9"/>
      <c r="D214" s="9"/>
      <c r="E214" s="9"/>
      <c r="F214" s="9"/>
      <c r="H214" s="10" t="str">
        <f t="shared" si="20"/>
        <v/>
      </c>
      <c r="I214" s="10" t="str">
        <f t="shared" si="21"/>
        <v/>
      </c>
      <c r="J214" s="10" t="str">
        <f t="shared" si="22"/>
        <v/>
      </c>
      <c r="K214" s="10" t="str">
        <f t="shared" si="23"/>
        <v/>
      </c>
      <c r="L214" s="10" t="str">
        <f t="shared" si="24"/>
        <v/>
      </c>
      <c r="N214" s="8" t="b">
        <f t="shared" si="19"/>
        <v>1</v>
      </c>
      <c r="Q214" s="103"/>
      <c r="R214" s="103"/>
      <c r="S214" s="103"/>
      <c r="T214" s="103"/>
      <c r="U214" s="103"/>
      <c r="V214" s="103"/>
    </row>
    <row r="215" spans="2:22" ht="13.5" thickBot="1" x14ac:dyDescent="0.25">
      <c r="B215" s="9"/>
      <c r="C215" s="9"/>
      <c r="D215" s="9"/>
      <c r="E215" s="9"/>
      <c r="F215" s="9"/>
      <c r="H215" s="10" t="str">
        <f t="shared" si="20"/>
        <v/>
      </c>
      <c r="I215" s="10" t="str">
        <f t="shared" si="21"/>
        <v/>
      </c>
      <c r="J215" s="10" t="str">
        <f t="shared" si="22"/>
        <v/>
      </c>
      <c r="K215" s="10" t="str">
        <f t="shared" si="23"/>
        <v/>
      </c>
      <c r="L215" s="10" t="str">
        <f t="shared" si="24"/>
        <v/>
      </c>
      <c r="N215" s="8" t="b">
        <f t="shared" si="19"/>
        <v>1</v>
      </c>
      <c r="Q215" s="103"/>
      <c r="R215" s="103"/>
      <c r="S215" s="103"/>
      <c r="T215" s="103"/>
      <c r="U215" s="103"/>
      <c r="V215" s="103"/>
    </row>
    <row r="216" spans="2:22" ht="13.5" thickBot="1" x14ac:dyDescent="0.25">
      <c r="B216" s="9"/>
      <c r="C216" s="9"/>
      <c r="D216" s="9"/>
      <c r="E216" s="9"/>
      <c r="F216" s="9"/>
      <c r="H216" s="10" t="str">
        <f t="shared" si="20"/>
        <v/>
      </c>
      <c r="I216" s="10" t="str">
        <f t="shared" si="21"/>
        <v/>
      </c>
      <c r="J216" s="10" t="str">
        <f t="shared" si="22"/>
        <v/>
      </c>
      <c r="K216" s="10" t="str">
        <f t="shared" si="23"/>
        <v/>
      </c>
      <c r="L216" s="10" t="str">
        <f t="shared" si="24"/>
        <v/>
      </c>
      <c r="N216" s="8" t="b">
        <f t="shared" si="19"/>
        <v>1</v>
      </c>
      <c r="Q216" s="103"/>
      <c r="R216" s="103"/>
      <c r="S216" s="103"/>
      <c r="T216" s="103"/>
      <c r="U216" s="103"/>
      <c r="V216" s="103"/>
    </row>
    <row r="217" spans="2:22" ht="13.5" thickBot="1" x14ac:dyDescent="0.25">
      <c r="B217" s="9"/>
      <c r="C217" s="9"/>
      <c r="D217" s="9"/>
      <c r="E217" s="9"/>
      <c r="F217" s="9"/>
      <c r="H217" s="10" t="str">
        <f t="shared" si="20"/>
        <v/>
      </c>
      <c r="I217" s="10" t="str">
        <f t="shared" si="21"/>
        <v/>
      </c>
      <c r="J217" s="10" t="str">
        <f t="shared" si="22"/>
        <v/>
      </c>
      <c r="K217" s="10" t="str">
        <f t="shared" si="23"/>
        <v/>
      </c>
      <c r="L217" s="10" t="str">
        <f t="shared" si="24"/>
        <v/>
      </c>
      <c r="N217" s="8" t="b">
        <f t="shared" si="19"/>
        <v>1</v>
      </c>
      <c r="Q217" s="103"/>
      <c r="R217" s="103"/>
      <c r="S217" s="103"/>
      <c r="T217" s="103"/>
      <c r="U217" s="103"/>
      <c r="V217" s="103"/>
    </row>
    <row r="218" spans="2:22" ht="13.5" thickBot="1" x14ac:dyDescent="0.25">
      <c r="B218" s="9"/>
      <c r="C218" s="9"/>
      <c r="D218" s="9"/>
      <c r="E218" s="9"/>
      <c r="F218" s="9"/>
      <c r="H218" s="10" t="str">
        <f t="shared" si="20"/>
        <v/>
      </c>
      <c r="I218" s="10" t="str">
        <f t="shared" si="21"/>
        <v/>
      </c>
      <c r="J218" s="10" t="str">
        <f t="shared" si="22"/>
        <v/>
      </c>
      <c r="K218" s="10" t="str">
        <f t="shared" si="23"/>
        <v/>
      </c>
      <c r="L218" s="10" t="str">
        <f t="shared" si="24"/>
        <v/>
      </c>
      <c r="N218" s="8" t="b">
        <f t="shared" si="19"/>
        <v>1</v>
      </c>
      <c r="Q218" s="103"/>
      <c r="R218" s="103"/>
      <c r="S218" s="103"/>
      <c r="T218" s="103"/>
      <c r="U218" s="103"/>
      <c r="V218" s="103"/>
    </row>
    <row r="219" spans="2:22" ht="13.5" thickBot="1" x14ac:dyDescent="0.25">
      <c r="B219" s="9"/>
      <c r="C219" s="9"/>
      <c r="D219" s="9"/>
      <c r="E219" s="9"/>
      <c r="F219" s="9"/>
      <c r="H219" s="10" t="str">
        <f t="shared" si="20"/>
        <v/>
      </c>
      <c r="I219" s="10" t="str">
        <f t="shared" si="21"/>
        <v/>
      </c>
      <c r="J219" s="10" t="str">
        <f t="shared" si="22"/>
        <v/>
      </c>
      <c r="K219" s="10" t="str">
        <f t="shared" si="23"/>
        <v/>
      </c>
      <c r="L219" s="10" t="str">
        <f t="shared" si="24"/>
        <v/>
      </c>
      <c r="N219" s="8" t="b">
        <f t="shared" si="19"/>
        <v>1</v>
      </c>
      <c r="Q219" s="103"/>
      <c r="R219" s="103"/>
      <c r="S219" s="103"/>
      <c r="T219" s="103"/>
      <c r="U219" s="103"/>
      <c r="V219" s="103"/>
    </row>
    <row r="220" spans="2:22" ht="13.5" thickBot="1" x14ac:dyDescent="0.25">
      <c r="B220" s="9"/>
      <c r="C220" s="9"/>
      <c r="D220" s="9"/>
      <c r="E220" s="9"/>
      <c r="F220" s="9"/>
      <c r="H220" s="10" t="str">
        <f t="shared" si="20"/>
        <v/>
      </c>
      <c r="I220" s="10" t="str">
        <f t="shared" si="21"/>
        <v/>
      </c>
      <c r="J220" s="10" t="str">
        <f t="shared" si="22"/>
        <v/>
      </c>
      <c r="K220" s="10" t="str">
        <f t="shared" si="23"/>
        <v/>
      </c>
      <c r="L220" s="10" t="str">
        <f t="shared" si="24"/>
        <v/>
      </c>
      <c r="N220" s="8" t="b">
        <f t="shared" si="19"/>
        <v>1</v>
      </c>
      <c r="Q220" s="103"/>
      <c r="R220" s="103"/>
      <c r="S220" s="103"/>
      <c r="T220" s="103"/>
      <c r="U220" s="103"/>
      <c r="V220" s="103"/>
    </row>
    <row r="221" spans="2:22" ht="13.5" thickBot="1" x14ac:dyDescent="0.25">
      <c r="B221" s="9"/>
      <c r="C221" s="9"/>
      <c r="D221" s="9"/>
      <c r="E221" s="9"/>
      <c r="F221" s="9"/>
      <c r="H221" s="10" t="str">
        <f t="shared" si="20"/>
        <v/>
      </c>
      <c r="I221" s="10" t="str">
        <f t="shared" si="21"/>
        <v/>
      </c>
      <c r="J221" s="10" t="str">
        <f t="shared" si="22"/>
        <v/>
      </c>
      <c r="K221" s="10" t="str">
        <f t="shared" si="23"/>
        <v/>
      </c>
      <c r="L221" s="10" t="str">
        <f t="shared" si="24"/>
        <v/>
      </c>
      <c r="N221" s="8" t="b">
        <f t="shared" si="19"/>
        <v>1</v>
      </c>
      <c r="Q221" s="103"/>
      <c r="R221" s="103"/>
      <c r="S221" s="103"/>
      <c r="T221" s="103"/>
      <c r="U221" s="103"/>
    </row>
    <row r="222" spans="2:22" ht="13.5" thickBot="1" x14ac:dyDescent="0.25">
      <c r="B222" s="9"/>
      <c r="C222" s="9"/>
      <c r="D222" s="9"/>
      <c r="E222" s="9"/>
      <c r="F222" s="9"/>
      <c r="H222" s="10" t="str">
        <f t="shared" si="20"/>
        <v/>
      </c>
      <c r="I222" s="10" t="str">
        <f t="shared" si="21"/>
        <v/>
      </c>
      <c r="J222" s="10" t="str">
        <f t="shared" si="22"/>
        <v/>
      </c>
      <c r="K222" s="10" t="str">
        <f t="shared" si="23"/>
        <v/>
      </c>
      <c r="L222" s="10" t="str">
        <f t="shared" si="24"/>
        <v/>
      </c>
      <c r="N222" s="8" t="b">
        <f t="shared" si="19"/>
        <v>1</v>
      </c>
      <c r="Q222" s="103"/>
      <c r="R222" s="103"/>
      <c r="S222" s="103"/>
      <c r="T222" s="103"/>
      <c r="U222" s="103"/>
    </row>
    <row r="223" spans="2:22" ht="13.5" thickBot="1" x14ac:dyDescent="0.25">
      <c r="B223" s="9"/>
      <c r="C223" s="9"/>
      <c r="D223" s="9"/>
      <c r="E223" s="9"/>
      <c r="F223" s="9"/>
      <c r="H223" s="10" t="str">
        <f t="shared" si="20"/>
        <v/>
      </c>
      <c r="I223" s="10" t="str">
        <f t="shared" si="21"/>
        <v/>
      </c>
      <c r="J223" s="10" t="str">
        <f t="shared" si="22"/>
        <v/>
      </c>
      <c r="K223" s="10" t="str">
        <f t="shared" si="23"/>
        <v/>
      </c>
      <c r="L223" s="10" t="str">
        <f t="shared" si="24"/>
        <v/>
      </c>
      <c r="N223" s="8" t="b">
        <f t="shared" si="19"/>
        <v>1</v>
      </c>
      <c r="Q223" s="103"/>
      <c r="R223" s="103"/>
      <c r="S223" s="103"/>
      <c r="T223" s="103"/>
      <c r="U223" s="103"/>
    </row>
    <row r="224" spans="2:22" ht="13.5" thickBot="1" x14ac:dyDescent="0.25">
      <c r="B224" s="9"/>
      <c r="C224" s="9"/>
      <c r="D224" s="9"/>
      <c r="E224" s="9"/>
      <c r="F224" s="9"/>
      <c r="H224" s="10" t="str">
        <f t="shared" si="20"/>
        <v/>
      </c>
      <c r="I224" s="10" t="str">
        <f t="shared" si="21"/>
        <v/>
      </c>
      <c r="J224" s="10" t="str">
        <f t="shared" si="22"/>
        <v/>
      </c>
      <c r="K224" s="10" t="str">
        <f t="shared" si="23"/>
        <v/>
      </c>
      <c r="L224" s="10" t="str">
        <f t="shared" si="24"/>
        <v/>
      </c>
      <c r="N224" s="8" t="b">
        <f t="shared" si="19"/>
        <v>1</v>
      </c>
      <c r="Q224" s="103"/>
      <c r="R224" s="103"/>
      <c r="S224" s="103"/>
      <c r="T224" s="103"/>
      <c r="U224" s="103"/>
    </row>
    <row r="225" spans="2:21" ht="13.5" thickBot="1" x14ac:dyDescent="0.25">
      <c r="B225" s="9"/>
      <c r="C225" s="9"/>
      <c r="D225" s="9"/>
      <c r="E225" s="9"/>
      <c r="F225" s="9"/>
      <c r="H225" s="10" t="str">
        <f t="shared" si="20"/>
        <v/>
      </c>
      <c r="I225" s="10" t="str">
        <f t="shared" si="21"/>
        <v/>
      </c>
      <c r="J225" s="10" t="str">
        <f t="shared" si="22"/>
        <v/>
      </c>
      <c r="K225" s="10" t="str">
        <f t="shared" si="23"/>
        <v/>
      </c>
      <c r="L225" s="10" t="str">
        <f t="shared" si="24"/>
        <v/>
      </c>
      <c r="N225" s="8" t="b">
        <f t="shared" si="19"/>
        <v>1</v>
      </c>
      <c r="Q225" s="103"/>
      <c r="R225" s="103"/>
      <c r="S225" s="103"/>
      <c r="T225" s="103"/>
      <c r="U225" s="103"/>
    </row>
    <row r="226" spans="2:21" ht="13.5" thickBot="1" x14ac:dyDescent="0.25">
      <c r="B226" s="9"/>
      <c r="C226" s="9"/>
      <c r="D226" s="9"/>
      <c r="E226" s="9"/>
      <c r="F226" s="9"/>
      <c r="H226" s="10" t="str">
        <f t="shared" si="20"/>
        <v/>
      </c>
      <c r="I226" s="10" t="str">
        <f t="shared" si="21"/>
        <v/>
      </c>
      <c r="J226" s="10" t="str">
        <f t="shared" si="22"/>
        <v/>
      </c>
      <c r="K226" s="10" t="str">
        <f t="shared" si="23"/>
        <v/>
      </c>
      <c r="L226" s="10" t="str">
        <f t="shared" si="24"/>
        <v/>
      </c>
      <c r="N226" s="8" t="b">
        <f t="shared" si="19"/>
        <v>1</v>
      </c>
      <c r="Q226" s="103"/>
      <c r="R226" s="103"/>
      <c r="S226" s="103"/>
      <c r="T226" s="103"/>
      <c r="U226" s="103"/>
    </row>
    <row r="227" spans="2:21" ht="13.5" thickBot="1" x14ac:dyDescent="0.25">
      <c r="B227" s="9"/>
      <c r="C227" s="9"/>
      <c r="D227" s="9"/>
      <c r="E227" s="9"/>
      <c r="F227" s="9"/>
      <c r="H227" s="10" t="str">
        <f t="shared" si="20"/>
        <v/>
      </c>
      <c r="I227" s="10" t="str">
        <f t="shared" si="21"/>
        <v/>
      </c>
      <c r="J227" s="10" t="str">
        <f t="shared" si="22"/>
        <v/>
      </c>
      <c r="K227" s="10" t="str">
        <f t="shared" si="23"/>
        <v/>
      </c>
      <c r="L227" s="10" t="str">
        <f t="shared" si="24"/>
        <v/>
      </c>
      <c r="N227" s="8" t="b">
        <f t="shared" si="19"/>
        <v>1</v>
      </c>
      <c r="Q227" s="103"/>
      <c r="R227" s="103"/>
      <c r="S227" s="103"/>
      <c r="T227" s="103"/>
      <c r="U227" s="103"/>
    </row>
    <row r="228" spans="2:21" ht="13.5" thickBot="1" x14ac:dyDescent="0.25">
      <c r="B228" s="9"/>
      <c r="C228" s="9"/>
      <c r="D228" s="9"/>
      <c r="E228" s="9"/>
      <c r="F228" s="9"/>
      <c r="H228" s="10" t="str">
        <f t="shared" si="20"/>
        <v/>
      </c>
      <c r="I228" s="10" t="str">
        <f t="shared" si="21"/>
        <v/>
      </c>
      <c r="J228" s="10" t="str">
        <f t="shared" si="22"/>
        <v/>
      </c>
      <c r="K228" s="10" t="str">
        <f t="shared" si="23"/>
        <v/>
      </c>
      <c r="L228" s="10" t="str">
        <f t="shared" si="24"/>
        <v/>
      </c>
      <c r="N228" s="8" t="b">
        <f t="shared" si="19"/>
        <v>1</v>
      </c>
      <c r="Q228" s="103"/>
      <c r="R228" s="103"/>
      <c r="S228" s="103"/>
      <c r="T228" s="103"/>
      <c r="U228" s="103"/>
    </row>
    <row r="229" spans="2:21" ht="13.5" thickBot="1" x14ac:dyDescent="0.25">
      <c r="B229" s="9"/>
      <c r="C229" s="9"/>
      <c r="D229" s="9"/>
      <c r="E229" s="9"/>
      <c r="F229" s="9"/>
      <c r="H229" s="10" t="str">
        <f t="shared" si="20"/>
        <v/>
      </c>
      <c r="I229" s="10" t="str">
        <f t="shared" si="21"/>
        <v/>
      </c>
      <c r="J229" s="10" t="str">
        <f t="shared" si="22"/>
        <v/>
      </c>
      <c r="K229" s="10" t="str">
        <f t="shared" si="23"/>
        <v/>
      </c>
      <c r="L229" s="10" t="str">
        <f t="shared" si="24"/>
        <v/>
      </c>
      <c r="N229" s="8" t="b">
        <f t="shared" si="19"/>
        <v>1</v>
      </c>
      <c r="Q229" s="103"/>
      <c r="R229" s="103"/>
      <c r="S229" s="103"/>
      <c r="T229" s="103"/>
      <c r="U229" s="103"/>
    </row>
    <row r="230" spans="2:21" ht="13.5" thickBot="1" x14ac:dyDescent="0.25">
      <c r="B230" s="9"/>
      <c r="C230" s="9"/>
      <c r="D230" s="9"/>
      <c r="E230" s="9"/>
      <c r="F230" s="9"/>
      <c r="H230" s="10" t="str">
        <f t="shared" si="20"/>
        <v/>
      </c>
      <c r="I230" s="10" t="str">
        <f t="shared" si="21"/>
        <v/>
      </c>
      <c r="J230" s="10" t="str">
        <f t="shared" si="22"/>
        <v/>
      </c>
      <c r="K230" s="10" t="str">
        <f t="shared" si="23"/>
        <v/>
      </c>
      <c r="L230" s="10" t="str">
        <f t="shared" si="24"/>
        <v/>
      </c>
      <c r="N230" s="8" t="b">
        <f t="shared" si="19"/>
        <v>1</v>
      </c>
      <c r="Q230" s="103"/>
      <c r="R230" s="103"/>
      <c r="S230" s="103"/>
      <c r="T230" s="103"/>
      <c r="U230" s="103"/>
    </row>
    <row r="231" spans="2:21" ht="13.5" thickBot="1" x14ac:dyDescent="0.25">
      <c r="B231" s="9"/>
      <c r="C231" s="9"/>
      <c r="D231" s="9"/>
      <c r="E231" s="9"/>
      <c r="F231" s="9"/>
      <c r="H231" s="10" t="str">
        <f t="shared" si="20"/>
        <v/>
      </c>
      <c r="I231" s="10" t="str">
        <f t="shared" si="21"/>
        <v/>
      </c>
      <c r="J231" s="10" t="str">
        <f t="shared" si="22"/>
        <v/>
      </c>
      <c r="K231" s="10" t="str">
        <f t="shared" si="23"/>
        <v/>
      </c>
      <c r="L231" s="10" t="str">
        <f t="shared" si="24"/>
        <v/>
      </c>
      <c r="N231" s="8" t="b">
        <f t="shared" si="19"/>
        <v>1</v>
      </c>
      <c r="Q231" s="103"/>
      <c r="R231" s="103"/>
      <c r="S231" s="103"/>
      <c r="T231" s="103"/>
      <c r="U231" s="103"/>
    </row>
    <row r="232" spans="2:21" ht="13.5" thickBot="1" x14ac:dyDescent="0.25">
      <c r="B232" s="9"/>
      <c r="C232" s="9"/>
      <c r="D232" s="9"/>
      <c r="E232" s="9"/>
      <c r="F232" s="9"/>
      <c r="H232" s="10" t="str">
        <f t="shared" si="20"/>
        <v/>
      </c>
      <c r="I232" s="10" t="str">
        <f t="shared" si="21"/>
        <v/>
      </c>
      <c r="J232" s="10" t="str">
        <f t="shared" si="22"/>
        <v/>
      </c>
      <c r="K232" s="10" t="str">
        <f t="shared" si="23"/>
        <v/>
      </c>
      <c r="L232" s="10" t="str">
        <f t="shared" si="24"/>
        <v/>
      </c>
      <c r="N232" s="8" t="b">
        <f t="shared" si="19"/>
        <v>1</v>
      </c>
      <c r="Q232" s="103"/>
      <c r="R232" s="103"/>
      <c r="S232" s="103"/>
      <c r="T232" s="103"/>
      <c r="U232" s="103"/>
    </row>
    <row r="233" spans="2:21" ht="13.5" thickBot="1" x14ac:dyDescent="0.25">
      <c r="B233" s="9"/>
      <c r="C233" s="9"/>
      <c r="D233" s="9"/>
      <c r="E233" s="9"/>
      <c r="F233" s="9"/>
      <c r="H233" s="10" t="str">
        <f t="shared" si="20"/>
        <v/>
      </c>
      <c r="I233" s="10" t="str">
        <f t="shared" si="21"/>
        <v/>
      </c>
      <c r="J233" s="10" t="str">
        <f t="shared" si="22"/>
        <v/>
      </c>
      <c r="K233" s="10" t="str">
        <f t="shared" si="23"/>
        <v/>
      </c>
      <c r="L233" s="10" t="str">
        <f t="shared" si="24"/>
        <v/>
      </c>
      <c r="N233" s="8" t="b">
        <f t="shared" si="19"/>
        <v>1</v>
      </c>
      <c r="Q233" s="103"/>
      <c r="R233" s="103"/>
      <c r="S233" s="103"/>
      <c r="T233" s="103"/>
      <c r="U233" s="103"/>
    </row>
    <row r="234" spans="2:21" ht="13.5" thickBot="1" x14ac:dyDescent="0.25">
      <c r="B234" s="9"/>
      <c r="C234" s="9"/>
      <c r="D234" s="9"/>
      <c r="E234" s="9"/>
      <c r="F234" s="9"/>
      <c r="H234" s="10" t="str">
        <f t="shared" si="20"/>
        <v/>
      </c>
      <c r="I234" s="10" t="str">
        <f t="shared" si="21"/>
        <v/>
      </c>
      <c r="J234" s="10" t="str">
        <f t="shared" si="22"/>
        <v/>
      </c>
      <c r="K234" s="10" t="str">
        <f t="shared" si="23"/>
        <v/>
      </c>
      <c r="L234" s="10" t="str">
        <f t="shared" si="24"/>
        <v/>
      </c>
      <c r="N234" s="8" t="b">
        <f t="shared" si="19"/>
        <v>1</v>
      </c>
      <c r="Q234" s="103"/>
      <c r="R234" s="103"/>
      <c r="S234" s="103"/>
      <c r="T234" s="103"/>
      <c r="U234" s="103"/>
    </row>
    <row r="235" spans="2:21" ht="13.5" thickBot="1" x14ac:dyDescent="0.25">
      <c r="B235" s="9"/>
      <c r="C235" s="9"/>
      <c r="D235" s="9"/>
      <c r="E235" s="9"/>
      <c r="F235" s="9"/>
      <c r="H235" s="10" t="str">
        <f t="shared" si="20"/>
        <v/>
      </c>
      <c r="I235" s="10" t="str">
        <f t="shared" si="21"/>
        <v/>
      </c>
      <c r="J235" s="10" t="str">
        <f t="shared" si="22"/>
        <v/>
      </c>
      <c r="K235" s="10" t="str">
        <f t="shared" si="23"/>
        <v/>
      </c>
      <c r="L235" s="10" t="str">
        <f t="shared" si="24"/>
        <v/>
      </c>
      <c r="N235" s="8" t="b">
        <f t="shared" si="19"/>
        <v>1</v>
      </c>
      <c r="Q235" s="103"/>
      <c r="R235" s="103"/>
      <c r="S235" s="103"/>
      <c r="T235" s="103"/>
      <c r="U235" s="103"/>
    </row>
    <row r="236" spans="2:21" ht="13.5" thickBot="1" x14ac:dyDescent="0.25">
      <c r="B236" s="9"/>
      <c r="C236" s="9"/>
      <c r="D236" s="9"/>
      <c r="E236" s="9"/>
      <c r="F236" s="9"/>
      <c r="H236" s="10" t="str">
        <f t="shared" si="20"/>
        <v/>
      </c>
      <c r="I236" s="10" t="str">
        <f t="shared" si="21"/>
        <v/>
      </c>
      <c r="J236" s="10" t="str">
        <f t="shared" si="22"/>
        <v/>
      </c>
      <c r="K236" s="10" t="str">
        <f t="shared" si="23"/>
        <v/>
      </c>
      <c r="L236" s="10" t="str">
        <f t="shared" si="24"/>
        <v/>
      </c>
      <c r="N236" s="8" t="b">
        <f t="shared" si="19"/>
        <v>1</v>
      </c>
      <c r="Q236" s="103"/>
      <c r="R236" s="103"/>
      <c r="S236" s="103"/>
      <c r="T236" s="103"/>
      <c r="U236" s="103"/>
    </row>
    <row r="237" spans="2:21" ht="13.5" thickBot="1" x14ac:dyDescent="0.25">
      <c r="B237" s="9"/>
      <c r="C237" s="9"/>
      <c r="D237" s="9"/>
      <c r="E237" s="9"/>
      <c r="F237" s="9"/>
      <c r="H237" s="10" t="str">
        <f t="shared" si="20"/>
        <v/>
      </c>
      <c r="I237" s="10" t="str">
        <f t="shared" si="21"/>
        <v/>
      </c>
      <c r="J237" s="10" t="str">
        <f t="shared" si="22"/>
        <v/>
      </c>
      <c r="K237" s="10" t="str">
        <f t="shared" si="23"/>
        <v/>
      </c>
      <c r="L237" s="10" t="str">
        <f t="shared" si="24"/>
        <v/>
      </c>
      <c r="N237" s="8" t="b">
        <f t="shared" si="19"/>
        <v>1</v>
      </c>
      <c r="Q237" s="103"/>
      <c r="R237" s="103"/>
      <c r="S237" s="103"/>
      <c r="T237" s="103"/>
      <c r="U237" s="103"/>
    </row>
    <row r="238" spans="2:21" ht="13.5" thickBot="1" x14ac:dyDescent="0.25">
      <c r="B238" s="9"/>
      <c r="C238" s="9"/>
      <c r="D238" s="9"/>
      <c r="E238" s="9"/>
      <c r="F238" s="9"/>
      <c r="H238" s="10" t="str">
        <f t="shared" si="20"/>
        <v/>
      </c>
      <c r="I238" s="10" t="str">
        <f t="shared" si="21"/>
        <v/>
      </c>
      <c r="J238" s="10" t="str">
        <f t="shared" si="22"/>
        <v/>
      </c>
      <c r="K238" s="10" t="str">
        <f t="shared" si="23"/>
        <v/>
      </c>
      <c r="L238" s="10" t="str">
        <f t="shared" si="24"/>
        <v/>
      </c>
      <c r="N238" s="8" t="b">
        <f t="shared" si="19"/>
        <v>1</v>
      </c>
      <c r="Q238" s="103"/>
      <c r="R238" s="103"/>
      <c r="S238" s="103"/>
      <c r="T238" s="103"/>
      <c r="U238" s="103"/>
    </row>
    <row r="239" spans="2:21" ht="13.5" thickBot="1" x14ac:dyDescent="0.25">
      <c r="B239" s="9"/>
      <c r="C239" s="9"/>
      <c r="D239" s="9"/>
      <c r="E239" s="9"/>
      <c r="F239" s="9"/>
      <c r="H239" s="10" t="str">
        <f t="shared" si="20"/>
        <v/>
      </c>
      <c r="I239" s="10" t="str">
        <f t="shared" si="21"/>
        <v/>
      </c>
      <c r="J239" s="10" t="str">
        <f t="shared" si="22"/>
        <v/>
      </c>
      <c r="K239" s="10" t="str">
        <f t="shared" si="23"/>
        <v/>
      </c>
      <c r="L239" s="10" t="str">
        <f t="shared" si="24"/>
        <v/>
      </c>
      <c r="N239" s="8" t="b">
        <f t="shared" si="19"/>
        <v>1</v>
      </c>
      <c r="Q239" s="103"/>
      <c r="R239" s="103"/>
      <c r="S239" s="103"/>
      <c r="T239" s="103"/>
      <c r="U239" s="103"/>
    </row>
    <row r="240" spans="2:21" ht="13.5" thickBot="1" x14ac:dyDescent="0.25">
      <c r="B240" s="9"/>
      <c r="C240" s="9"/>
      <c r="D240" s="9"/>
      <c r="E240" s="9"/>
      <c r="F240" s="9"/>
      <c r="H240" s="10" t="str">
        <f t="shared" si="20"/>
        <v/>
      </c>
      <c r="I240" s="10" t="str">
        <f t="shared" si="21"/>
        <v/>
      </c>
      <c r="J240" s="10" t="str">
        <f t="shared" si="22"/>
        <v/>
      </c>
      <c r="K240" s="10" t="str">
        <f t="shared" si="23"/>
        <v/>
      </c>
      <c r="L240" s="10" t="str">
        <f t="shared" si="24"/>
        <v/>
      </c>
      <c r="N240" s="8" t="b">
        <f t="shared" si="19"/>
        <v>1</v>
      </c>
      <c r="Q240" s="103"/>
      <c r="R240" s="103"/>
      <c r="S240" s="103"/>
      <c r="T240" s="103"/>
      <c r="U240" s="103"/>
    </row>
    <row r="241" spans="2:21" ht="13.5" thickBot="1" x14ac:dyDescent="0.25">
      <c r="B241" s="9"/>
      <c r="C241" s="9"/>
      <c r="D241" s="9"/>
      <c r="E241" s="9"/>
      <c r="F241" s="9"/>
      <c r="H241" s="10" t="str">
        <f t="shared" si="20"/>
        <v/>
      </c>
      <c r="I241" s="10" t="str">
        <f t="shared" si="21"/>
        <v/>
      </c>
      <c r="J241" s="10" t="str">
        <f t="shared" si="22"/>
        <v/>
      </c>
      <c r="K241" s="10" t="str">
        <f t="shared" si="23"/>
        <v/>
      </c>
      <c r="L241" s="10" t="str">
        <f t="shared" si="24"/>
        <v/>
      </c>
      <c r="N241" s="8" t="b">
        <f t="shared" si="19"/>
        <v>1</v>
      </c>
      <c r="Q241" s="103"/>
      <c r="R241" s="103"/>
      <c r="S241" s="103"/>
      <c r="T241" s="103"/>
      <c r="U241" s="103"/>
    </row>
    <row r="242" spans="2:21" ht="13.5" thickBot="1" x14ac:dyDescent="0.25">
      <c r="B242" s="9"/>
      <c r="C242" s="9"/>
      <c r="D242" s="9"/>
      <c r="E242" s="9"/>
      <c r="F242" s="9"/>
      <c r="H242" s="10" t="str">
        <f t="shared" si="20"/>
        <v/>
      </c>
      <c r="I242" s="10" t="str">
        <f t="shared" si="21"/>
        <v/>
      </c>
      <c r="J242" s="10" t="str">
        <f t="shared" si="22"/>
        <v/>
      </c>
      <c r="K242" s="10" t="str">
        <f t="shared" si="23"/>
        <v/>
      </c>
      <c r="L242" s="10" t="str">
        <f t="shared" si="24"/>
        <v/>
      </c>
      <c r="N242" s="8" t="b">
        <f t="shared" si="19"/>
        <v>1</v>
      </c>
      <c r="Q242" s="103"/>
      <c r="R242" s="103"/>
      <c r="S242" s="103"/>
      <c r="T242" s="103"/>
      <c r="U242" s="103"/>
    </row>
    <row r="243" spans="2:21" ht="13.5" thickBot="1" x14ac:dyDescent="0.25">
      <c r="B243" s="9"/>
      <c r="C243" s="9"/>
      <c r="D243" s="9"/>
      <c r="E243" s="9"/>
      <c r="F243" s="9"/>
      <c r="H243" s="10" t="str">
        <f t="shared" si="20"/>
        <v/>
      </c>
      <c r="I243" s="10" t="str">
        <f t="shared" si="21"/>
        <v/>
      </c>
      <c r="J243" s="10" t="str">
        <f t="shared" si="22"/>
        <v/>
      </c>
      <c r="K243" s="10" t="str">
        <f t="shared" si="23"/>
        <v/>
      </c>
      <c r="L243" s="10" t="str">
        <f t="shared" si="24"/>
        <v/>
      </c>
      <c r="N243" s="8" t="b">
        <f t="shared" si="19"/>
        <v>1</v>
      </c>
      <c r="Q243" s="103"/>
      <c r="R243" s="103"/>
      <c r="S243" s="103"/>
      <c r="T243" s="103"/>
      <c r="U243" s="103"/>
    </row>
    <row r="244" spans="2:21" ht="13.5" thickBot="1" x14ac:dyDescent="0.25">
      <c r="B244" s="9"/>
      <c r="C244" s="9"/>
      <c r="D244" s="9"/>
      <c r="E244" s="9"/>
      <c r="F244" s="9"/>
      <c r="H244" s="10" t="str">
        <f t="shared" si="20"/>
        <v/>
      </c>
      <c r="I244" s="10" t="str">
        <f t="shared" si="21"/>
        <v/>
      </c>
      <c r="J244" s="10" t="str">
        <f t="shared" si="22"/>
        <v/>
      </c>
      <c r="K244" s="10" t="str">
        <f t="shared" si="23"/>
        <v/>
      </c>
      <c r="L244" s="10" t="str">
        <f t="shared" si="24"/>
        <v/>
      </c>
      <c r="N244" s="8" t="b">
        <f t="shared" si="19"/>
        <v>1</v>
      </c>
      <c r="Q244" s="103"/>
      <c r="R244" s="103"/>
      <c r="S244" s="103"/>
      <c r="T244" s="103"/>
      <c r="U244" s="103"/>
    </row>
    <row r="245" spans="2:21" ht="13.5" thickBot="1" x14ac:dyDescent="0.25">
      <c r="B245" s="9"/>
      <c r="C245" s="9"/>
      <c r="D245" s="9"/>
      <c r="E245" s="9"/>
      <c r="F245" s="9"/>
      <c r="H245" s="10" t="str">
        <f t="shared" si="20"/>
        <v/>
      </c>
      <c r="I245" s="10" t="str">
        <f t="shared" si="21"/>
        <v/>
      </c>
      <c r="J245" s="10" t="str">
        <f t="shared" si="22"/>
        <v/>
      </c>
      <c r="K245" s="10" t="str">
        <f t="shared" si="23"/>
        <v/>
      </c>
      <c r="L245" s="10" t="str">
        <f t="shared" si="24"/>
        <v/>
      </c>
      <c r="N245" s="8" t="b">
        <f t="shared" si="19"/>
        <v>1</v>
      </c>
      <c r="Q245" s="103"/>
      <c r="R245" s="103"/>
      <c r="S245" s="103"/>
      <c r="T245" s="103"/>
      <c r="U245" s="103"/>
    </row>
    <row r="246" spans="2:21" ht="13.5" thickBot="1" x14ac:dyDescent="0.25">
      <c r="B246" s="9"/>
      <c r="C246" s="9"/>
      <c r="D246" s="9"/>
      <c r="E246" s="9"/>
      <c r="F246" s="9"/>
      <c r="H246" s="10" t="str">
        <f t="shared" si="20"/>
        <v/>
      </c>
      <c r="I246" s="10" t="str">
        <f t="shared" si="21"/>
        <v/>
      </c>
      <c r="J246" s="10" t="str">
        <f t="shared" si="22"/>
        <v/>
      </c>
      <c r="K246" s="10" t="str">
        <f t="shared" si="23"/>
        <v/>
      </c>
      <c r="L246" s="10" t="str">
        <f t="shared" si="24"/>
        <v/>
      </c>
      <c r="N246" s="8" t="b">
        <f t="shared" si="19"/>
        <v>1</v>
      </c>
      <c r="Q246" s="103"/>
      <c r="R246" s="103"/>
      <c r="S246" s="103"/>
      <c r="T246" s="103"/>
      <c r="U246" s="103"/>
    </row>
    <row r="247" spans="2:21" ht="13.5" thickBot="1" x14ac:dyDescent="0.25">
      <c r="B247" s="9"/>
      <c r="C247" s="9"/>
      <c r="D247" s="9"/>
      <c r="E247" s="9"/>
      <c r="F247" s="9"/>
      <c r="H247" s="10" t="str">
        <f t="shared" si="20"/>
        <v/>
      </c>
      <c r="I247" s="10" t="str">
        <f t="shared" si="21"/>
        <v/>
      </c>
      <c r="J247" s="10" t="str">
        <f t="shared" si="22"/>
        <v/>
      </c>
      <c r="K247" s="10" t="str">
        <f t="shared" si="23"/>
        <v/>
      </c>
      <c r="L247" s="10" t="str">
        <f t="shared" si="24"/>
        <v/>
      </c>
      <c r="N247" s="8" t="b">
        <f t="shared" si="19"/>
        <v>1</v>
      </c>
      <c r="Q247" s="103"/>
      <c r="R247" s="103"/>
      <c r="S247" s="103"/>
      <c r="T247" s="103"/>
      <c r="U247" s="103"/>
    </row>
    <row r="248" spans="2:21" ht="13.5" thickBot="1" x14ac:dyDescent="0.25">
      <c r="B248" s="9"/>
      <c r="C248" s="9"/>
      <c r="D248" s="9"/>
      <c r="E248" s="9"/>
      <c r="F248" s="9"/>
      <c r="H248" s="10" t="str">
        <f t="shared" si="20"/>
        <v/>
      </c>
      <c r="I248" s="10" t="str">
        <f t="shared" si="21"/>
        <v/>
      </c>
      <c r="J248" s="10" t="str">
        <f t="shared" si="22"/>
        <v/>
      </c>
      <c r="K248" s="10" t="str">
        <f t="shared" si="23"/>
        <v/>
      </c>
      <c r="L248" s="10" t="str">
        <f t="shared" si="24"/>
        <v/>
      </c>
      <c r="N248" s="8" t="b">
        <f t="shared" si="19"/>
        <v>1</v>
      </c>
      <c r="Q248" s="103"/>
      <c r="R248" s="103"/>
      <c r="S248" s="103"/>
      <c r="T248" s="103"/>
      <c r="U248" s="103"/>
    </row>
    <row r="249" spans="2:21" ht="13.5" thickBot="1" x14ac:dyDescent="0.25">
      <c r="B249" s="9"/>
      <c r="C249" s="9"/>
      <c r="D249" s="9"/>
      <c r="E249" s="9"/>
      <c r="F249" s="9"/>
      <c r="H249" s="10" t="str">
        <f t="shared" si="20"/>
        <v/>
      </c>
      <c r="I249" s="10" t="str">
        <f t="shared" si="21"/>
        <v/>
      </c>
      <c r="J249" s="10" t="str">
        <f t="shared" si="22"/>
        <v/>
      </c>
      <c r="K249" s="10" t="str">
        <f t="shared" si="23"/>
        <v/>
      </c>
      <c r="L249" s="10" t="str">
        <f t="shared" si="24"/>
        <v/>
      </c>
      <c r="N249" s="8" t="b">
        <f t="shared" si="19"/>
        <v>1</v>
      </c>
      <c r="Q249" s="103"/>
      <c r="R249" s="103"/>
      <c r="S249" s="103"/>
      <c r="T249" s="103"/>
      <c r="U249" s="103"/>
    </row>
    <row r="250" spans="2:21" ht="13.5" thickBot="1" x14ac:dyDescent="0.25">
      <c r="B250" s="9"/>
      <c r="C250" s="9"/>
      <c r="D250" s="9"/>
      <c r="E250" s="9"/>
      <c r="F250" s="9"/>
      <c r="H250" s="10" t="str">
        <f t="shared" si="20"/>
        <v/>
      </c>
      <c r="I250" s="10" t="str">
        <f t="shared" si="21"/>
        <v/>
      </c>
      <c r="J250" s="10" t="str">
        <f t="shared" si="22"/>
        <v/>
      </c>
      <c r="K250" s="10" t="str">
        <f t="shared" si="23"/>
        <v/>
      </c>
      <c r="L250" s="10" t="str">
        <f t="shared" si="24"/>
        <v/>
      </c>
      <c r="N250" s="8" t="b">
        <f t="shared" si="19"/>
        <v>1</v>
      </c>
      <c r="Q250" s="103"/>
      <c r="R250" s="103"/>
      <c r="S250" s="103"/>
      <c r="T250" s="103"/>
      <c r="U250" s="103"/>
    </row>
    <row r="251" spans="2:21" ht="13.5" thickBot="1" x14ac:dyDescent="0.25">
      <c r="B251" s="9"/>
      <c r="C251" s="9"/>
      <c r="D251" s="9"/>
      <c r="E251" s="9"/>
      <c r="F251" s="9"/>
      <c r="H251" s="10" t="str">
        <f t="shared" si="20"/>
        <v/>
      </c>
      <c r="I251" s="10" t="str">
        <f t="shared" si="21"/>
        <v/>
      </c>
      <c r="J251" s="10" t="str">
        <f t="shared" si="22"/>
        <v/>
      </c>
      <c r="K251" s="10" t="str">
        <f t="shared" si="23"/>
        <v/>
      </c>
      <c r="L251" s="10" t="str">
        <f t="shared" si="24"/>
        <v/>
      </c>
      <c r="N251" s="8" t="b">
        <f t="shared" si="19"/>
        <v>1</v>
      </c>
      <c r="Q251" s="103"/>
      <c r="R251" s="103"/>
      <c r="S251" s="103"/>
      <c r="T251" s="103"/>
      <c r="U251" s="103"/>
    </row>
    <row r="252" spans="2:21" ht="13.5" thickBot="1" x14ac:dyDescent="0.25">
      <c r="B252" s="9"/>
      <c r="C252" s="9"/>
      <c r="D252" s="9"/>
      <c r="E252" s="9"/>
      <c r="F252" s="9"/>
      <c r="H252" s="10" t="str">
        <f t="shared" si="20"/>
        <v/>
      </c>
      <c r="I252" s="10" t="str">
        <f t="shared" si="21"/>
        <v/>
      </c>
      <c r="J252" s="10" t="str">
        <f t="shared" si="22"/>
        <v/>
      </c>
      <c r="K252" s="10" t="str">
        <f t="shared" si="23"/>
        <v/>
      </c>
      <c r="L252" s="10" t="str">
        <f t="shared" si="24"/>
        <v/>
      </c>
      <c r="N252" s="8" t="b">
        <f t="shared" si="19"/>
        <v>1</v>
      </c>
      <c r="Q252" s="103"/>
      <c r="R252" s="103"/>
      <c r="S252" s="103"/>
      <c r="T252" s="103"/>
      <c r="U252" s="103"/>
    </row>
    <row r="253" spans="2:21" ht="13.5" thickBot="1" x14ac:dyDescent="0.25">
      <c r="B253" s="9"/>
      <c r="C253" s="9"/>
      <c r="D253" s="9"/>
      <c r="E253" s="9"/>
      <c r="F253" s="9"/>
      <c r="H253" s="10" t="str">
        <f t="shared" si="20"/>
        <v/>
      </c>
      <c r="I253" s="10" t="str">
        <f t="shared" si="21"/>
        <v/>
      </c>
      <c r="J253" s="10" t="str">
        <f t="shared" si="22"/>
        <v/>
      </c>
      <c r="K253" s="10" t="str">
        <f t="shared" si="23"/>
        <v/>
      </c>
      <c r="L253" s="10" t="str">
        <f t="shared" si="24"/>
        <v/>
      </c>
      <c r="N253" s="8" t="b">
        <f t="shared" si="19"/>
        <v>1</v>
      </c>
      <c r="Q253" s="103"/>
      <c r="R253" s="103"/>
      <c r="S253" s="103"/>
      <c r="T253" s="103"/>
      <c r="U253" s="103"/>
    </row>
    <row r="254" spans="2:21" ht="13.5" thickBot="1" x14ac:dyDescent="0.25">
      <c r="B254" s="9"/>
      <c r="C254" s="9"/>
      <c r="D254" s="9"/>
      <c r="E254" s="9"/>
      <c r="F254" s="9"/>
      <c r="H254" s="10" t="str">
        <f t="shared" si="20"/>
        <v/>
      </c>
      <c r="I254" s="10" t="str">
        <f t="shared" si="21"/>
        <v/>
      </c>
      <c r="J254" s="10" t="str">
        <f t="shared" si="22"/>
        <v/>
      </c>
      <c r="K254" s="10" t="str">
        <f t="shared" si="23"/>
        <v/>
      </c>
      <c r="L254" s="10" t="str">
        <f t="shared" si="24"/>
        <v/>
      </c>
      <c r="N254" s="8" t="b">
        <f t="shared" si="19"/>
        <v>1</v>
      </c>
      <c r="Q254" s="21"/>
      <c r="R254" s="21"/>
      <c r="S254" s="21"/>
      <c r="T254" s="21"/>
      <c r="U254" s="21"/>
    </row>
    <row r="255" spans="2:21" ht="13.5" thickBot="1" x14ac:dyDescent="0.25">
      <c r="B255" s="9"/>
      <c r="C255" s="9"/>
      <c r="D255" s="9"/>
      <c r="E255" s="9"/>
      <c r="F255" s="9"/>
      <c r="H255" s="10" t="str">
        <f t="shared" si="20"/>
        <v/>
      </c>
      <c r="I255" s="10" t="str">
        <f t="shared" si="21"/>
        <v/>
      </c>
      <c r="J255" s="10" t="str">
        <f t="shared" si="22"/>
        <v/>
      </c>
      <c r="K255" s="10" t="str">
        <f t="shared" si="23"/>
        <v/>
      </c>
      <c r="L255" s="10" t="str">
        <f t="shared" si="24"/>
        <v/>
      </c>
      <c r="N255" s="8" t="b">
        <f t="shared" si="19"/>
        <v>1</v>
      </c>
      <c r="Q255" s="21"/>
      <c r="R255" s="21"/>
      <c r="S255" s="21"/>
      <c r="T255" s="21"/>
      <c r="U255" s="21"/>
    </row>
    <row r="256" spans="2:21" ht="13.5" thickBot="1" x14ac:dyDescent="0.25">
      <c r="B256" s="9"/>
      <c r="C256" s="9"/>
      <c r="D256" s="9"/>
      <c r="E256" s="9"/>
      <c r="F256" s="9"/>
      <c r="H256" s="10" t="str">
        <f t="shared" si="20"/>
        <v/>
      </c>
      <c r="I256" s="10" t="str">
        <f t="shared" si="21"/>
        <v/>
      </c>
      <c r="J256" s="10" t="str">
        <f t="shared" si="22"/>
        <v/>
      </c>
      <c r="K256" s="10" t="str">
        <f t="shared" si="23"/>
        <v/>
      </c>
      <c r="L256" s="10" t="str">
        <f t="shared" si="24"/>
        <v/>
      </c>
      <c r="N256" s="8" t="b">
        <f t="shared" si="19"/>
        <v>1</v>
      </c>
      <c r="Q256" s="21"/>
      <c r="R256" s="21"/>
      <c r="S256" s="21"/>
      <c r="T256" s="21"/>
      <c r="U256" s="21"/>
    </row>
    <row r="257" spans="2:21" ht="13.5" thickBot="1" x14ac:dyDescent="0.25">
      <c r="B257" s="9"/>
      <c r="C257" s="9"/>
      <c r="D257" s="9"/>
      <c r="E257" s="9"/>
      <c r="F257" s="9"/>
      <c r="H257" s="10" t="str">
        <f t="shared" si="20"/>
        <v/>
      </c>
      <c r="I257" s="10" t="str">
        <f t="shared" si="21"/>
        <v/>
      </c>
      <c r="J257" s="10" t="str">
        <f t="shared" si="22"/>
        <v/>
      </c>
      <c r="K257" s="10" t="str">
        <f t="shared" si="23"/>
        <v/>
      </c>
      <c r="L257" s="10" t="str">
        <f t="shared" si="24"/>
        <v/>
      </c>
      <c r="N257" s="8" t="b">
        <f t="shared" si="19"/>
        <v>1</v>
      </c>
      <c r="Q257" s="21"/>
      <c r="R257" s="21"/>
      <c r="S257" s="21"/>
      <c r="T257" s="21"/>
      <c r="U257" s="21"/>
    </row>
    <row r="258" spans="2:21" ht="13.5" thickBot="1" x14ac:dyDescent="0.25">
      <c r="B258" s="9"/>
      <c r="C258" s="9"/>
      <c r="D258" s="9"/>
      <c r="E258" s="9"/>
      <c r="F258" s="9"/>
      <c r="H258" s="10" t="str">
        <f t="shared" si="20"/>
        <v/>
      </c>
      <c r="I258" s="10" t="str">
        <f t="shared" si="21"/>
        <v/>
      </c>
      <c r="J258" s="10" t="str">
        <f t="shared" si="22"/>
        <v/>
      </c>
      <c r="K258" s="10" t="str">
        <f t="shared" si="23"/>
        <v/>
      </c>
      <c r="L258" s="10" t="str">
        <f t="shared" si="24"/>
        <v/>
      </c>
      <c r="N258" s="8" t="b">
        <f t="shared" si="19"/>
        <v>1</v>
      </c>
      <c r="Q258" s="21"/>
      <c r="R258" s="21"/>
      <c r="S258" s="21"/>
      <c r="T258" s="21"/>
      <c r="U258" s="21"/>
    </row>
    <row r="259" spans="2:21" ht="13.5" thickBot="1" x14ac:dyDescent="0.25">
      <c r="B259" s="9"/>
      <c r="C259" s="9"/>
      <c r="D259" s="9"/>
      <c r="E259" s="9"/>
      <c r="F259" s="9"/>
      <c r="H259" s="10" t="str">
        <f t="shared" si="20"/>
        <v/>
      </c>
      <c r="I259" s="10" t="str">
        <f t="shared" si="21"/>
        <v/>
      </c>
      <c r="J259" s="10" t="str">
        <f t="shared" si="22"/>
        <v/>
      </c>
      <c r="K259" s="10" t="str">
        <f t="shared" si="23"/>
        <v/>
      </c>
      <c r="L259" s="10" t="str">
        <f t="shared" si="24"/>
        <v/>
      </c>
      <c r="N259" s="8" t="b">
        <f t="shared" si="19"/>
        <v>1</v>
      </c>
      <c r="Q259" s="21"/>
      <c r="R259" s="21"/>
      <c r="S259" s="21"/>
      <c r="T259" s="21"/>
      <c r="U259" s="21"/>
    </row>
    <row r="260" spans="2:21" ht="13.5" thickBot="1" x14ac:dyDescent="0.25">
      <c r="B260" s="9"/>
      <c r="C260" s="9"/>
      <c r="D260" s="9"/>
      <c r="E260" s="9"/>
      <c r="F260" s="9"/>
      <c r="H260" s="10" t="str">
        <f t="shared" si="20"/>
        <v/>
      </c>
      <c r="I260" s="10" t="str">
        <f t="shared" si="21"/>
        <v/>
      </c>
      <c r="J260" s="10" t="str">
        <f t="shared" si="22"/>
        <v/>
      </c>
      <c r="K260" s="10" t="str">
        <f t="shared" si="23"/>
        <v/>
      </c>
      <c r="L260" s="10" t="str">
        <f t="shared" si="24"/>
        <v/>
      </c>
      <c r="N260" s="8" t="b">
        <f t="shared" si="19"/>
        <v>1</v>
      </c>
      <c r="Q260" s="21"/>
      <c r="R260" s="21"/>
      <c r="S260" s="21"/>
      <c r="T260" s="21"/>
      <c r="U260" s="21"/>
    </row>
    <row r="261" spans="2:21" ht="13.5" thickBot="1" x14ac:dyDescent="0.25">
      <c r="B261" s="9"/>
      <c r="C261" s="9"/>
      <c r="D261" s="9"/>
      <c r="E261" s="9"/>
      <c r="F261" s="9"/>
      <c r="H261" s="10" t="str">
        <f t="shared" si="20"/>
        <v/>
      </c>
      <c r="I261" s="10" t="str">
        <f t="shared" si="21"/>
        <v/>
      </c>
      <c r="J261" s="10" t="str">
        <f t="shared" si="22"/>
        <v/>
      </c>
      <c r="K261" s="10" t="str">
        <f t="shared" si="23"/>
        <v/>
      </c>
      <c r="L261" s="10" t="str">
        <f t="shared" si="24"/>
        <v/>
      </c>
      <c r="N261" s="8" t="b">
        <f t="shared" si="19"/>
        <v>1</v>
      </c>
      <c r="Q261" s="21"/>
      <c r="R261" s="21"/>
      <c r="S261" s="21"/>
      <c r="T261" s="21"/>
      <c r="U261" s="21"/>
    </row>
    <row r="262" spans="2:21" ht="13.5" thickBot="1" x14ac:dyDescent="0.25">
      <c r="B262" s="9"/>
      <c r="C262" s="9"/>
      <c r="D262" s="9"/>
      <c r="E262" s="9"/>
      <c r="F262" s="9"/>
      <c r="H262" s="10" t="str">
        <f t="shared" si="20"/>
        <v/>
      </c>
      <c r="I262" s="10" t="str">
        <f t="shared" si="21"/>
        <v/>
      </c>
      <c r="J262" s="10" t="str">
        <f t="shared" si="22"/>
        <v/>
      </c>
      <c r="K262" s="10" t="str">
        <f t="shared" si="23"/>
        <v/>
      </c>
      <c r="L262" s="10" t="str">
        <f t="shared" si="24"/>
        <v/>
      </c>
      <c r="N262" s="8" t="b">
        <f t="shared" si="19"/>
        <v>1</v>
      </c>
      <c r="Q262" s="21"/>
      <c r="R262" s="21"/>
      <c r="S262" s="21"/>
      <c r="T262" s="21"/>
      <c r="U262" s="21"/>
    </row>
    <row r="263" spans="2:21" ht="13.5" thickBot="1" x14ac:dyDescent="0.25">
      <c r="B263" s="9"/>
      <c r="C263" s="9"/>
      <c r="D263" s="9"/>
      <c r="E263" s="9"/>
      <c r="F263" s="9"/>
      <c r="H263" s="10" t="str">
        <f t="shared" si="20"/>
        <v/>
      </c>
      <c r="I263" s="10" t="str">
        <f t="shared" si="21"/>
        <v/>
      </c>
      <c r="J263" s="10" t="str">
        <f t="shared" si="22"/>
        <v/>
      </c>
      <c r="K263" s="10" t="str">
        <f t="shared" si="23"/>
        <v/>
      </c>
      <c r="L263" s="10" t="str">
        <f t="shared" si="24"/>
        <v/>
      </c>
      <c r="N263" s="8" t="b">
        <f t="shared" si="19"/>
        <v>1</v>
      </c>
      <c r="Q263" s="21"/>
      <c r="R263" s="21"/>
      <c r="S263" s="21"/>
      <c r="T263" s="21"/>
      <c r="U263" s="21"/>
    </row>
    <row r="264" spans="2:21" ht="13.5" thickBot="1" x14ac:dyDescent="0.25">
      <c r="B264" s="9"/>
      <c r="C264" s="9"/>
      <c r="D264" s="9"/>
      <c r="E264" s="9"/>
      <c r="F264" s="9"/>
      <c r="H264" s="10" t="str">
        <f t="shared" si="20"/>
        <v/>
      </c>
      <c r="I264" s="10" t="str">
        <f t="shared" si="21"/>
        <v/>
      </c>
      <c r="J264" s="10" t="str">
        <f t="shared" si="22"/>
        <v/>
      </c>
      <c r="K264" s="10" t="str">
        <f t="shared" si="23"/>
        <v/>
      </c>
      <c r="L264" s="10" t="str">
        <f t="shared" si="24"/>
        <v/>
      </c>
      <c r="N264" s="8" t="b">
        <f t="shared" ref="N264:N278" si="25">IF($B264=$H264,IF($C264=$I264,IF($D264=$J264,IF($E264=$K264,IF($F264=$L264,TRUE,FALSE),FALSE),FALSE),FALSE),FALSE)</f>
        <v>1</v>
      </c>
      <c r="Q264" s="21"/>
      <c r="R264" s="21"/>
      <c r="S264" s="21"/>
      <c r="T264" s="21"/>
      <c r="U264" s="21"/>
    </row>
    <row r="265" spans="2:21" ht="13.5" thickBot="1" x14ac:dyDescent="0.25">
      <c r="B265" s="9"/>
      <c r="C265" s="9"/>
      <c r="D265" s="9"/>
      <c r="E265" s="9"/>
      <c r="F265" s="9"/>
      <c r="H265" s="10" t="str">
        <f t="shared" ref="H265:H278" si="26">IF(Q265="", "", LOOKUP(Q265,$W$8:$W$40,$X$8:$X$40))</f>
        <v/>
      </c>
      <c r="I265" s="10" t="str">
        <f t="shared" ref="I265:I278" si="27">IF(R265="", "", LOOKUP(R265,$W$8:$W$40,$X$8:$X$40))</f>
        <v/>
      </c>
      <c r="J265" s="10" t="str">
        <f t="shared" ref="J265:J278" si="28">IF(S265="", "", LOOKUP(S265,$W$8:$W$40,$X$8:$X$40))</f>
        <v/>
      </c>
      <c r="K265" s="10" t="str">
        <f t="shared" ref="K265:K278" si="29">IF(T265="", "", LOOKUP(T265,$W$8:$W$40,$X$8:$X$40))</f>
        <v/>
      </c>
      <c r="L265" s="10" t="str">
        <f t="shared" ref="L265:L278" si="30">IF(U265="", "", LOOKUP(U265,$W$8:$W$40,$X$8:$X$40))</f>
        <v/>
      </c>
      <c r="N265" s="8" t="b">
        <f t="shared" si="25"/>
        <v>1</v>
      </c>
      <c r="Q265" s="21"/>
      <c r="R265" s="21"/>
      <c r="S265" s="21"/>
      <c r="T265" s="21"/>
      <c r="U265" s="21"/>
    </row>
    <row r="266" spans="2:21" ht="13.5" thickBot="1" x14ac:dyDescent="0.25">
      <c r="B266" s="9"/>
      <c r="C266" s="9"/>
      <c r="D266" s="9"/>
      <c r="E266" s="9"/>
      <c r="F266" s="9"/>
      <c r="H266" s="10" t="str">
        <f t="shared" si="26"/>
        <v/>
      </c>
      <c r="I266" s="10" t="str">
        <f t="shared" si="27"/>
        <v/>
      </c>
      <c r="J266" s="10" t="str">
        <f t="shared" si="28"/>
        <v/>
      </c>
      <c r="K266" s="10" t="str">
        <f t="shared" si="29"/>
        <v/>
      </c>
      <c r="L266" s="10" t="str">
        <f t="shared" si="30"/>
        <v/>
      </c>
      <c r="N266" s="8" t="b">
        <f t="shared" si="25"/>
        <v>1</v>
      </c>
      <c r="Q266" s="21"/>
      <c r="R266" s="21"/>
      <c r="S266" s="21"/>
      <c r="T266" s="21"/>
      <c r="U266" s="21"/>
    </row>
    <row r="267" spans="2:21" ht="13.5" thickBot="1" x14ac:dyDescent="0.25">
      <c r="B267" s="9"/>
      <c r="C267" s="9"/>
      <c r="D267" s="9"/>
      <c r="E267" s="9"/>
      <c r="F267" s="9"/>
      <c r="H267" s="10" t="str">
        <f t="shared" si="26"/>
        <v/>
      </c>
      <c r="I267" s="10" t="str">
        <f t="shared" si="27"/>
        <v/>
      </c>
      <c r="J267" s="10" t="str">
        <f t="shared" si="28"/>
        <v/>
      </c>
      <c r="K267" s="10" t="str">
        <f t="shared" si="29"/>
        <v/>
      </c>
      <c r="L267" s="10" t="str">
        <f t="shared" si="30"/>
        <v/>
      </c>
      <c r="N267" s="8" t="b">
        <f t="shared" si="25"/>
        <v>1</v>
      </c>
      <c r="Q267" s="21"/>
      <c r="R267" s="21"/>
      <c r="S267" s="21"/>
      <c r="T267" s="21"/>
      <c r="U267" s="21"/>
    </row>
    <row r="268" spans="2:21" ht="13.5" thickBot="1" x14ac:dyDescent="0.25">
      <c r="B268" s="9"/>
      <c r="C268" s="9"/>
      <c r="D268" s="9"/>
      <c r="E268" s="9"/>
      <c r="F268" s="9"/>
      <c r="H268" s="10" t="str">
        <f t="shared" si="26"/>
        <v/>
      </c>
      <c r="I268" s="10" t="str">
        <f t="shared" si="27"/>
        <v/>
      </c>
      <c r="J268" s="10" t="str">
        <f t="shared" si="28"/>
        <v/>
      </c>
      <c r="K268" s="10" t="str">
        <f t="shared" si="29"/>
        <v/>
      </c>
      <c r="L268" s="10" t="str">
        <f t="shared" si="30"/>
        <v/>
      </c>
      <c r="N268" s="8" t="b">
        <f t="shared" si="25"/>
        <v>1</v>
      </c>
      <c r="Q268" s="21"/>
      <c r="R268" s="21"/>
      <c r="S268" s="21"/>
      <c r="T268" s="21"/>
      <c r="U268" s="21"/>
    </row>
    <row r="269" spans="2:21" ht="13.5" thickBot="1" x14ac:dyDescent="0.25">
      <c r="B269" s="9"/>
      <c r="C269" s="9"/>
      <c r="D269" s="9"/>
      <c r="E269" s="9"/>
      <c r="F269" s="9"/>
      <c r="H269" s="10" t="str">
        <f t="shared" si="26"/>
        <v/>
      </c>
      <c r="I269" s="10" t="str">
        <f t="shared" si="27"/>
        <v/>
      </c>
      <c r="J269" s="10" t="str">
        <f t="shared" si="28"/>
        <v/>
      </c>
      <c r="K269" s="10" t="str">
        <f t="shared" si="29"/>
        <v/>
      </c>
      <c r="L269" s="10" t="str">
        <f t="shared" si="30"/>
        <v/>
      </c>
      <c r="N269" s="8" t="b">
        <f t="shared" si="25"/>
        <v>1</v>
      </c>
      <c r="Q269" s="21"/>
      <c r="R269" s="21"/>
      <c r="S269" s="21"/>
      <c r="T269" s="21"/>
      <c r="U269" s="21"/>
    </row>
    <row r="270" spans="2:21" ht="13.5" thickBot="1" x14ac:dyDescent="0.25">
      <c r="B270" s="9"/>
      <c r="C270" s="9"/>
      <c r="D270" s="9"/>
      <c r="E270" s="9"/>
      <c r="F270" s="9"/>
      <c r="H270" s="10" t="str">
        <f t="shared" si="26"/>
        <v/>
      </c>
      <c r="I270" s="10" t="str">
        <f t="shared" si="27"/>
        <v/>
      </c>
      <c r="J270" s="10" t="str">
        <f t="shared" si="28"/>
        <v/>
      </c>
      <c r="K270" s="10" t="str">
        <f t="shared" si="29"/>
        <v/>
      </c>
      <c r="L270" s="10" t="str">
        <f t="shared" si="30"/>
        <v/>
      </c>
      <c r="N270" s="8" t="b">
        <f t="shared" si="25"/>
        <v>1</v>
      </c>
      <c r="Q270" s="21"/>
      <c r="R270" s="21"/>
      <c r="S270" s="21"/>
      <c r="T270" s="21"/>
      <c r="U270" s="21"/>
    </row>
    <row r="271" spans="2:21" ht="13.5" thickBot="1" x14ac:dyDescent="0.25">
      <c r="B271" s="9"/>
      <c r="C271" s="9"/>
      <c r="D271" s="9"/>
      <c r="E271" s="9"/>
      <c r="F271" s="9"/>
      <c r="H271" s="10" t="str">
        <f t="shared" si="26"/>
        <v/>
      </c>
      <c r="I271" s="10" t="str">
        <f t="shared" si="27"/>
        <v/>
      </c>
      <c r="J271" s="10" t="str">
        <f t="shared" si="28"/>
        <v/>
      </c>
      <c r="K271" s="10" t="str">
        <f t="shared" si="29"/>
        <v/>
      </c>
      <c r="L271" s="10" t="str">
        <f t="shared" si="30"/>
        <v/>
      </c>
      <c r="N271" s="8" t="b">
        <f t="shared" si="25"/>
        <v>1</v>
      </c>
      <c r="Q271" s="21"/>
      <c r="R271" s="21"/>
      <c r="S271" s="21"/>
      <c r="T271" s="21"/>
      <c r="U271" s="21"/>
    </row>
    <row r="272" spans="2:21" ht="13.5" thickBot="1" x14ac:dyDescent="0.25">
      <c r="B272" s="9"/>
      <c r="C272" s="9"/>
      <c r="D272" s="9"/>
      <c r="E272" s="9"/>
      <c r="F272" s="9"/>
      <c r="H272" s="10" t="str">
        <f t="shared" si="26"/>
        <v/>
      </c>
      <c r="I272" s="10" t="str">
        <f t="shared" si="27"/>
        <v/>
      </c>
      <c r="J272" s="10" t="str">
        <f t="shared" si="28"/>
        <v/>
      </c>
      <c r="K272" s="10" t="str">
        <f t="shared" si="29"/>
        <v/>
      </c>
      <c r="L272" s="10" t="str">
        <f t="shared" si="30"/>
        <v/>
      </c>
      <c r="N272" s="8" t="b">
        <f t="shared" si="25"/>
        <v>1</v>
      </c>
      <c r="Q272" s="21"/>
      <c r="R272" s="21"/>
      <c r="S272" s="21"/>
      <c r="T272" s="21"/>
      <c r="U272" s="21"/>
    </row>
    <row r="273" spans="2:21" ht="13.5" thickBot="1" x14ac:dyDescent="0.25">
      <c r="B273" s="9"/>
      <c r="C273" s="9"/>
      <c r="D273" s="9"/>
      <c r="E273" s="9"/>
      <c r="F273" s="9"/>
      <c r="H273" s="10" t="str">
        <f t="shared" si="26"/>
        <v/>
      </c>
      <c r="I273" s="10" t="str">
        <f t="shared" si="27"/>
        <v/>
      </c>
      <c r="J273" s="10" t="str">
        <f t="shared" si="28"/>
        <v/>
      </c>
      <c r="K273" s="10" t="str">
        <f t="shared" si="29"/>
        <v/>
      </c>
      <c r="L273" s="10" t="str">
        <f t="shared" si="30"/>
        <v/>
      </c>
      <c r="N273" s="8" t="b">
        <f t="shared" si="25"/>
        <v>1</v>
      </c>
      <c r="Q273" s="21"/>
      <c r="R273" s="21"/>
      <c r="S273" s="21"/>
      <c r="T273" s="21"/>
      <c r="U273" s="21"/>
    </row>
    <row r="274" spans="2:21" ht="13.5" thickBot="1" x14ac:dyDescent="0.25">
      <c r="B274" s="9"/>
      <c r="C274" s="9"/>
      <c r="D274" s="9"/>
      <c r="E274" s="9"/>
      <c r="F274" s="9"/>
      <c r="H274" s="10" t="str">
        <f t="shared" si="26"/>
        <v/>
      </c>
      <c r="I274" s="10" t="str">
        <f t="shared" si="27"/>
        <v/>
      </c>
      <c r="J274" s="10" t="str">
        <f t="shared" si="28"/>
        <v/>
      </c>
      <c r="K274" s="10" t="str">
        <f t="shared" si="29"/>
        <v/>
      </c>
      <c r="L274" s="10" t="str">
        <f t="shared" si="30"/>
        <v/>
      </c>
      <c r="N274" s="8" t="b">
        <f t="shared" si="25"/>
        <v>1</v>
      </c>
      <c r="Q274" s="21"/>
      <c r="R274" s="21"/>
      <c r="S274" s="21"/>
      <c r="T274" s="21"/>
      <c r="U274" s="21"/>
    </row>
    <row r="275" spans="2:21" ht="13.5" thickBot="1" x14ac:dyDescent="0.25">
      <c r="B275" s="9"/>
      <c r="C275" s="9"/>
      <c r="D275" s="9"/>
      <c r="E275" s="9"/>
      <c r="F275" s="9"/>
      <c r="H275" s="10" t="str">
        <f t="shared" si="26"/>
        <v/>
      </c>
      <c r="I275" s="10" t="str">
        <f t="shared" si="27"/>
        <v/>
      </c>
      <c r="J275" s="10" t="str">
        <f t="shared" si="28"/>
        <v/>
      </c>
      <c r="K275" s="10" t="str">
        <f t="shared" si="29"/>
        <v/>
      </c>
      <c r="L275" s="10" t="str">
        <f t="shared" si="30"/>
        <v/>
      </c>
      <c r="N275" s="8" t="b">
        <f t="shared" si="25"/>
        <v>1</v>
      </c>
      <c r="Q275" s="21"/>
      <c r="R275" s="21"/>
      <c r="S275" s="21"/>
      <c r="T275" s="21"/>
      <c r="U275" s="21"/>
    </row>
    <row r="276" spans="2:21" ht="13.5" thickBot="1" x14ac:dyDescent="0.25">
      <c r="B276" s="9"/>
      <c r="C276" s="9"/>
      <c r="D276" s="9"/>
      <c r="E276" s="9"/>
      <c r="F276" s="9"/>
      <c r="H276" s="10" t="str">
        <f t="shared" si="26"/>
        <v/>
      </c>
      <c r="I276" s="10" t="str">
        <f t="shared" si="27"/>
        <v/>
      </c>
      <c r="J276" s="10" t="str">
        <f t="shared" si="28"/>
        <v/>
      </c>
      <c r="K276" s="10" t="str">
        <f t="shared" si="29"/>
        <v/>
      </c>
      <c r="L276" s="10" t="str">
        <f t="shared" si="30"/>
        <v/>
      </c>
      <c r="N276" s="8" t="b">
        <f t="shared" si="25"/>
        <v>1</v>
      </c>
      <c r="Q276" s="21"/>
      <c r="R276" s="21"/>
      <c r="S276" s="21"/>
      <c r="T276" s="21"/>
      <c r="U276" s="21"/>
    </row>
    <row r="277" spans="2:21" ht="13.5" thickBot="1" x14ac:dyDescent="0.25">
      <c r="B277" s="9"/>
      <c r="C277" s="9"/>
      <c r="D277" s="9"/>
      <c r="E277" s="9"/>
      <c r="F277" s="9"/>
      <c r="H277" s="10" t="str">
        <f t="shared" si="26"/>
        <v/>
      </c>
      <c r="I277" s="10" t="str">
        <f t="shared" si="27"/>
        <v/>
      </c>
      <c r="J277" s="10" t="str">
        <f t="shared" si="28"/>
        <v/>
      </c>
      <c r="K277" s="10" t="str">
        <f t="shared" si="29"/>
        <v/>
      </c>
      <c r="L277" s="10" t="str">
        <f t="shared" si="30"/>
        <v/>
      </c>
      <c r="N277" s="8" t="b">
        <f t="shared" si="25"/>
        <v>1</v>
      </c>
      <c r="Q277" s="21"/>
      <c r="R277" s="21"/>
      <c r="S277" s="21"/>
      <c r="T277" s="21"/>
      <c r="U277" s="21"/>
    </row>
    <row r="278" spans="2:21" x14ac:dyDescent="0.2">
      <c r="B278" s="9"/>
      <c r="C278" s="9"/>
      <c r="D278" s="9"/>
      <c r="E278" s="9"/>
      <c r="F278" s="9"/>
      <c r="H278" s="10" t="str">
        <f t="shared" si="26"/>
        <v/>
      </c>
      <c r="I278" s="10" t="str">
        <f t="shared" si="27"/>
        <v/>
      </c>
      <c r="J278" s="10" t="str">
        <f t="shared" si="28"/>
        <v/>
      </c>
      <c r="K278" s="10" t="str">
        <f t="shared" si="29"/>
        <v/>
      </c>
      <c r="L278" s="10" t="str">
        <f t="shared" si="30"/>
        <v/>
      </c>
      <c r="N278" s="8" t="b">
        <f t="shared" si="25"/>
        <v>1</v>
      </c>
      <c r="Q278" s="21"/>
      <c r="R278" s="21"/>
      <c r="S278" s="21"/>
      <c r="T278" s="21"/>
      <c r="U278" s="21"/>
    </row>
    <row r="279" spans="2:21" x14ac:dyDescent="0.2">
      <c r="S279" s="103"/>
    </row>
    <row r="280" spans="2:21" x14ac:dyDescent="0.2">
      <c r="S280" s="103"/>
    </row>
    <row r="281" spans="2:21" x14ac:dyDescent="0.2">
      <c r="S281" s="103"/>
    </row>
    <row r="282" spans="2:21" x14ac:dyDescent="0.2">
      <c r="S282" s="103"/>
    </row>
    <row r="283" spans="2:21" x14ac:dyDescent="0.2">
      <c r="S283" s="103"/>
    </row>
    <row r="284" spans="2:21" x14ac:dyDescent="0.2">
      <c r="S284" s="103"/>
    </row>
    <row r="285" spans="2:21" x14ac:dyDescent="0.2">
      <c r="S285" s="103"/>
    </row>
    <row r="286" spans="2:21" x14ac:dyDescent="0.2">
      <c r="S286" s="103"/>
    </row>
    <row r="287" spans="2:21" x14ac:dyDescent="0.2">
      <c r="S287" s="103"/>
    </row>
    <row r="288" spans="2:21" x14ac:dyDescent="0.2">
      <c r="S288" s="103"/>
    </row>
    <row r="289" spans="19:19" x14ac:dyDescent="0.2">
      <c r="S289" s="103"/>
    </row>
    <row r="290" spans="19:19" x14ac:dyDescent="0.2">
      <c r="S290" s="103"/>
    </row>
    <row r="291" spans="19:19" x14ac:dyDescent="0.2">
      <c r="S291" s="103"/>
    </row>
    <row r="292" spans="19:19" x14ac:dyDescent="0.2">
      <c r="S292" s="103"/>
    </row>
    <row r="293" spans="19:19" x14ac:dyDescent="0.2">
      <c r="S293" s="103"/>
    </row>
    <row r="294" spans="19:19" x14ac:dyDescent="0.2">
      <c r="S294" s="103"/>
    </row>
    <row r="295" spans="19:19" x14ac:dyDescent="0.2">
      <c r="S295" s="103"/>
    </row>
  </sheetData>
  <sortState ref="W8:X12">
    <sortCondition ref="W8"/>
  </sortState>
  <mergeCells count="4">
    <mergeCell ref="V6:W6"/>
    <mergeCell ref="B2:C2"/>
    <mergeCell ref="D2:E2"/>
    <mergeCell ref="J2:L2"/>
  </mergeCells>
  <printOptions horizontalCentered="1"/>
  <pageMargins left="0.75" right="0.75" top="1" bottom="1" header="0.5" footer="0.5"/>
  <pageSetup scale="44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H391"/>
  <sheetViews>
    <sheetView view="pageBreakPreview" zoomScale="70" zoomScaleNormal="100" zoomScaleSheetLayoutView="70" workbookViewId="0"/>
  </sheetViews>
  <sheetFormatPr defaultRowHeight="12.75" x14ac:dyDescent="0.2"/>
  <cols>
    <col min="1" max="1" width="15.140625" style="109" customWidth="1"/>
    <col min="2" max="2" width="4.42578125" style="21" bestFit="1" customWidth="1"/>
    <col min="3" max="3" width="15.140625" style="109" customWidth="1"/>
    <col min="4" max="4" width="4.42578125" style="21" bestFit="1" customWidth="1"/>
    <col min="5" max="5" width="15.42578125" style="109" customWidth="1"/>
    <col min="6" max="6" width="4.42578125" style="21" bestFit="1" customWidth="1"/>
    <col min="7" max="7" width="15.140625" style="109" customWidth="1"/>
    <col min="8" max="8" width="4.42578125" style="21" bestFit="1" customWidth="1"/>
    <col min="9" max="9" width="15.140625" style="109" customWidth="1"/>
    <col min="10" max="10" width="4.42578125" style="21" bestFit="1" customWidth="1"/>
    <col min="11" max="11" width="4.28515625" style="21" customWidth="1"/>
    <col min="12" max="12" width="15" style="21" customWidth="1"/>
    <col min="13" max="16" width="15" style="21" bestFit="1" customWidth="1"/>
    <col min="17" max="17" width="2.7109375" style="21" customWidth="1"/>
    <col min="18" max="18" width="4.5703125" style="21" customWidth="1"/>
    <col min="19" max="19" width="4.28515625" style="21" customWidth="1"/>
    <col min="20" max="20" width="4.42578125" style="21" customWidth="1"/>
    <col min="21" max="22" width="4.7109375" style="21" customWidth="1"/>
    <col min="23" max="23" width="3.85546875" style="21" customWidth="1"/>
    <col min="24" max="24" width="9.85546875" style="21" customWidth="1"/>
    <col min="25" max="25" width="4.140625" style="21" customWidth="1"/>
    <col min="26" max="26" width="10.5703125" style="21" bestFit="1" customWidth="1"/>
    <col min="27" max="27" width="13" style="21" customWidth="1"/>
    <col min="28" max="33" width="9.140625" style="21"/>
    <col min="34" max="16384" width="9.140625" style="17"/>
  </cols>
  <sheetData>
    <row r="1" spans="1:34" x14ac:dyDescent="0.2">
      <c r="I1" s="110"/>
      <c r="M1" s="111"/>
      <c r="S1" s="23" t="s">
        <v>26</v>
      </c>
      <c r="T1" s="150" t="str">
        <f>'Game Info'!C3</f>
        <v>13E000</v>
      </c>
      <c r="U1" s="150"/>
      <c r="V1" s="150"/>
      <c r="W1" s="150"/>
      <c r="X1" s="150"/>
    </row>
    <row r="2" spans="1:34" x14ac:dyDescent="0.2">
      <c r="I2" s="110"/>
      <c r="M2" s="111"/>
      <c r="S2" s="23" t="s">
        <v>27</v>
      </c>
      <c r="T2" s="150" t="str">
        <f>'Game Info'!C2</f>
        <v>Game Name</v>
      </c>
      <c r="U2" s="150"/>
      <c r="V2" s="150"/>
      <c r="W2" s="150"/>
      <c r="X2" s="150"/>
    </row>
    <row r="3" spans="1:34" s="18" customFormat="1" ht="21" customHeight="1" x14ac:dyDescent="0.2">
      <c r="A3" s="109"/>
      <c r="B3" s="21"/>
      <c r="C3" s="109"/>
      <c r="D3" s="21"/>
      <c r="E3" s="109"/>
      <c r="F3" s="21"/>
      <c r="G3" s="109"/>
      <c r="H3" s="21"/>
      <c r="I3" s="151" t="s">
        <v>246</v>
      </c>
      <c r="J3" s="151"/>
      <c r="K3" s="151"/>
      <c r="L3" s="151"/>
      <c r="M3" s="111"/>
      <c r="N3" s="23"/>
      <c r="O3" s="23"/>
      <c r="P3" s="21"/>
      <c r="Q3" s="146" t="str">
        <f>'Game Info'!C4</f>
        <v>All</v>
      </c>
      <c r="R3" s="146"/>
      <c r="S3" s="146"/>
      <c r="T3" s="146"/>
      <c r="U3" s="146"/>
      <c r="V3" s="146"/>
      <c r="W3" s="146"/>
      <c r="X3" s="146"/>
      <c r="Y3" s="6"/>
      <c r="Z3" s="21"/>
      <c r="AA3" s="23"/>
      <c r="AB3" s="21"/>
      <c r="AC3" s="21"/>
      <c r="AD3" s="21"/>
      <c r="AE3" s="21"/>
      <c r="AF3" s="21"/>
      <c r="AG3" s="21"/>
    </row>
    <row r="4" spans="1:34" s="18" customFormat="1" ht="21" customHeight="1" thickBot="1" x14ac:dyDescent="0.25">
      <c r="A4" s="109"/>
      <c r="B4" s="21"/>
      <c r="C4" s="109"/>
      <c r="D4" s="21"/>
      <c r="E4" s="109"/>
      <c r="F4" s="21"/>
      <c r="G4" s="109"/>
      <c r="H4" s="21"/>
      <c r="I4" s="110"/>
      <c r="J4" s="21"/>
      <c r="K4" s="21"/>
      <c r="L4" s="21"/>
      <c r="M4" s="111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1"/>
      <c r="AB4" s="80" t="s">
        <v>22</v>
      </c>
      <c r="AC4" s="80"/>
      <c r="AD4" s="80"/>
      <c r="AE4" s="21"/>
      <c r="AF4" s="21"/>
      <c r="AG4" s="19" t="s">
        <v>21</v>
      </c>
      <c r="AH4" s="20"/>
    </row>
    <row r="5" spans="1:34" s="21" customFormat="1" ht="29.25" customHeight="1" thickBot="1" x14ac:dyDescent="0.25">
      <c r="A5" s="70"/>
      <c r="B5" s="71"/>
      <c r="C5" s="71"/>
      <c r="D5" s="71"/>
      <c r="E5" s="71"/>
      <c r="F5" s="71"/>
      <c r="G5" s="71"/>
      <c r="H5" s="71"/>
      <c r="I5" s="71"/>
      <c r="J5" s="72"/>
      <c r="L5" s="81" t="s">
        <v>1</v>
      </c>
      <c r="M5" s="82"/>
      <c r="N5" s="82"/>
      <c r="O5" s="82"/>
      <c r="P5" s="83"/>
      <c r="Q5" s="22"/>
      <c r="R5" s="152" t="s">
        <v>2</v>
      </c>
      <c r="S5" s="153"/>
      <c r="T5" s="153"/>
      <c r="U5" s="153"/>
      <c r="V5" s="154"/>
      <c r="X5" s="28" t="s">
        <v>3</v>
      </c>
      <c r="Y5" s="80"/>
      <c r="Z5" s="80"/>
      <c r="AA5" s="80"/>
      <c r="AD5" s="149" t="s">
        <v>22</v>
      </c>
      <c r="AE5" s="149"/>
    </row>
    <row r="6" spans="1:34" ht="12.75" customHeight="1" x14ac:dyDescent="0.2">
      <c r="A6" s="103"/>
      <c r="B6" s="112">
        <v>0</v>
      </c>
      <c r="C6" s="103"/>
      <c r="D6" s="112">
        <v>0</v>
      </c>
      <c r="E6" s="103"/>
      <c r="F6" s="112">
        <v>0</v>
      </c>
      <c r="G6" s="103"/>
      <c r="H6" s="112">
        <v>0</v>
      </c>
      <c r="I6" s="103"/>
      <c r="J6" s="112">
        <v>0</v>
      </c>
      <c r="L6" s="113">
        <f>'Wins Combination'!A5</f>
        <v>0</v>
      </c>
      <c r="M6" s="113">
        <f>'Wins Combination'!B5</f>
        <v>0</v>
      </c>
      <c r="N6" s="113">
        <f>'Wins Combination'!C5</f>
        <v>0</v>
      </c>
      <c r="O6" s="113">
        <f>'Wins Combination'!D5</f>
        <v>0</v>
      </c>
      <c r="P6" s="113">
        <f>'Wins Combination'!E5</f>
        <v>0</v>
      </c>
      <c r="R6" s="114" t="e">
        <f t="shared" ref="R6" si="0">IF(L6="-", "ERROR", VLOOKUP(L6, $A$6:$B$200, 2, FALSE))</f>
        <v>#N/A</v>
      </c>
      <c r="S6" s="115" t="e">
        <f>IF(M6="-",VLOOKUP(VLOOKUP($L6,$Z$7:$AA$39,2,FALSE),C$6:D$200,2,FALSE),VLOOKUP(M6,C$6:D$200,2,FALSE))</f>
        <v>#N/A</v>
      </c>
      <c r="T6" s="114" t="e">
        <f>IF(N6="-",VLOOKUP(VLOOKUP($L6,$Z$7:$AA$39,2,FALSE),E$6:F$200,2,FALSE),VLOOKUP(N6,E$6:F$200,2,FALSE))</f>
        <v>#N/A</v>
      </c>
      <c r="U6" s="114" t="e">
        <f>IF(O6="-",VLOOKUP(VLOOKUP($L6,$Z$7:$AA$39,2,FALSE),G$6:H$200,2,FALSE),VLOOKUP(O6,G$6:H$200,2,FALSE))</f>
        <v>#N/A</v>
      </c>
      <c r="V6" s="114" t="e">
        <f>IF(P6="-",VLOOKUP(VLOOKUP($L6,$Z$7:$AA$39,2,FALSE),I$6:J$200,2,FALSE),VLOOKUP(P6,I$6:J$200,2,FALSE))</f>
        <v>#N/A</v>
      </c>
      <c r="W6" s="135"/>
      <c r="X6" s="136"/>
      <c r="Y6" s="135"/>
      <c r="Z6" s="67" t="s">
        <v>17</v>
      </c>
      <c r="AA6" s="67" t="s">
        <v>18</v>
      </c>
      <c r="AD6" s="23" t="str">
        <f>'Wins Combination'!R5</f>
        <v>lookup vector</v>
      </c>
      <c r="AE6" s="23" t="str">
        <f>'Wins Combination'!S5</f>
        <v>lookup value</v>
      </c>
    </row>
    <row r="7" spans="1:34" x14ac:dyDescent="0.2">
      <c r="A7" s="103"/>
      <c r="B7" s="112">
        <v>1</v>
      </c>
      <c r="C7" s="103"/>
      <c r="D7" s="112">
        <v>1</v>
      </c>
      <c r="E7" s="103"/>
      <c r="F7" s="112">
        <v>1</v>
      </c>
      <c r="G7" s="103"/>
      <c r="H7" s="112">
        <v>1</v>
      </c>
      <c r="I7" s="103"/>
      <c r="J7" s="112">
        <v>1</v>
      </c>
      <c r="L7" s="113">
        <f>'Wins Combination'!A6</f>
        <v>0</v>
      </c>
      <c r="M7" s="113">
        <f>'Wins Combination'!B6</f>
        <v>0</v>
      </c>
      <c r="N7" s="113">
        <f>'Wins Combination'!C6</f>
        <v>0</v>
      </c>
      <c r="O7" s="113">
        <f>'Wins Combination'!D6</f>
        <v>0</v>
      </c>
      <c r="P7" s="113">
        <f>'Wins Combination'!E6</f>
        <v>0</v>
      </c>
      <c r="R7" s="114" t="e">
        <f t="shared" ref="R7:R70" si="1">IF(L7="-", "ERROR", VLOOKUP(L7, $A$6:$B$200, 2, FALSE))</f>
        <v>#N/A</v>
      </c>
      <c r="S7" s="115" t="e">
        <f t="shared" ref="S7:S70" si="2">IF(M7="-",VLOOKUP(VLOOKUP($L7,$Z$7:$AA$39,2,FALSE),C$6:D$200,2,FALSE),VLOOKUP(M7,C$6:D$200,2,FALSE))</f>
        <v>#N/A</v>
      </c>
      <c r="T7" s="114" t="e">
        <f t="shared" ref="T7:T70" si="3">IF(N7="-",VLOOKUP(VLOOKUP($L7,$Z$7:$AA$39,2,FALSE),E$6:F$200,2,FALSE),VLOOKUP(N7,E$6:F$200,2,FALSE))</f>
        <v>#N/A</v>
      </c>
      <c r="U7" s="114" t="e">
        <f t="shared" ref="U7:U70" si="4">IF(O7="-",VLOOKUP(VLOOKUP($L7,$Z$7:$AA$39,2,FALSE),G$6:H$200,2,FALSE),VLOOKUP(O7,G$6:H$200,2,FALSE))</f>
        <v>#N/A</v>
      </c>
      <c r="V7" s="114" t="e">
        <f t="shared" ref="V7:V70" si="5">IF(P7="-",VLOOKUP(VLOOKUP($L7,$Z$7:$AA$39,2,FALSE),I$6:J$200,2,FALSE),VLOOKUP(P7,I$6:J$200,2,FALSE))</f>
        <v>#N/A</v>
      </c>
      <c r="W7" s="135"/>
      <c r="X7" s="136"/>
      <c r="Y7" s="135"/>
      <c r="Z7" s="5" t="str">
        <f>'Wins Combination'!R6</f>
        <v>A</v>
      </c>
      <c r="AA7" s="5">
        <f>'Wins Combination'!S6</f>
        <v>0</v>
      </c>
      <c r="AD7" s="5" t="str">
        <f>'Wins Combination'!T6</f>
        <v>A</v>
      </c>
      <c r="AE7" s="5">
        <f>'Wins Combination'!U6</f>
        <v>0</v>
      </c>
    </row>
    <row r="8" spans="1:34" x14ac:dyDescent="0.2">
      <c r="A8" s="103"/>
      <c r="B8" s="112">
        <v>2</v>
      </c>
      <c r="C8" s="103"/>
      <c r="D8" s="112">
        <v>2</v>
      </c>
      <c r="E8" s="103"/>
      <c r="F8" s="112">
        <v>2</v>
      </c>
      <c r="G8" s="103"/>
      <c r="H8" s="112">
        <v>2</v>
      </c>
      <c r="I8" s="103"/>
      <c r="J8" s="112">
        <v>2</v>
      </c>
      <c r="L8" s="113">
        <f>'Wins Combination'!A7</f>
        <v>0</v>
      </c>
      <c r="M8" s="113">
        <f>'Wins Combination'!B7</f>
        <v>0</v>
      </c>
      <c r="N8" s="113">
        <f>'Wins Combination'!C7</f>
        <v>0</v>
      </c>
      <c r="O8" s="113">
        <f>'Wins Combination'!D7</f>
        <v>0</v>
      </c>
      <c r="P8" s="113">
        <f>'Wins Combination'!E7</f>
        <v>0</v>
      </c>
      <c r="R8" s="114" t="e">
        <f t="shared" si="1"/>
        <v>#N/A</v>
      </c>
      <c r="S8" s="115" t="e">
        <f t="shared" si="2"/>
        <v>#N/A</v>
      </c>
      <c r="T8" s="114" t="e">
        <f t="shared" si="3"/>
        <v>#N/A</v>
      </c>
      <c r="U8" s="114" t="e">
        <f t="shared" si="4"/>
        <v>#N/A</v>
      </c>
      <c r="V8" s="114" t="e">
        <f t="shared" si="5"/>
        <v>#N/A</v>
      </c>
      <c r="W8" s="135"/>
      <c r="X8" s="136"/>
      <c r="Y8" s="135"/>
      <c r="Z8" s="5" t="str">
        <f>'Wins Combination'!R7</f>
        <v>P1</v>
      </c>
      <c r="AA8" s="5">
        <f>'Wins Combination'!S7</f>
        <v>0</v>
      </c>
      <c r="AD8" s="5" t="str">
        <f>'Wins Combination'!T7</f>
        <v>P1</v>
      </c>
      <c r="AE8" s="5">
        <f>'Wins Combination'!U7</f>
        <v>0</v>
      </c>
    </row>
    <row r="9" spans="1:34" x14ac:dyDescent="0.2">
      <c r="A9" s="103"/>
      <c r="B9" s="112">
        <v>3</v>
      </c>
      <c r="C9" s="103"/>
      <c r="D9" s="112">
        <v>3</v>
      </c>
      <c r="E9" s="103"/>
      <c r="F9" s="112">
        <v>3</v>
      </c>
      <c r="G9" s="103"/>
      <c r="H9" s="112">
        <v>3</v>
      </c>
      <c r="I9" s="103"/>
      <c r="J9" s="112">
        <v>3</v>
      </c>
      <c r="L9" s="113">
        <f>'Wins Combination'!A8</f>
        <v>0</v>
      </c>
      <c r="M9" s="113">
        <f>'Wins Combination'!B8</f>
        <v>0</v>
      </c>
      <c r="N9" s="113">
        <f>'Wins Combination'!C8</f>
        <v>0</v>
      </c>
      <c r="O9" s="113">
        <f>'Wins Combination'!D8</f>
        <v>0</v>
      </c>
      <c r="P9" s="113">
        <f>'Wins Combination'!E8</f>
        <v>0</v>
      </c>
      <c r="R9" s="114" t="e">
        <f t="shared" si="1"/>
        <v>#N/A</v>
      </c>
      <c r="S9" s="115" t="e">
        <f t="shared" si="2"/>
        <v>#N/A</v>
      </c>
      <c r="T9" s="114" t="e">
        <f t="shared" si="3"/>
        <v>#N/A</v>
      </c>
      <c r="U9" s="114" t="e">
        <f t="shared" si="4"/>
        <v>#N/A</v>
      </c>
      <c r="V9" s="114" t="e">
        <f t="shared" si="5"/>
        <v>#N/A</v>
      </c>
      <c r="W9" s="135"/>
      <c r="X9" s="136"/>
      <c r="Y9" s="135"/>
      <c r="Z9" s="5" t="str">
        <f>'Wins Combination'!R8</f>
        <v>P2</v>
      </c>
      <c r="AA9" s="5">
        <f>'Wins Combination'!S8</f>
        <v>0</v>
      </c>
      <c r="AD9" s="5" t="str">
        <f>'Wins Combination'!T8</f>
        <v>P2</v>
      </c>
      <c r="AE9" s="5">
        <f>'Wins Combination'!U8</f>
        <v>0</v>
      </c>
    </row>
    <row r="10" spans="1:34" x14ac:dyDescent="0.2">
      <c r="A10" s="103"/>
      <c r="B10" s="112">
        <v>4</v>
      </c>
      <c r="C10" s="103"/>
      <c r="D10" s="112">
        <v>4</v>
      </c>
      <c r="E10" s="103"/>
      <c r="F10" s="112">
        <v>4</v>
      </c>
      <c r="G10" s="103"/>
      <c r="H10" s="112">
        <v>4</v>
      </c>
      <c r="I10" s="103"/>
      <c r="J10" s="112">
        <v>4</v>
      </c>
      <c r="L10" s="113">
        <f>'Wins Combination'!A9</f>
        <v>0</v>
      </c>
      <c r="M10" s="113">
        <f>'Wins Combination'!B9</f>
        <v>0</v>
      </c>
      <c r="N10" s="113">
        <f>'Wins Combination'!C9</f>
        <v>0</v>
      </c>
      <c r="O10" s="113">
        <f>'Wins Combination'!D9</f>
        <v>0</v>
      </c>
      <c r="P10" s="113">
        <f>'Wins Combination'!E9</f>
        <v>0</v>
      </c>
      <c r="Q10" s="116"/>
      <c r="R10" s="114" t="e">
        <f t="shared" si="1"/>
        <v>#N/A</v>
      </c>
      <c r="S10" s="115" t="e">
        <f t="shared" si="2"/>
        <v>#N/A</v>
      </c>
      <c r="T10" s="114" t="e">
        <f t="shared" si="3"/>
        <v>#N/A</v>
      </c>
      <c r="U10" s="114" t="e">
        <f t="shared" si="4"/>
        <v>#N/A</v>
      </c>
      <c r="V10" s="114" t="e">
        <f t="shared" si="5"/>
        <v>#N/A</v>
      </c>
      <c r="W10" s="137"/>
      <c r="X10" s="136"/>
      <c r="Y10" s="135"/>
      <c r="Z10" s="22" t="str">
        <f>'Wins Combination'!R9</f>
        <v>J</v>
      </c>
      <c r="AA10" s="5">
        <f>'Wins Combination'!S9</f>
        <v>0</v>
      </c>
      <c r="AD10" s="22" t="str">
        <f>'Wins Combination'!T9</f>
        <v>J</v>
      </c>
      <c r="AE10" s="5">
        <f>'Wins Combination'!U9</f>
        <v>0</v>
      </c>
    </row>
    <row r="11" spans="1:34" x14ac:dyDescent="0.2">
      <c r="A11" s="103"/>
      <c r="B11" s="112">
        <v>5</v>
      </c>
      <c r="C11" s="103"/>
      <c r="D11" s="112">
        <v>5</v>
      </c>
      <c r="E11" s="103"/>
      <c r="F11" s="112">
        <v>5</v>
      </c>
      <c r="G11" s="103"/>
      <c r="H11" s="112">
        <v>5</v>
      </c>
      <c r="I11" s="103"/>
      <c r="J11" s="112">
        <v>5</v>
      </c>
      <c r="L11" s="113">
        <f>'Wins Combination'!A10</f>
        <v>0</v>
      </c>
      <c r="M11" s="113">
        <f>'Wins Combination'!B10</f>
        <v>0</v>
      </c>
      <c r="N11" s="113">
        <f>'Wins Combination'!C10</f>
        <v>0</v>
      </c>
      <c r="O11" s="113">
        <f>'Wins Combination'!D10</f>
        <v>0</v>
      </c>
      <c r="P11" s="113">
        <f>'Wins Combination'!E10</f>
        <v>0</v>
      </c>
      <c r="Q11" s="116"/>
      <c r="R11" s="114" t="e">
        <f t="shared" si="1"/>
        <v>#N/A</v>
      </c>
      <c r="S11" s="115" t="e">
        <f t="shared" si="2"/>
        <v>#N/A</v>
      </c>
      <c r="T11" s="114" t="e">
        <f t="shared" si="3"/>
        <v>#N/A</v>
      </c>
      <c r="U11" s="114" t="e">
        <f t="shared" si="4"/>
        <v>#N/A</v>
      </c>
      <c r="V11" s="114" t="e">
        <f t="shared" si="5"/>
        <v>#N/A</v>
      </c>
      <c r="W11" s="137"/>
      <c r="X11" s="136"/>
      <c r="Y11" s="135"/>
      <c r="Z11" s="5" t="str">
        <f>'Wins Combination'!R10</f>
        <v>P4</v>
      </c>
      <c r="AA11" s="5">
        <f>'Wins Combination'!S10</f>
        <v>0</v>
      </c>
      <c r="AD11" s="5" t="str">
        <f>'Wins Combination'!T10</f>
        <v>P4</v>
      </c>
      <c r="AE11" s="5">
        <f>'Wins Combination'!U10</f>
        <v>0</v>
      </c>
    </row>
    <row r="12" spans="1:34" x14ac:dyDescent="0.2">
      <c r="A12" s="103"/>
      <c r="B12" s="112">
        <v>6</v>
      </c>
      <c r="C12" s="103"/>
      <c r="D12" s="112">
        <v>6</v>
      </c>
      <c r="E12" s="103"/>
      <c r="F12" s="112">
        <v>6</v>
      </c>
      <c r="G12" s="103"/>
      <c r="H12" s="112">
        <v>6</v>
      </c>
      <c r="I12" s="103"/>
      <c r="J12" s="112">
        <v>6</v>
      </c>
      <c r="L12" s="113">
        <f>'Wins Combination'!A11</f>
        <v>0</v>
      </c>
      <c r="M12" s="113">
        <f>'Wins Combination'!B11</f>
        <v>0</v>
      </c>
      <c r="N12" s="113">
        <f>'Wins Combination'!C11</f>
        <v>0</v>
      </c>
      <c r="O12" s="113">
        <f>'Wins Combination'!D11</f>
        <v>0</v>
      </c>
      <c r="P12" s="113">
        <f>'Wins Combination'!E11</f>
        <v>0</v>
      </c>
      <c r="Q12" s="116"/>
      <c r="R12" s="114" t="e">
        <f t="shared" si="1"/>
        <v>#N/A</v>
      </c>
      <c r="S12" s="115" t="e">
        <f t="shared" si="2"/>
        <v>#N/A</v>
      </c>
      <c r="T12" s="114" t="e">
        <f t="shared" si="3"/>
        <v>#N/A</v>
      </c>
      <c r="U12" s="114" t="e">
        <f t="shared" si="4"/>
        <v>#N/A</v>
      </c>
      <c r="V12" s="114" t="e">
        <f t="shared" si="5"/>
        <v>#N/A</v>
      </c>
      <c r="W12" s="137"/>
      <c r="X12" s="136"/>
      <c r="Y12" s="135"/>
      <c r="Z12" s="5" t="str">
        <f>'Wins Combination'!R11</f>
        <v>SCAT2</v>
      </c>
      <c r="AA12" s="5">
        <f>'Wins Combination'!S11</f>
        <v>0</v>
      </c>
      <c r="AD12" s="5" t="str">
        <f>'Wins Combination'!T11</f>
        <v>SCAT2</v>
      </c>
      <c r="AE12" s="5">
        <f>'Wins Combination'!U11</f>
        <v>0</v>
      </c>
    </row>
    <row r="13" spans="1:34" x14ac:dyDescent="0.2">
      <c r="A13" s="103"/>
      <c r="B13" s="112">
        <v>7</v>
      </c>
      <c r="C13" s="103"/>
      <c r="D13" s="112">
        <v>7</v>
      </c>
      <c r="E13" s="103"/>
      <c r="F13" s="112">
        <v>7</v>
      </c>
      <c r="G13" s="103"/>
      <c r="H13" s="112">
        <v>7</v>
      </c>
      <c r="I13" s="103"/>
      <c r="J13" s="112">
        <v>7</v>
      </c>
      <c r="L13" s="113">
        <f>'Wins Combination'!A12</f>
        <v>0</v>
      </c>
      <c r="M13" s="113">
        <f>'Wins Combination'!B12</f>
        <v>0</v>
      </c>
      <c r="N13" s="113">
        <f>'Wins Combination'!C12</f>
        <v>0</v>
      </c>
      <c r="O13" s="113">
        <f>'Wins Combination'!D12</f>
        <v>0</v>
      </c>
      <c r="P13" s="113">
        <f>'Wins Combination'!E12</f>
        <v>0</v>
      </c>
      <c r="Q13" s="116"/>
      <c r="R13" s="114" t="e">
        <f t="shared" si="1"/>
        <v>#N/A</v>
      </c>
      <c r="S13" s="115" t="e">
        <f t="shared" si="2"/>
        <v>#N/A</v>
      </c>
      <c r="T13" s="114" t="e">
        <f t="shared" si="3"/>
        <v>#N/A</v>
      </c>
      <c r="U13" s="114" t="e">
        <f t="shared" si="4"/>
        <v>#N/A</v>
      </c>
      <c r="V13" s="114" t="e">
        <f t="shared" si="5"/>
        <v>#N/A</v>
      </c>
      <c r="W13" s="137"/>
      <c r="X13" s="136"/>
      <c r="Y13" s="135"/>
      <c r="Z13" s="60" t="str">
        <f>'Wins Combination'!R12</f>
        <v>K</v>
      </c>
      <c r="AA13" s="5">
        <f>'Wins Combination'!S12</f>
        <v>0</v>
      </c>
      <c r="AD13" s="60" t="str">
        <f>'Wins Combination'!T12</f>
        <v>K</v>
      </c>
      <c r="AE13" s="5">
        <f>'Wins Combination'!U12</f>
        <v>0</v>
      </c>
    </row>
    <row r="14" spans="1:34" x14ac:dyDescent="0.2">
      <c r="A14" s="103"/>
      <c r="B14" s="112">
        <v>8</v>
      </c>
      <c r="C14" s="103"/>
      <c r="D14" s="112">
        <v>8</v>
      </c>
      <c r="E14" s="103"/>
      <c r="F14" s="112">
        <v>8</v>
      </c>
      <c r="G14" s="103"/>
      <c r="H14" s="112">
        <v>8</v>
      </c>
      <c r="I14" s="103"/>
      <c r="J14" s="112">
        <v>8</v>
      </c>
      <c r="L14" s="9">
        <f>'Wins Combination'!A13</f>
        <v>0</v>
      </c>
      <c r="M14" s="9">
        <f>'Wins Combination'!B13</f>
        <v>0</v>
      </c>
      <c r="N14" s="9">
        <f>'Wins Combination'!C13</f>
        <v>0</v>
      </c>
      <c r="O14" s="9">
        <f>'Wins Combination'!D13</f>
        <v>0</v>
      </c>
      <c r="P14" s="9">
        <f>'Wins Combination'!E13</f>
        <v>0</v>
      </c>
      <c r="Q14" s="116"/>
      <c r="R14" s="114" t="e">
        <f t="shared" si="1"/>
        <v>#N/A</v>
      </c>
      <c r="S14" s="115" t="e">
        <f t="shared" si="2"/>
        <v>#N/A</v>
      </c>
      <c r="T14" s="114" t="e">
        <f t="shared" si="3"/>
        <v>#N/A</v>
      </c>
      <c r="U14" s="114" t="e">
        <f t="shared" si="4"/>
        <v>#N/A</v>
      </c>
      <c r="V14" s="114" t="e">
        <f t="shared" si="5"/>
        <v>#N/A</v>
      </c>
      <c r="W14" s="137"/>
      <c r="X14" s="138"/>
      <c r="Y14" s="135"/>
      <c r="Z14" s="5" t="str">
        <f>'Wins Combination'!R13</f>
        <v>P3</v>
      </c>
      <c r="AA14" s="5">
        <f>'Wins Combination'!S13</f>
        <v>0</v>
      </c>
      <c r="AD14" s="5" t="str">
        <f>'Wins Combination'!T13</f>
        <v>P3</v>
      </c>
      <c r="AE14" s="5">
        <f>'Wins Combination'!U13</f>
        <v>0</v>
      </c>
    </row>
    <row r="15" spans="1:34" x14ac:dyDescent="0.2">
      <c r="A15" s="103"/>
      <c r="B15" s="112">
        <v>9</v>
      </c>
      <c r="C15" s="103"/>
      <c r="D15" s="112">
        <v>9</v>
      </c>
      <c r="E15" s="103"/>
      <c r="F15" s="112">
        <v>9</v>
      </c>
      <c r="G15" s="103"/>
      <c r="H15" s="112">
        <v>9</v>
      </c>
      <c r="I15" s="103"/>
      <c r="J15" s="112">
        <v>9</v>
      </c>
      <c r="L15" s="9">
        <f>'Wins Combination'!A14</f>
        <v>0</v>
      </c>
      <c r="M15" s="9">
        <f>'Wins Combination'!B14</f>
        <v>0</v>
      </c>
      <c r="N15" s="9">
        <f>'Wins Combination'!C14</f>
        <v>0</v>
      </c>
      <c r="O15" s="9">
        <f>'Wins Combination'!D14</f>
        <v>0</v>
      </c>
      <c r="P15" s="126">
        <f>'Wins Combination'!E14</f>
        <v>0</v>
      </c>
      <c r="Q15" s="116"/>
      <c r="R15" s="114" t="e">
        <f t="shared" si="1"/>
        <v>#N/A</v>
      </c>
      <c r="S15" s="115" t="e">
        <f t="shared" si="2"/>
        <v>#N/A</v>
      </c>
      <c r="T15" s="114" t="e">
        <f t="shared" si="3"/>
        <v>#N/A</v>
      </c>
      <c r="U15" s="114" t="e">
        <f t="shared" si="4"/>
        <v>#N/A</v>
      </c>
      <c r="V15" s="114" t="e">
        <f t="shared" si="5"/>
        <v>#N/A</v>
      </c>
      <c r="W15" s="137"/>
      <c r="X15" s="138"/>
      <c r="Y15" s="135"/>
      <c r="Z15" s="60" t="str">
        <f>'Wins Combination'!R14</f>
        <v>SCAT1</v>
      </c>
      <c r="AA15" s="5">
        <f>'Wins Combination'!S14</f>
        <v>0</v>
      </c>
      <c r="AD15" s="60" t="str">
        <f>'Wins Combination'!T14</f>
        <v>SCAT1</v>
      </c>
      <c r="AE15" s="5">
        <f>'Wins Combination'!U14</f>
        <v>0</v>
      </c>
    </row>
    <row r="16" spans="1:34" x14ac:dyDescent="0.2">
      <c r="A16" s="103"/>
      <c r="B16" s="112">
        <v>10</v>
      </c>
      <c r="C16" s="103"/>
      <c r="D16" s="112">
        <v>10</v>
      </c>
      <c r="E16" s="103"/>
      <c r="F16" s="112">
        <v>10</v>
      </c>
      <c r="G16" s="103"/>
      <c r="H16" s="112">
        <v>10</v>
      </c>
      <c r="I16" s="103"/>
      <c r="J16" s="112">
        <v>10</v>
      </c>
      <c r="L16" s="9">
        <f>'Wins Combination'!A15</f>
        <v>0</v>
      </c>
      <c r="M16" s="9">
        <f>'Wins Combination'!B15</f>
        <v>0</v>
      </c>
      <c r="N16" s="9">
        <f>'Wins Combination'!C15</f>
        <v>0</v>
      </c>
      <c r="O16" s="126">
        <f>'Wins Combination'!D15</f>
        <v>0</v>
      </c>
      <c r="P16" s="126">
        <f>'Wins Combination'!E15</f>
        <v>0</v>
      </c>
      <c r="Q16" s="116"/>
      <c r="R16" s="114" t="e">
        <f t="shared" si="1"/>
        <v>#N/A</v>
      </c>
      <c r="S16" s="115" t="e">
        <f t="shared" si="2"/>
        <v>#N/A</v>
      </c>
      <c r="T16" s="114" t="e">
        <f t="shared" si="3"/>
        <v>#N/A</v>
      </c>
      <c r="U16" s="114" t="e">
        <f t="shared" si="4"/>
        <v>#N/A</v>
      </c>
      <c r="V16" s="114" t="e">
        <f t="shared" si="5"/>
        <v>#N/A</v>
      </c>
      <c r="W16" s="137"/>
      <c r="X16" s="138"/>
      <c r="Y16" s="135"/>
      <c r="Z16" s="5" t="str">
        <f>'Wins Combination'!R15</f>
        <v>Q</v>
      </c>
      <c r="AA16" s="5">
        <f>'Wins Combination'!S15</f>
        <v>0</v>
      </c>
      <c r="AD16" s="5" t="str">
        <f>'Wins Combination'!T15</f>
        <v>Q</v>
      </c>
      <c r="AE16" s="5">
        <f>'Wins Combination'!U15</f>
        <v>0</v>
      </c>
    </row>
    <row r="17" spans="1:31" x14ac:dyDescent="0.2">
      <c r="A17" s="103"/>
      <c r="B17" s="112">
        <v>11</v>
      </c>
      <c r="C17" s="103"/>
      <c r="D17" s="112">
        <v>11</v>
      </c>
      <c r="E17" s="103"/>
      <c r="F17" s="112">
        <v>11</v>
      </c>
      <c r="G17" s="103"/>
      <c r="H17" s="112">
        <v>11</v>
      </c>
      <c r="I17" s="103"/>
      <c r="J17" s="112">
        <v>11</v>
      </c>
      <c r="L17" s="9">
        <f>'Wins Combination'!A16</f>
        <v>0</v>
      </c>
      <c r="M17" s="9">
        <f>'Wins Combination'!B16</f>
        <v>0</v>
      </c>
      <c r="N17" s="9">
        <f>'Wins Combination'!C16</f>
        <v>0</v>
      </c>
      <c r="O17" s="9">
        <f>'Wins Combination'!D16</f>
        <v>0</v>
      </c>
      <c r="P17" s="9">
        <f>'Wins Combination'!E16</f>
        <v>0</v>
      </c>
      <c r="Q17" s="116"/>
      <c r="R17" s="114" t="e">
        <f t="shared" si="1"/>
        <v>#N/A</v>
      </c>
      <c r="S17" s="115" t="e">
        <f t="shared" si="2"/>
        <v>#N/A</v>
      </c>
      <c r="T17" s="114" t="e">
        <f t="shared" si="3"/>
        <v>#N/A</v>
      </c>
      <c r="U17" s="114" t="e">
        <f t="shared" si="4"/>
        <v>#N/A</v>
      </c>
      <c r="V17" s="114" t="e">
        <f t="shared" si="5"/>
        <v>#N/A</v>
      </c>
      <c r="W17" s="137"/>
      <c r="X17" s="138"/>
      <c r="Y17" s="135"/>
      <c r="Z17" s="60" t="str">
        <f>'Wins Combination'!R16</f>
        <v>SYM1</v>
      </c>
      <c r="AA17" s="5">
        <f>'Wins Combination'!S16</f>
        <v>0</v>
      </c>
      <c r="AD17" s="60" t="str">
        <f>'Wins Combination'!T16</f>
        <v>SYM1</v>
      </c>
      <c r="AE17" s="5">
        <f>'Wins Combination'!U16</f>
        <v>0</v>
      </c>
    </row>
    <row r="18" spans="1:31" x14ac:dyDescent="0.2">
      <c r="A18" s="103"/>
      <c r="B18" s="112">
        <v>12</v>
      </c>
      <c r="C18" s="103"/>
      <c r="D18" s="112">
        <v>12</v>
      </c>
      <c r="E18" s="103"/>
      <c r="F18" s="112">
        <v>12</v>
      </c>
      <c r="G18" s="103"/>
      <c r="H18" s="112">
        <v>12</v>
      </c>
      <c r="I18" s="103"/>
      <c r="J18" s="112">
        <v>12</v>
      </c>
      <c r="L18" s="9">
        <f>'Wins Combination'!A17</f>
        <v>0</v>
      </c>
      <c r="M18" s="9">
        <f>'Wins Combination'!B17</f>
        <v>0</v>
      </c>
      <c r="N18" s="9">
        <f>'Wins Combination'!C17</f>
        <v>0</v>
      </c>
      <c r="O18" s="9">
        <f>'Wins Combination'!D17</f>
        <v>0</v>
      </c>
      <c r="P18" s="126">
        <f>'Wins Combination'!E17</f>
        <v>0</v>
      </c>
      <c r="Q18" s="116"/>
      <c r="R18" s="114" t="e">
        <f t="shared" si="1"/>
        <v>#N/A</v>
      </c>
      <c r="S18" s="115" t="e">
        <f t="shared" si="2"/>
        <v>#N/A</v>
      </c>
      <c r="T18" s="114" t="e">
        <f t="shared" si="3"/>
        <v>#N/A</v>
      </c>
      <c r="U18" s="114" t="e">
        <f t="shared" si="4"/>
        <v>#N/A</v>
      </c>
      <c r="V18" s="114" t="e">
        <f t="shared" si="5"/>
        <v>#N/A</v>
      </c>
      <c r="W18" s="137"/>
      <c r="X18" s="138"/>
      <c r="Y18" s="135"/>
      <c r="Z18" s="22" t="str">
        <f>'Wins Combination'!R17</f>
        <v>SYM2</v>
      </c>
      <c r="AA18" s="5">
        <f>'Wins Combination'!S17</f>
        <v>0</v>
      </c>
      <c r="AD18" s="22" t="str">
        <f>'Wins Combination'!T17</f>
        <v>SYM2</v>
      </c>
      <c r="AE18" s="5">
        <f>'Wins Combination'!U17</f>
        <v>0</v>
      </c>
    </row>
    <row r="19" spans="1:31" x14ac:dyDescent="0.2">
      <c r="A19" s="103"/>
      <c r="B19" s="112">
        <v>13</v>
      </c>
      <c r="C19" s="103"/>
      <c r="D19" s="112">
        <v>13</v>
      </c>
      <c r="E19" s="103"/>
      <c r="F19" s="112">
        <v>13</v>
      </c>
      <c r="G19" s="103"/>
      <c r="H19" s="112">
        <v>13</v>
      </c>
      <c r="I19" s="103"/>
      <c r="J19" s="112">
        <v>13</v>
      </c>
      <c r="L19" s="9">
        <f>'Wins Combination'!A18</f>
        <v>0</v>
      </c>
      <c r="M19" s="9">
        <f>'Wins Combination'!B18</f>
        <v>0</v>
      </c>
      <c r="N19" s="9">
        <f>'Wins Combination'!C18</f>
        <v>0</v>
      </c>
      <c r="O19" s="126">
        <f>'Wins Combination'!D18</f>
        <v>0</v>
      </c>
      <c r="P19" s="126">
        <f>'Wins Combination'!E18</f>
        <v>0</v>
      </c>
      <c r="Q19" s="116"/>
      <c r="R19" s="114" t="e">
        <f t="shared" si="1"/>
        <v>#N/A</v>
      </c>
      <c r="S19" s="115" t="e">
        <f t="shared" si="2"/>
        <v>#N/A</v>
      </c>
      <c r="T19" s="114" t="e">
        <f t="shared" si="3"/>
        <v>#N/A</v>
      </c>
      <c r="U19" s="114" t="e">
        <f t="shared" si="4"/>
        <v>#N/A</v>
      </c>
      <c r="V19" s="114" t="e">
        <f t="shared" si="5"/>
        <v>#N/A</v>
      </c>
      <c r="W19" s="137"/>
      <c r="X19" s="138"/>
      <c r="Y19" s="135"/>
      <c r="Z19" s="5" t="str">
        <f>'Wins Combination'!R18</f>
        <v>TEN</v>
      </c>
      <c r="AA19" s="5">
        <f>'Wins Combination'!S18</f>
        <v>0</v>
      </c>
      <c r="AD19" s="5" t="str">
        <f>'Wins Combination'!T18</f>
        <v>TEN</v>
      </c>
      <c r="AE19" s="5">
        <f>'Wins Combination'!U18</f>
        <v>0</v>
      </c>
    </row>
    <row r="20" spans="1:31" x14ac:dyDescent="0.2">
      <c r="A20" s="103"/>
      <c r="B20" s="112">
        <v>14</v>
      </c>
      <c r="C20" s="103"/>
      <c r="D20" s="112">
        <v>14</v>
      </c>
      <c r="E20" s="103"/>
      <c r="F20" s="112">
        <v>14</v>
      </c>
      <c r="G20" s="103"/>
      <c r="H20" s="112">
        <v>14</v>
      </c>
      <c r="I20" s="103"/>
      <c r="J20" s="112">
        <v>14</v>
      </c>
      <c r="L20" s="9">
        <f>'Wins Combination'!A19</f>
        <v>0</v>
      </c>
      <c r="M20" s="9">
        <f>'Wins Combination'!B19</f>
        <v>0</v>
      </c>
      <c r="N20" s="9">
        <f>'Wins Combination'!C19</f>
        <v>0</v>
      </c>
      <c r="O20" s="9">
        <f>'Wins Combination'!D19</f>
        <v>0</v>
      </c>
      <c r="P20" s="9">
        <f>'Wins Combination'!E19</f>
        <v>0</v>
      </c>
      <c r="Q20" s="116"/>
      <c r="R20" s="114" t="e">
        <f t="shared" si="1"/>
        <v>#N/A</v>
      </c>
      <c r="S20" s="115" t="e">
        <f t="shared" si="2"/>
        <v>#N/A</v>
      </c>
      <c r="T20" s="114" t="e">
        <f t="shared" si="3"/>
        <v>#N/A</v>
      </c>
      <c r="U20" s="114" t="e">
        <f t="shared" si="4"/>
        <v>#N/A</v>
      </c>
      <c r="V20" s="114" t="e">
        <f t="shared" si="5"/>
        <v>#N/A</v>
      </c>
      <c r="W20" s="137"/>
      <c r="X20" s="138"/>
      <c r="Y20" s="135"/>
      <c r="Z20" s="5">
        <f>'Wins Combination'!R19</f>
        <v>0</v>
      </c>
      <c r="AA20" s="5">
        <f>'Wins Combination'!S19</f>
        <v>0</v>
      </c>
      <c r="AD20" s="5">
        <f>'Wins Combination'!T19</f>
        <v>0</v>
      </c>
      <c r="AE20" s="5">
        <f>'Wins Combination'!U19</f>
        <v>0</v>
      </c>
    </row>
    <row r="21" spans="1:31" x14ac:dyDescent="0.2">
      <c r="A21" s="103"/>
      <c r="B21" s="112">
        <v>15</v>
      </c>
      <c r="C21" s="103"/>
      <c r="D21" s="112">
        <v>15</v>
      </c>
      <c r="E21" s="103"/>
      <c r="F21" s="112">
        <v>15</v>
      </c>
      <c r="G21" s="103"/>
      <c r="H21" s="112">
        <v>15</v>
      </c>
      <c r="I21" s="103"/>
      <c r="J21" s="112">
        <v>15</v>
      </c>
      <c r="L21" s="9">
        <f>'Wins Combination'!A20</f>
        <v>0</v>
      </c>
      <c r="M21" s="9">
        <f>'Wins Combination'!B20</f>
        <v>0</v>
      </c>
      <c r="N21" s="9">
        <f>'Wins Combination'!C20</f>
        <v>0</v>
      </c>
      <c r="O21" s="9">
        <f>'Wins Combination'!D20</f>
        <v>0</v>
      </c>
      <c r="P21" s="126">
        <f>'Wins Combination'!E20</f>
        <v>0</v>
      </c>
      <c r="Q21" s="116"/>
      <c r="R21" s="114" t="e">
        <f t="shared" si="1"/>
        <v>#N/A</v>
      </c>
      <c r="S21" s="115" t="e">
        <f t="shared" si="2"/>
        <v>#N/A</v>
      </c>
      <c r="T21" s="114" t="e">
        <f t="shared" si="3"/>
        <v>#N/A</v>
      </c>
      <c r="U21" s="114" t="e">
        <f t="shared" si="4"/>
        <v>#N/A</v>
      </c>
      <c r="V21" s="114" t="e">
        <f t="shared" si="5"/>
        <v>#N/A</v>
      </c>
      <c r="W21" s="137"/>
      <c r="X21" s="138"/>
      <c r="Y21" s="135"/>
      <c r="Z21" s="5">
        <f>'Wins Combination'!R20</f>
        <v>0</v>
      </c>
      <c r="AA21" s="5">
        <f>'Wins Combination'!S20</f>
        <v>0</v>
      </c>
      <c r="AD21" s="5">
        <f>'Wins Combination'!T20</f>
        <v>0</v>
      </c>
      <c r="AE21" s="5">
        <f>'Wins Combination'!U20</f>
        <v>0</v>
      </c>
    </row>
    <row r="22" spans="1:31" x14ac:dyDescent="0.2">
      <c r="A22" s="103"/>
      <c r="B22" s="112">
        <v>16</v>
      </c>
      <c r="C22" s="103"/>
      <c r="D22" s="112">
        <v>16</v>
      </c>
      <c r="E22" s="103"/>
      <c r="F22" s="112">
        <v>16</v>
      </c>
      <c r="G22" s="103"/>
      <c r="H22" s="112">
        <v>16</v>
      </c>
      <c r="I22" s="103"/>
      <c r="J22" s="112">
        <v>16</v>
      </c>
      <c r="L22" s="9">
        <f>'Wins Combination'!A21</f>
        <v>0</v>
      </c>
      <c r="M22" s="9">
        <f>'Wins Combination'!B21</f>
        <v>0</v>
      </c>
      <c r="N22" s="9">
        <f>'Wins Combination'!C21</f>
        <v>0</v>
      </c>
      <c r="O22" s="126">
        <f>'Wins Combination'!D21</f>
        <v>0</v>
      </c>
      <c r="P22" s="126">
        <f>'Wins Combination'!E21</f>
        <v>0</v>
      </c>
      <c r="Q22" s="116"/>
      <c r="R22" s="114" t="e">
        <f t="shared" si="1"/>
        <v>#N/A</v>
      </c>
      <c r="S22" s="115" t="e">
        <f t="shared" si="2"/>
        <v>#N/A</v>
      </c>
      <c r="T22" s="114" t="e">
        <f t="shared" si="3"/>
        <v>#N/A</v>
      </c>
      <c r="U22" s="114" t="e">
        <f t="shared" si="4"/>
        <v>#N/A</v>
      </c>
      <c r="V22" s="114" t="e">
        <f t="shared" si="5"/>
        <v>#N/A</v>
      </c>
      <c r="W22" s="137"/>
      <c r="X22" s="138"/>
      <c r="Y22" s="135"/>
      <c r="Z22" s="21">
        <f>'Wins Combination'!R21</f>
        <v>0</v>
      </c>
      <c r="AA22" s="21">
        <f>'Wins Combination'!S21</f>
        <v>0</v>
      </c>
      <c r="AD22" s="21">
        <f>'Wins Combination'!T21</f>
        <v>0</v>
      </c>
      <c r="AE22" s="21">
        <f>'Wins Combination'!U21</f>
        <v>0</v>
      </c>
    </row>
    <row r="23" spans="1:31" x14ac:dyDescent="0.2">
      <c r="A23" s="103"/>
      <c r="B23" s="112">
        <v>17</v>
      </c>
      <c r="C23" s="103"/>
      <c r="D23" s="112">
        <v>17</v>
      </c>
      <c r="E23" s="103"/>
      <c r="F23" s="112">
        <v>17</v>
      </c>
      <c r="G23" s="103"/>
      <c r="H23" s="112">
        <v>17</v>
      </c>
      <c r="I23" s="103"/>
      <c r="J23" s="112">
        <v>17</v>
      </c>
      <c r="L23" s="9">
        <f>'Wins Combination'!A22</f>
        <v>0</v>
      </c>
      <c r="M23" s="9">
        <f>'Wins Combination'!B22</f>
        <v>0</v>
      </c>
      <c r="N23" s="9">
        <f>'Wins Combination'!C22</f>
        <v>0</v>
      </c>
      <c r="O23" s="9">
        <f>'Wins Combination'!D22</f>
        <v>0</v>
      </c>
      <c r="P23" s="9">
        <f>'Wins Combination'!E22</f>
        <v>0</v>
      </c>
      <c r="Q23" s="116"/>
      <c r="R23" s="114" t="e">
        <f t="shared" si="1"/>
        <v>#N/A</v>
      </c>
      <c r="S23" s="115" t="e">
        <f t="shared" si="2"/>
        <v>#N/A</v>
      </c>
      <c r="T23" s="114" t="e">
        <f t="shared" si="3"/>
        <v>#N/A</v>
      </c>
      <c r="U23" s="114" t="e">
        <f t="shared" si="4"/>
        <v>#N/A</v>
      </c>
      <c r="V23" s="114" t="e">
        <f t="shared" si="5"/>
        <v>#N/A</v>
      </c>
      <c r="W23" s="137"/>
      <c r="X23" s="138"/>
      <c r="Y23" s="135"/>
      <c r="Z23" s="21">
        <f>'Wins Combination'!R22</f>
        <v>0</v>
      </c>
      <c r="AA23" s="21">
        <f>'Wins Combination'!S22</f>
        <v>0</v>
      </c>
      <c r="AD23" s="21">
        <f>'Wins Combination'!T22</f>
        <v>0</v>
      </c>
      <c r="AE23" s="21">
        <f>'Wins Combination'!U22</f>
        <v>0</v>
      </c>
    </row>
    <row r="24" spans="1:31" x14ac:dyDescent="0.2">
      <c r="A24" s="103"/>
      <c r="B24" s="112">
        <v>18</v>
      </c>
      <c r="C24" s="103"/>
      <c r="D24" s="112">
        <v>18</v>
      </c>
      <c r="E24" s="103"/>
      <c r="F24" s="112">
        <v>18</v>
      </c>
      <c r="G24" s="103"/>
      <c r="H24" s="112">
        <v>18</v>
      </c>
      <c r="I24" s="103"/>
      <c r="J24" s="112">
        <v>18</v>
      </c>
      <c r="L24" s="9">
        <f>'Wins Combination'!A23</f>
        <v>0</v>
      </c>
      <c r="M24" s="9">
        <f>'Wins Combination'!B23</f>
        <v>0</v>
      </c>
      <c r="N24" s="9">
        <f>'Wins Combination'!C23</f>
        <v>0</v>
      </c>
      <c r="O24" s="9">
        <f>'Wins Combination'!D23</f>
        <v>0</v>
      </c>
      <c r="P24" s="126">
        <f>'Wins Combination'!E23</f>
        <v>0</v>
      </c>
      <c r="Q24" s="116"/>
      <c r="R24" s="114" t="e">
        <f t="shared" si="1"/>
        <v>#N/A</v>
      </c>
      <c r="S24" s="115" t="e">
        <f t="shared" si="2"/>
        <v>#N/A</v>
      </c>
      <c r="T24" s="114" t="e">
        <f t="shared" si="3"/>
        <v>#N/A</v>
      </c>
      <c r="U24" s="114" t="e">
        <f t="shared" si="4"/>
        <v>#N/A</v>
      </c>
      <c r="V24" s="114" t="e">
        <f t="shared" si="5"/>
        <v>#N/A</v>
      </c>
      <c r="W24" s="137"/>
      <c r="X24" s="138"/>
      <c r="Y24" s="135"/>
      <c r="Z24" s="21">
        <f>'Wins Combination'!R23</f>
        <v>0</v>
      </c>
      <c r="AA24" s="21">
        <f>'Wins Combination'!S23</f>
        <v>0</v>
      </c>
      <c r="AD24" s="21">
        <f>'Wins Combination'!T23</f>
        <v>0</v>
      </c>
      <c r="AE24" s="21">
        <f>'Wins Combination'!U23</f>
        <v>0</v>
      </c>
    </row>
    <row r="25" spans="1:31" x14ac:dyDescent="0.2">
      <c r="A25" s="103"/>
      <c r="B25" s="112">
        <v>19</v>
      </c>
      <c r="C25" s="103"/>
      <c r="D25" s="112">
        <v>19</v>
      </c>
      <c r="E25" s="103"/>
      <c r="F25" s="112">
        <v>19</v>
      </c>
      <c r="G25" s="103"/>
      <c r="H25" s="112">
        <v>19</v>
      </c>
      <c r="I25" s="103"/>
      <c r="J25" s="112">
        <v>19</v>
      </c>
      <c r="L25" s="9">
        <f>'Wins Combination'!A24</f>
        <v>0</v>
      </c>
      <c r="M25" s="9">
        <f>'Wins Combination'!B24</f>
        <v>0</v>
      </c>
      <c r="N25" s="9">
        <f>'Wins Combination'!C24</f>
        <v>0</v>
      </c>
      <c r="O25" s="126">
        <f>'Wins Combination'!D24</f>
        <v>0</v>
      </c>
      <c r="P25" s="126">
        <f>'Wins Combination'!E24</f>
        <v>0</v>
      </c>
      <c r="Q25" s="116"/>
      <c r="R25" s="114" t="e">
        <f t="shared" si="1"/>
        <v>#N/A</v>
      </c>
      <c r="S25" s="115" t="e">
        <f t="shared" si="2"/>
        <v>#N/A</v>
      </c>
      <c r="T25" s="114" t="e">
        <f t="shared" si="3"/>
        <v>#N/A</v>
      </c>
      <c r="U25" s="114" t="e">
        <f t="shared" si="4"/>
        <v>#N/A</v>
      </c>
      <c r="V25" s="114" t="e">
        <f t="shared" si="5"/>
        <v>#N/A</v>
      </c>
      <c r="W25" s="137"/>
      <c r="X25" s="138"/>
      <c r="Y25" s="135"/>
      <c r="Z25" s="21">
        <f>'Wins Combination'!R24</f>
        <v>0</v>
      </c>
      <c r="AA25" s="21">
        <f>'Wins Combination'!S24</f>
        <v>0</v>
      </c>
      <c r="AD25" s="21">
        <f>'Wins Combination'!T24</f>
        <v>0</v>
      </c>
      <c r="AE25" s="21">
        <f>'Wins Combination'!U24</f>
        <v>0</v>
      </c>
    </row>
    <row r="26" spans="1:31" x14ac:dyDescent="0.2">
      <c r="A26" s="103"/>
      <c r="B26" s="112">
        <v>20</v>
      </c>
      <c r="C26" s="103"/>
      <c r="D26" s="112">
        <v>20</v>
      </c>
      <c r="E26" s="103"/>
      <c r="F26" s="112">
        <v>20</v>
      </c>
      <c r="G26" s="103"/>
      <c r="H26" s="112">
        <v>20</v>
      </c>
      <c r="I26" s="103"/>
      <c r="J26" s="112">
        <v>20</v>
      </c>
      <c r="L26" s="9">
        <f>'Wins Combination'!A25</f>
        <v>0</v>
      </c>
      <c r="M26" s="9">
        <f>'Wins Combination'!B25</f>
        <v>0</v>
      </c>
      <c r="N26" s="9">
        <f>'Wins Combination'!C25</f>
        <v>0</v>
      </c>
      <c r="O26" s="9">
        <f>'Wins Combination'!D25</f>
        <v>0</v>
      </c>
      <c r="P26" s="9">
        <f>'Wins Combination'!E25</f>
        <v>0</v>
      </c>
      <c r="Q26" s="116"/>
      <c r="R26" s="114" t="e">
        <f t="shared" si="1"/>
        <v>#N/A</v>
      </c>
      <c r="S26" s="115" t="e">
        <f t="shared" si="2"/>
        <v>#N/A</v>
      </c>
      <c r="T26" s="114" t="e">
        <f t="shared" si="3"/>
        <v>#N/A</v>
      </c>
      <c r="U26" s="114" t="e">
        <f t="shared" si="4"/>
        <v>#N/A</v>
      </c>
      <c r="V26" s="114" t="e">
        <f t="shared" si="5"/>
        <v>#N/A</v>
      </c>
      <c r="W26" s="137"/>
      <c r="X26" s="138"/>
      <c r="Y26" s="135"/>
      <c r="Z26" s="21">
        <f>'Wins Combination'!R25</f>
        <v>0</v>
      </c>
      <c r="AA26" s="21">
        <f>'Wins Combination'!S25</f>
        <v>0</v>
      </c>
      <c r="AD26" s="21">
        <f>'Wins Combination'!T25</f>
        <v>0</v>
      </c>
      <c r="AE26" s="21">
        <f>'Wins Combination'!U25</f>
        <v>0</v>
      </c>
    </row>
    <row r="27" spans="1:31" x14ac:dyDescent="0.2">
      <c r="A27" s="103"/>
      <c r="B27" s="112">
        <v>21</v>
      </c>
      <c r="C27" s="103"/>
      <c r="D27" s="112">
        <v>21</v>
      </c>
      <c r="E27" s="103"/>
      <c r="F27" s="112">
        <v>21</v>
      </c>
      <c r="G27" s="103"/>
      <c r="H27" s="112">
        <v>21</v>
      </c>
      <c r="I27" s="103"/>
      <c r="J27" s="112">
        <v>21</v>
      </c>
      <c r="L27" s="9">
        <f>'Wins Combination'!A26</f>
        <v>0</v>
      </c>
      <c r="M27" s="9">
        <f>'Wins Combination'!B26</f>
        <v>0</v>
      </c>
      <c r="N27" s="9">
        <f>'Wins Combination'!C26</f>
        <v>0</v>
      </c>
      <c r="O27" s="9">
        <f>'Wins Combination'!D26</f>
        <v>0</v>
      </c>
      <c r="P27" s="126">
        <f>'Wins Combination'!E26</f>
        <v>0</v>
      </c>
      <c r="Q27" s="116"/>
      <c r="R27" s="114" t="e">
        <f t="shared" si="1"/>
        <v>#N/A</v>
      </c>
      <c r="S27" s="115" t="e">
        <f t="shared" si="2"/>
        <v>#N/A</v>
      </c>
      <c r="T27" s="114" t="e">
        <f t="shared" si="3"/>
        <v>#N/A</v>
      </c>
      <c r="U27" s="114" t="e">
        <f t="shared" si="4"/>
        <v>#N/A</v>
      </c>
      <c r="V27" s="114" t="e">
        <f t="shared" si="5"/>
        <v>#N/A</v>
      </c>
      <c r="W27" s="137"/>
      <c r="X27" s="138"/>
      <c r="Y27" s="135"/>
      <c r="Z27" s="21">
        <f>'Wins Combination'!R26</f>
        <v>0</v>
      </c>
      <c r="AA27" s="21">
        <f>'Wins Combination'!S26</f>
        <v>0</v>
      </c>
      <c r="AD27" s="21">
        <f>'Wins Combination'!T26</f>
        <v>0</v>
      </c>
      <c r="AE27" s="21">
        <f>'Wins Combination'!U26</f>
        <v>0</v>
      </c>
    </row>
    <row r="28" spans="1:31" x14ac:dyDescent="0.2">
      <c r="A28" s="103"/>
      <c r="B28" s="112">
        <v>22</v>
      </c>
      <c r="C28" s="103"/>
      <c r="D28" s="112">
        <v>22</v>
      </c>
      <c r="E28" s="103"/>
      <c r="F28" s="112">
        <v>22</v>
      </c>
      <c r="G28" s="103"/>
      <c r="H28" s="112">
        <v>22</v>
      </c>
      <c r="I28" s="103"/>
      <c r="J28" s="112">
        <v>22</v>
      </c>
      <c r="L28" s="9">
        <f>'Wins Combination'!A27</f>
        <v>0</v>
      </c>
      <c r="M28" s="9">
        <f>'Wins Combination'!B27</f>
        <v>0</v>
      </c>
      <c r="N28" s="9">
        <f>'Wins Combination'!C27</f>
        <v>0</v>
      </c>
      <c r="O28" s="126">
        <f>'Wins Combination'!D27</f>
        <v>0</v>
      </c>
      <c r="P28" s="126">
        <f>'Wins Combination'!E27</f>
        <v>0</v>
      </c>
      <c r="Q28" s="116"/>
      <c r="R28" s="114" t="e">
        <f t="shared" si="1"/>
        <v>#N/A</v>
      </c>
      <c r="S28" s="115" t="e">
        <f t="shared" si="2"/>
        <v>#N/A</v>
      </c>
      <c r="T28" s="114" t="e">
        <f t="shared" si="3"/>
        <v>#N/A</v>
      </c>
      <c r="U28" s="114" t="e">
        <f t="shared" si="4"/>
        <v>#N/A</v>
      </c>
      <c r="V28" s="114" t="e">
        <f t="shared" si="5"/>
        <v>#N/A</v>
      </c>
      <c r="W28" s="137"/>
      <c r="X28" s="138"/>
      <c r="Y28" s="135"/>
      <c r="Z28" s="21">
        <f>'Wins Combination'!R27</f>
        <v>0</v>
      </c>
      <c r="AA28" s="21">
        <f>'Wins Combination'!S27</f>
        <v>0</v>
      </c>
      <c r="AD28" s="21">
        <f>'Wins Combination'!T27</f>
        <v>0</v>
      </c>
      <c r="AE28" s="21">
        <f>'Wins Combination'!U27</f>
        <v>0</v>
      </c>
    </row>
    <row r="29" spans="1:31" x14ac:dyDescent="0.2">
      <c r="A29" s="103"/>
      <c r="B29" s="112">
        <v>23</v>
      </c>
      <c r="C29" s="103"/>
      <c r="D29" s="112">
        <v>23</v>
      </c>
      <c r="E29" s="103"/>
      <c r="F29" s="112">
        <v>23</v>
      </c>
      <c r="G29" s="103"/>
      <c r="H29" s="112">
        <v>23</v>
      </c>
      <c r="I29" s="103"/>
      <c r="J29" s="112">
        <v>23</v>
      </c>
      <c r="L29" s="9">
        <f>'Wins Combination'!A28</f>
        <v>0</v>
      </c>
      <c r="M29" s="9">
        <f>'Wins Combination'!B28</f>
        <v>0</v>
      </c>
      <c r="N29" s="9">
        <f>'Wins Combination'!C28</f>
        <v>0</v>
      </c>
      <c r="O29" s="9">
        <f>'Wins Combination'!D28</f>
        <v>0</v>
      </c>
      <c r="P29" s="9">
        <f>'Wins Combination'!E28</f>
        <v>0</v>
      </c>
      <c r="Q29" s="116"/>
      <c r="R29" s="114" t="e">
        <f t="shared" si="1"/>
        <v>#N/A</v>
      </c>
      <c r="S29" s="115" t="e">
        <f t="shared" si="2"/>
        <v>#N/A</v>
      </c>
      <c r="T29" s="114" t="e">
        <f t="shared" si="3"/>
        <v>#N/A</v>
      </c>
      <c r="U29" s="114" t="e">
        <f t="shared" si="4"/>
        <v>#N/A</v>
      </c>
      <c r="V29" s="114" t="e">
        <f t="shared" si="5"/>
        <v>#N/A</v>
      </c>
      <c r="W29" s="137"/>
      <c r="X29" s="138"/>
      <c r="Y29" s="135"/>
      <c r="Z29" s="21">
        <f>'Wins Combination'!R28</f>
        <v>0</v>
      </c>
      <c r="AA29" s="21">
        <f>'Wins Combination'!S28</f>
        <v>0</v>
      </c>
      <c r="AD29" s="21">
        <f>'Wins Combination'!T28</f>
        <v>0</v>
      </c>
      <c r="AE29" s="21">
        <f>'Wins Combination'!U28</f>
        <v>0</v>
      </c>
    </row>
    <row r="30" spans="1:31" x14ac:dyDescent="0.2">
      <c r="A30" s="103"/>
      <c r="B30" s="112">
        <v>24</v>
      </c>
      <c r="C30" s="103"/>
      <c r="D30" s="112">
        <v>24</v>
      </c>
      <c r="E30" s="103"/>
      <c r="F30" s="112">
        <v>24</v>
      </c>
      <c r="G30" s="103"/>
      <c r="H30" s="112">
        <v>24</v>
      </c>
      <c r="I30" s="103"/>
      <c r="J30" s="112">
        <v>24</v>
      </c>
      <c r="L30" s="9">
        <f>'Wins Combination'!A29</f>
        <v>0</v>
      </c>
      <c r="M30" s="9">
        <f>'Wins Combination'!B29</f>
        <v>0</v>
      </c>
      <c r="N30" s="9">
        <f>'Wins Combination'!C29</f>
        <v>0</v>
      </c>
      <c r="O30" s="9">
        <f>'Wins Combination'!D29</f>
        <v>0</v>
      </c>
      <c r="P30" s="126">
        <f>'Wins Combination'!E29</f>
        <v>0</v>
      </c>
      <c r="Q30" s="116"/>
      <c r="R30" s="114" t="e">
        <f t="shared" si="1"/>
        <v>#N/A</v>
      </c>
      <c r="S30" s="115" t="e">
        <f t="shared" si="2"/>
        <v>#N/A</v>
      </c>
      <c r="T30" s="114" t="e">
        <f t="shared" si="3"/>
        <v>#N/A</v>
      </c>
      <c r="U30" s="114" t="e">
        <f t="shared" si="4"/>
        <v>#N/A</v>
      </c>
      <c r="V30" s="114" t="e">
        <f t="shared" si="5"/>
        <v>#N/A</v>
      </c>
      <c r="W30" s="137"/>
      <c r="X30" s="138"/>
      <c r="Y30" s="135"/>
      <c r="Z30" s="21">
        <f>'Wins Combination'!R29</f>
        <v>0</v>
      </c>
      <c r="AA30" s="21">
        <f>'Wins Combination'!S29</f>
        <v>0</v>
      </c>
      <c r="AD30" s="21">
        <f>'Wins Combination'!T29</f>
        <v>0</v>
      </c>
      <c r="AE30" s="21">
        <f>'Wins Combination'!U29</f>
        <v>0</v>
      </c>
    </row>
    <row r="31" spans="1:31" ht="12.75" customHeight="1" x14ac:dyDescent="0.2">
      <c r="A31" s="103"/>
      <c r="B31" s="112">
        <v>25</v>
      </c>
      <c r="C31" s="103"/>
      <c r="D31" s="112">
        <v>25</v>
      </c>
      <c r="E31" s="103"/>
      <c r="F31" s="112">
        <v>25</v>
      </c>
      <c r="G31" s="103"/>
      <c r="H31" s="112">
        <v>25</v>
      </c>
      <c r="I31" s="103"/>
      <c r="J31" s="112">
        <v>25</v>
      </c>
      <c r="L31" s="9">
        <f>'Wins Combination'!A30</f>
        <v>0</v>
      </c>
      <c r="M31" s="9">
        <f>'Wins Combination'!B30</f>
        <v>0</v>
      </c>
      <c r="N31" s="9">
        <f>'Wins Combination'!C30</f>
        <v>0</v>
      </c>
      <c r="O31" s="126">
        <f>'Wins Combination'!D30</f>
        <v>0</v>
      </c>
      <c r="P31" s="126">
        <f>'Wins Combination'!E30</f>
        <v>0</v>
      </c>
      <c r="Q31" s="116"/>
      <c r="R31" s="114" t="e">
        <f t="shared" si="1"/>
        <v>#N/A</v>
      </c>
      <c r="S31" s="115" t="e">
        <f t="shared" si="2"/>
        <v>#N/A</v>
      </c>
      <c r="T31" s="114" t="e">
        <f t="shared" si="3"/>
        <v>#N/A</v>
      </c>
      <c r="U31" s="114" t="e">
        <f t="shared" si="4"/>
        <v>#N/A</v>
      </c>
      <c r="V31" s="114" t="e">
        <f t="shared" si="5"/>
        <v>#N/A</v>
      </c>
      <c r="W31" s="137"/>
      <c r="X31" s="138"/>
      <c r="Y31" s="135"/>
      <c r="Z31" s="21">
        <f>'Wins Combination'!R30</f>
        <v>0</v>
      </c>
      <c r="AA31" s="21">
        <f>'Wins Combination'!S30</f>
        <v>0</v>
      </c>
      <c r="AD31" s="21">
        <f>'Wins Combination'!T30</f>
        <v>0</v>
      </c>
      <c r="AE31" s="21">
        <f>'Wins Combination'!U30</f>
        <v>0</v>
      </c>
    </row>
    <row r="32" spans="1:31" ht="12.75" customHeight="1" x14ac:dyDescent="0.2">
      <c r="A32" s="103"/>
      <c r="B32" s="112">
        <v>26</v>
      </c>
      <c r="C32" s="103"/>
      <c r="D32" s="112">
        <v>26</v>
      </c>
      <c r="E32" s="103"/>
      <c r="F32" s="112">
        <v>26</v>
      </c>
      <c r="G32" s="103"/>
      <c r="H32" s="112">
        <v>26</v>
      </c>
      <c r="I32" s="103"/>
      <c r="J32" s="112">
        <v>26</v>
      </c>
      <c r="L32" s="9">
        <f>'Wins Combination'!A31</f>
        <v>0</v>
      </c>
      <c r="M32" s="9">
        <f>'Wins Combination'!B31</f>
        <v>0</v>
      </c>
      <c r="N32" s="9">
        <f>'Wins Combination'!C31</f>
        <v>0</v>
      </c>
      <c r="O32" s="9">
        <f>'Wins Combination'!D31</f>
        <v>0</v>
      </c>
      <c r="P32" s="9">
        <f>'Wins Combination'!E31</f>
        <v>0</v>
      </c>
      <c r="Q32" s="116"/>
      <c r="R32" s="114" t="e">
        <f t="shared" si="1"/>
        <v>#N/A</v>
      </c>
      <c r="S32" s="115" t="e">
        <f t="shared" si="2"/>
        <v>#N/A</v>
      </c>
      <c r="T32" s="114" t="e">
        <f t="shared" si="3"/>
        <v>#N/A</v>
      </c>
      <c r="U32" s="114" t="e">
        <f t="shared" si="4"/>
        <v>#N/A</v>
      </c>
      <c r="V32" s="114" t="e">
        <f t="shared" si="5"/>
        <v>#N/A</v>
      </c>
      <c r="W32" s="137"/>
      <c r="X32" s="138"/>
      <c r="Y32" s="135"/>
      <c r="Z32" s="21">
        <f>'Wins Combination'!R31</f>
        <v>0</v>
      </c>
      <c r="AA32" s="21">
        <f>'Wins Combination'!S31</f>
        <v>0</v>
      </c>
      <c r="AD32" s="21">
        <f>'Wins Combination'!T31</f>
        <v>0</v>
      </c>
      <c r="AE32" s="21">
        <f>'Wins Combination'!U31</f>
        <v>0</v>
      </c>
    </row>
    <row r="33" spans="1:31" ht="12.75" customHeight="1" x14ac:dyDescent="0.2">
      <c r="A33" s="103"/>
      <c r="B33" s="112">
        <v>27</v>
      </c>
      <c r="C33" s="103"/>
      <c r="D33" s="112">
        <v>27</v>
      </c>
      <c r="E33" s="103"/>
      <c r="F33" s="112">
        <v>27</v>
      </c>
      <c r="G33" s="103"/>
      <c r="H33" s="112">
        <v>27</v>
      </c>
      <c r="I33" s="103"/>
      <c r="J33" s="112">
        <v>27</v>
      </c>
      <c r="L33" s="9">
        <f>'Wins Combination'!A32</f>
        <v>0</v>
      </c>
      <c r="M33" s="9">
        <f>'Wins Combination'!B32</f>
        <v>0</v>
      </c>
      <c r="N33" s="9">
        <f>'Wins Combination'!C32</f>
        <v>0</v>
      </c>
      <c r="O33" s="9">
        <f>'Wins Combination'!D32</f>
        <v>0</v>
      </c>
      <c r="P33" s="126">
        <f>'Wins Combination'!E32</f>
        <v>0</v>
      </c>
      <c r="Q33" s="116"/>
      <c r="R33" s="114" t="e">
        <f t="shared" si="1"/>
        <v>#N/A</v>
      </c>
      <c r="S33" s="115" t="e">
        <f t="shared" si="2"/>
        <v>#N/A</v>
      </c>
      <c r="T33" s="114" t="e">
        <f t="shared" si="3"/>
        <v>#N/A</v>
      </c>
      <c r="U33" s="114" t="e">
        <f t="shared" si="4"/>
        <v>#N/A</v>
      </c>
      <c r="V33" s="114" t="e">
        <f t="shared" si="5"/>
        <v>#N/A</v>
      </c>
      <c r="W33" s="137"/>
      <c r="X33" s="138"/>
      <c r="Y33" s="135"/>
      <c r="Z33" s="21">
        <f>'Wins Combination'!R32</f>
        <v>0</v>
      </c>
      <c r="AA33" s="21">
        <f>'Wins Combination'!S32</f>
        <v>0</v>
      </c>
      <c r="AD33" s="21">
        <f>'Wins Combination'!T32</f>
        <v>0</v>
      </c>
      <c r="AE33" s="21">
        <f>'Wins Combination'!U32</f>
        <v>0</v>
      </c>
    </row>
    <row r="34" spans="1:31" ht="12.75" customHeight="1" x14ac:dyDescent="0.2">
      <c r="A34" s="103"/>
      <c r="B34" s="112">
        <v>28</v>
      </c>
      <c r="C34" s="103"/>
      <c r="D34" s="112">
        <v>28</v>
      </c>
      <c r="E34" s="103"/>
      <c r="F34" s="112">
        <v>28</v>
      </c>
      <c r="G34" s="103"/>
      <c r="H34" s="112">
        <v>28</v>
      </c>
      <c r="I34" s="103"/>
      <c r="J34" s="112">
        <v>28</v>
      </c>
      <c r="L34" s="9">
        <f>'Wins Combination'!A33</f>
        <v>0</v>
      </c>
      <c r="M34" s="9">
        <f>'Wins Combination'!B33</f>
        <v>0</v>
      </c>
      <c r="N34" s="9">
        <f>'Wins Combination'!C33</f>
        <v>0</v>
      </c>
      <c r="O34" s="126">
        <f>'Wins Combination'!D33</f>
        <v>0</v>
      </c>
      <c r="P34" s="126">
        <f>'Wins Combination'!E33</f>
        <v>0</v>
      </c>
      <c r="Q34" s="116"/>
      <c r="R34" s="114" t="e">
        <f t="shared" si="1"/>
        <v>#N/A</v>
      </c>
      <c r="S34" s="115" t="e">
        <f t="shared" si="2"/>
        <v>#N/A</v>
      </c>
      <c r="T34" s="114" t="e">
        <f t="shared" si="3"/>
        <v>#N/A</v>
      </c>
      <c r="U34" s="114" t="e">
        <f t="shared" si="4"/>
        <v>#N/A</v>
      </c>
      <c r="V34" s="114" t="e">
        <f t="shared" si="5"/>
        <v>#N/A</v>
      </c>
      <c r="W34" s="137"/>
      <c r="X34" s="138"/>
      <c r="Y34" s="135"/>
      <c r="Z34" s="21">
        <f>'Wins Combination'!R33</f>
        <v>0</v>
      </c>
      <c r="AA34" s="21">
        <f>'Wins Combination'!S33</f>
        <v>0</v>
      </c>
      <c r="AD34" s="21">
        <f>'Wins Combination'!T33</f>
        <v>0</v>
      </c>
      <c r="AE34" s="21">
        <f>'Wins Combination'!U33</f>
        <v>0</v>
      </c>
    </row>
    <row r="35" spans="1:31" ht="12.75" customHeight="1" x14ac:dyDescent="0.2">
      <c r="A35" s="103"/>
      <c r="B35" s="112">
        <v>29</v>
      </c>
      <c r="C35" s="103"/>
      <c r="D35" s="112">
        <v>29</v>
      </c>
      <c r="E35" s="103"/>
      <c r="F35" s="112">
        <v>29</v>
      </c>
      <c r="G35" s="103"/>
      <c r="H35" s="112">
        <v>29</v>
      </c>
      <c r="I35" s="103"/>
      <c r="J35" s="112">
        <v>29</v>
      </c>
      <c r="L35" s="9">
        <f>'Wins Combination'!A34</f>
        <v>0</v>
      </c>
      <c r="M35" s="9">
        <f>'Wins Combination'!B34</f>
        <v>0</v>
      </c>
      <c r="N35" s="9">
        <f>'Wins Combination'!C34</f>
        <v>0</v>
      </c>
      <c r="O35" s="9">
        <f>'Wins Combination'!D34</f>
        <v>0</v>
      </c>
      <c r="P35" s="9">
        <f>'Wins Combination'!E34</f>
        <v>0</v>
      </c>
      <c r="Q35" s="116"/>
      <c r="R35" s="114" t="e">
        <f t="shared" si="1"/>
        <v>#N/A</v>
      </c>
      <c r="S35" s="115" t="e">
        <f t="shared" si="2"/>
        <v>#N/A</v>
      </c>
      <c r="T35" s="114" t="e">
        <f t="shared" si="3"/>
        <v>#N/A</v>
      </c>
      <c r="U35" s="114" t="e">
        <f t="shared" si="4"/>
        <v>#N/A</v>
      </c>
      <c r="V35" s="114" t="e">
        <f t="shared" si="5"/>
        <v>#N/A</v>
      </c>
      <c r="W35" s="137"/>
      <c r="X35" s="139"/>
      <c r="Y35" s="135"/>
      <c r="Z35" s="21">
        <f>'Wins Combination'!R34</f>
        <v>0</v>
      </c>
      <c r="AA35" s="21">
        <f>'Wins Combination'!S34</f>
        <v>0</v>
      </c>
      <c r="AD35" s="21">
        <f>'Wins Combination'!T34</f>
        <v>0</v>
      </c>
      <c r="AE35" s="21">
        <f>'Wins Combination'!U34</f>
        <v>0</v>
      </c>
    </row>
    <row r="36" spans="1:31" ht="12.75" customHeight="1" x14ac:dyDescent="0.2">
      <c r="A36" s="118"/>
      <c r="B36" s="112">
        <v>30</v>
      </c>
      <c r="C36" s="119"/>
      <c r="D36" s="112">
        <v>30</v>
      </c>
      <c r="E36" s="118"/>
      <c r="F36" s="112">
        <v>30</v>
      </c>
      <c r="G36" s="119"/>
      <c r="H36" s="112">
        <v>30</v>
      </c>
      <c r="I36" s="118"/>
      <c r="J36" s="112">
        <v>30</v>
      </c>
      <c r="L36" s="9">
        <f>'Wins Combination'!A35</f>
        <v>0</v>
      </c>
      <c r="M36" s="9">
        <f>'Wins Combination'!B35</f>
        <v>0</v>
      </c>
      <c r="N36" s="9">
        <f>'Wins Combination'!C35</f>
        <v>0</v>
      </c>
      <c r="O36" s="9">
        <f>'Wins Combination'!D35</f>
        <v>0</v>
      </c>
      <c r="P36" s="126">
        <f>'Wins Combination'!E35</f>
        <v>0</v>
      </c>
      <c r="Q36" s="116"/>
      <c r="R36" s="114" t="e">
        <f t="shared" si="1"/>
        <v>#N/A</v>
      </c>
      <c r="S36" s="115" t="e">
        <f t="shared" si="2"/>
        <v>#N/A</v>
      </c>
      <c r="T36" s="114" t="e">
        <f t="shared" si="3"/>
        <v>#N/A</v>
      </c>
      <c r="U36" s="114" t="e">
        <f t="shared" si="4"/>
        <v>#N/A</v>
      </c>
      <c r="V36" s="114" t="e">
        <f t="shared" si="5"/>
        <v>#N/A</v>
      </c>
      <c r="W36" s="137"/>
      <c r="X36" s="139"/>
      <c r="Y36" s="140"/>
      <c r="Z36" s="21">
        <f>'Wins Combination'!R35</f>
        <v>0</v>
      </c>
      <c r="AA36" s="21">
        <f>'Wins Combination'!S35</f>
        <v>0</v>
      </c>
      <c r="AD36" s="21">
        <f>'Wins Combination'!T35</f>
        <v>0</v>
      </c>
      <c r="AE36" s="21">
        <f>'Wins Combination'!U35</f>
        <v>0</v>
      </c>
    </row>
    <row r="37" spans="1:31" ht="12.75" customHeight="1" x14ac:dyDescent="0.2">
      <c r="A37" s="118"/>
      <c r="B37" s="112">
        <v>31</v>
      </c>
      <c r="C37" s="119"/>
      <c r="D37" s="112">
        <v>31</v>
      </c>
      <c r="E37" s="118"/>
      <c r="F37" s="112">
        <v>31</v>
      </c>
      <c r="G37" s="119"/>
      <c r="H37" s="112">
        <v>31</v>
      </c>
      <c r="I37" s="118"/>
      <c r="J37" s="112">
        <v>31</v>
      </c>
      <c r="K37" s="111"/>
      <c r="L37" s="9">
        <f>'Wins Combination'!A36</f>
        <v>0</v>
      </c>
      <c r="M37" s="9">
        <f>'Wins Combination'!B36</f>
        <v>0</v>
      </c>
      <c r="N37" s="9">
        <f>'Wins Combination'!C36</f>
        <v>0</v>
      </c>
      <c r="O37" s="126">
        <f>'Wins Combination'!D36</f>
        <v>0</v>
      </c>
      <c r="P37" s="126">
        <f>'Wins Combination'!E36</f>
        <v>0</v>
      </c>
      <c r="Q37" s="116"/>
      <c r="R37" s="114" t="e">
        <f t="shared" si="1"/>
        <v>#N/A</v>
      </c>
      <c r="S37" s="115" t="e">
        <f t="shared" si="2"/>
        <v>#N/A</v>
      </c>
      <c r="T37" s="114" t="e">
        <f t="shared" si="3"/>
        <v>#N/A</v>
      </c>
      <c r="U37" s="114" t="e">
        <f t="shared" si="4"/>
        <v>#N/A</v>
      </c>
      <c r="V37" s="114" t="e">
        <f t="shared" si="5"/>
        <v>#N/A</v>
      </c>
      <c r="W37" s="137"/>
      <c r="X37" s="141"/>
      <c r="Y37" s="135"/>
      <c r="Z37" s="21">
        <f>'Wins Combination'!R36</f>
        <v>0</v>
      </c>
      <c r="AA37" s="21">
        <f>'Wins Combination'!S36</f>
        <v>0</v>
      </c>
      <c r="AD37" s="21">
        <f>'Wins Combination'!T36</f>
        <v>0</v>
      </c>
      <c r="AE37" s="21">
        <f>'Wins Combination'!U36</f>
        <v>0</v>
      </c>
    </row>
    <row r="38" spans="1:31" ht="12.75" customHeight="1" x14ac:dyDescent="0.2">
      <c r="A38" s="118"/>
      <c r="B38" s="112">
        <v>32</v>
      </c>
      <c r="C38" s="119"/>
      <c r="D38" s="112">
        <v>32</v>
      </c>
      <c r="E38" s="118"/>
      <c r="F38" s="112">
        <v>32</v>
      </c>
      <c r="G38" s="119"/>
      <c r="H38" s="112">
        <v>32</v>
      </c>
      <c r="I38" s="118"/>
      <c r="J38" s="112">
        <v>32</v>
      </c>
      <c r="K38" s="111"/>
      <c r="L38" s="9">
        <f>'Wins Combination'!A37</f>
        <v>0</v>
      </c>
      <c r="M38" s="9">
        <f>'Wins Combination'!B37</f>
        <v>0</v>
      </c>
      <c r="N38" s="9">
        <f>'Wins Combination'!C37</f>
        <v>0</v>
      </c>
      <c r="O38" s="9">
        <f>'Wins Combination'!D37</f>
        <v>0</v>
      </c>
      <c r="P38" s="9">
        <f>'Wins Combination'!E37</f>
        <v>0</v>
      </c>
      <c r="Q38" s="116"/>
      <c r="R38" s="114" t="e">
        <f t="shared" si="1"/>
        <v>#N/A</v>
      </c>
      <c r="S38" s="115" t="e">
        <f t="shared" si="2"/>
        <v>#N/A</v>
      </c>
      <c r="T38" s="114" t="e">
        <f t="shared" si="3"/>
        <v>#N/A</v>
      </c>
      <c r="U38" s="114" t="e">
        <f t="shared" si="4"/>
        <v>#N/A</v>
      </c>
      <c r="V38" s="114" t="e">
        <f t="shared" si="5"/>
        <v>#N/A</v>
      </c>
      <c r="W38" s="137"/>
      <c r="X38" s="138"/>
      <c r="Y38" s="135"/>
      <c r="Z38" s="21">
        <f>'Wins Combination'!R37</f>
        <v>0</v>
      </c>
      <c r="AA38" s="21">
        <f>'Wins Combination'!S37</f>
        <v>0</v>
      </c>
      <c r="AD38" s="21">
        <f>'Wins Combination'!T37</f>
        <v>0</v>
      </c>
      <c r="AE38" s="21">
        <f>'Wins Combination'!U37</f>
        <v>0</v>
      </c>
    </row>
    <row r="39" spans="1:31" ht="12.75" customHeight="1" x14ac:dyDescent="0.2">
      <c r="A39" s="118"/>
      <c r="B39" s="112">
        <v>33</v>
      </c>
      <c r="C39" s="119"/>
      <c r="D39" s="112">
        <v>33</v>
      </c>
      <c r="E39" s="118"/>
      <c r="F39" s="112">
        <v>33</v>
      </c>
      <c r="G39" s="119"/>
      <c r="H39" s="112">
        <v>33</v>
      </c>
      <c r="I39" s="118"/>
      <c r="J39" s="112">
        <v>33</v>
      </c>
      <c r="L39" s="9">
        <f>'Wins Combination'!A38</f>
        <v>0</v>
      </c>
      <c r="M39" s="9">
        <f>'Wins Combination'!B38</f>
        <v>0</v>
      </c>
      <c r="N39" s="9">
        <f>'Wins Combination'!C38</f>
        <v>0</v>
      </c>
      <c r="O39" s="9">
        <f>'Wins Combination'!D38</f>
        <v>0</v>
      </c>
      <c r="P39" s="126">
        <f>'Wins Combination'!E38</f>
        <v>0</v>
      </c>
      <c r="Q39" s="116"/>
      <c r="R39" s="114" t="e">
        <f t="shared" si="1"/>
        <v>#N/A</v>
      </c>
      <c r="S39" s="115" t="e">
        <f t="shared" si="2"/>
        <v>#N/A</v>
      </c>
      <c r="T39" s="114" t="e">
        <f t="shared" si="3"/>
        <v>#N/A</v>
      </c>
      <c r="U39" s="114" t="e">
        <f t="shared" si="4"/>
        <v>#N/A</v>
      </c>
      <c r="V39" s="114" t="e">
        <f t="shared" si="5"/>
        <v>#N/A</v>
      </c>
      <c r="W39" s="137"/>
      <c r="X39" s="138"/>
      <c r="Y39" s="135"/>
      <c r="Z39" s="21">
        <f>'Wins Combination'!R38</f>
        <v>0</v>
      </c>
      <c r="AA39" s="21">
        <f>'Wins Combination'!S38</f>
        <v>0</v>
      </c>
      <c r="AD39" s="21">
        <f>'Wins Combination'!T38</f>
        <v>0</v>
      </c>
      <c r="AE39" s="21">
        <f>'Wins Combination'!U38</f>
        <v>0</v>
      </c>
    </row>
    <row r="40" spans="1:31" ht="12.75" customHeight="1" x14ac:dyDescent="0.2">
      <c r="A40" s="118"/>
      <c r="B40" s="112">
        <v>34</v>
      </c>
      <c r="C40" s="119"/>
      <c r="D40" s="112">
        <v>34</v>
      </c>
      <c r="E40" s="118"/>
      <c r="F40" s="112">
        <v>34</v>
      </c>
      <c r="G40" s="119"/>
      <c r="H40" s="112">
        <v>34</v>
      </c>
      <c r="I40" s="118"/>
      <c r="J40" s="112">
        <v>34</v>
      </c>
      <c r="L40" s="9">
        <f>'Wins Combination'!A39</f>
        <v>0</v>
      </c>
      <c r="M40" s="9">
        <f>'Wins Combination'!B39</f>
        <v>0</v>
      </c>
      <c r="N40" s="9">
        <f>'Wins Combination'!C39</f>
        <v>0</v>
      </c>
      <c r="O40" s="126">
        <f>'Wins Combination'!D39</f>
        <v>0</v>
      </c>
      <c r="P40" s="126">
        <f>'Wins Combination'!E39</f>
        <v>0</v>
      </c>
      <c r="Q40" s="116"/>
      <c r="R40" s="114" t="e">
        <f t="shared" si="1"/>
        <v>#N/A</v>
      </c>
      <c r="S40" s="115" t="e">
        <f t="shared" si="2"/>
        <v>#N/A</v>
      </c>
      <c r="T40" s="114" t="e">
        <f t="shared" si="3"/>
        <v>#N/A</v>
      </c>
      <c r="U40" s="114" t="e">
        <f t="shared" si="4"/>
        <v>#N/A</v>
      </c>
      <c r="V40" s="114" t="e">
        <f t="shared" si="5"/>
        <v>#N/A</v>
      </c>
      <c r="W40" s="137"/>
      <c r="X40" s="138"/>
      <c r="Y40" s="135"/>
    </row>
    <row r="41" spans="1:31" ht="12.75" customHeight="1" x14ac:dyDescent="0.2">
      <c r="A41" s="118"/>
      <c r="B41" s="112">
        <v>35</v>
      </c>
      <c r="C41" s="119"/>
      <c r="D41" s="112">
        <v>35</v>
      </c>
      <c r="E41" s="118"/>
      <c r="F41" s="112">
        <v>35</v>
      </c>
      <c r="G41" s="119"/>
      <c r="H41" s="112">
        <v>35</v>
      </c>
      <c r="I41" s="118"/>
      <c r="J41" s="112">
        <v>35</v>
      </c>
      <c r="L41" s="113">
        <f>'Wins Combination'!A40</f>
        <v>0</v>
      </c>
      <c r="M41" s="113">
        <f>'Wins Combination'!B40</f>
        <v>0</v>
      </c>
      <c r="N41" s="113">
        <f>'Wins Combination'!C40</f>
        <v>0</v>
      </c>
      <c r="O41" s="113">
        <f>'Wins Combination'!D40</f>
        <v>0</v>
      </c>
      <c r="P41" s="113">
        <f>'Wins Combination'!E40</f>
        <v>0</v>
      </c>
      <c r="Q41" s="116"/>
      <c r="R41" s="114" t="e">
        <f t="shared" si="1"/>
        <v>#N/A</v>
      </c>
      <c r="S41" s="115" t="e">
        <f t="shared" si="2"/>
        <v>#N/A</v>
      </c>
      <c r="T41" s="114" t="e">
        <f t="shared" si="3"/>
        <v>#N/A</v>
      </c>
      <c r="U41" s="114" t="e">
        <f t="shared" si="4"/>
        <v>#N/A</v>
      </c>
      <c r="V41" s="114" t="e">
        <f t="shared" si="5"/>
        <v>#N/A</v>
      </c>
      <c r="W41" s="137"/>
      <c r="X41" s="136"/>
      <c r="Y41" s="135"/>
    </row>
    <row r="42" spans="1:31" ht="12.75" customHeight="1" x14ac:dyDescent="0.2">
      <c r="A42" s="118"/>
      <c r="B42" s="112">
        <v>36</v>
      </c>
      <c r="C42" s="119"/>
      <c r="D42" s="112">
        <v>36</v>
      </c>
      <c r="E42" s="118"/>
      <c r="F42" s="112">
        <v>36</v>
      </c>
      <c r="G42" s="119"/>
      <c r="H42" s="112">
        <v>36</v>
      </c>
      <c r="I42" s="118"/>
      <c r="J42" s="112">
        <v>36</v>
      </c>
      <c r="L42" s="21" t="s">
        <v>244</v>
      </c>
      <c r="R42" s="114" t="e">
        <f t="shared" si="1"/>
        <v>#N/A</v>
      </c>
      <c r="S42" s="115" t="e">
        <f t="shared" si="2"/>
        <v>#N/A</v>
      </c>
      <c r="T42" s="114" t="e">
        <f t="shared" si="3"/>
        <v>#N/A</v>
      </c>
      <c r="U42" s="114" t="e">
        <f t="shared" si="4"/>
        <v>#N/A</v>
      </c>
      <c r="V42" s="114" t="e">
        <f t="shared" si="5"/>
        <v>#N/A</v>
      </c>
      <c r="W42" s="135"/>
      <c r="X42" s="135"/>
      <c r="Y42" s="135"/>
    </row>
    <row r="43" spans="1:31" ht="12.75" customHeight="1" x14ac:dyDescent="0.2">
      <c r="A43" s="118"/>
      <c r="B43" s="112">
        <v>37</v>
      </c>
      <c r="C43" s="119"/>
      <c r="D43" s="112">
        <v>37</v>
      </c>
      <c r="E43" s="118"/>
      <c r="F43" s="112">
        <v>37</v>
      </c>
      <c r="G43" s="119"/>
      <c r="H43" s="112">
        <v>37</v>
      </c>
      <c r="I43" s="118"/>
      <c r="J43" s="112">
        <v>37</v>
      </c>
      <c r="L43" s="120">
        <f>'Wins Combination'!A60</f>
        <v>0</v>
      </c>
      <c r="M43" s="120">
        <f>'Wins Combination'!B60</f>
        <v>0</v>
      </c>
      <c r="N43" s="120">
        <f>'Wins Combination'!C60</f>
        <v>0</v>
      </c>
      <c r="O43" s="120">
        <f>'Wins Combination'!D60</f>
        <v>0</v>
      </c>
      <c r="P43" s="120">
        <f>'Wins Combination'!E60</f>
        <v>0</v>
      </c>
      <c r="Q43" s="116"/>
      <c r="R43" s="114" t="e">
        <f t="shared" si="1"/>
        <v>#N/A</v>
      </c>
      <c r="S43" s="115" t="e">
        <f t="shared" si="2"/>
        <v>#N/A</v>
      </c>
      <c r="T43" s="114" t="e">
        <f t="shared" si="3"/>
        <v>#N/A</v>
      </c>
      <c r="U43" s="114" t="e">
        <f t="shared" si="4"/>
        <v>#N/A</v>
      </c>
      <c r="V43" s="114" t="e">
        <f t="shared" si="5"/>
        <v>#N/A</v>
      </c>
      <c r="W43" s="137"/>
      <c r="X43" s="136"/>
      <c r="Y43" s="135"/>
    </row>
    <row r="44" spans="1:31" ht="12.75" customHeight="1" x14ac:dyDescent="0.2">
      <c r="A44" s="118"/>
      <c r="B44" s="112">
        <v>38</v>
      </c>
      <c r="C44" s="119"/>
      <c r="D44" s="112">
        <v>38</v>
      </c>
      <c r="E44" s="118"/>
      <c r="F44" s="112">
        <v>38</v>
      </c>
      <c r="G44" s="119"/>
      <c r="H44" s="112">
        <v>38</v>
      </c>
      <c r="I44" s="118"/>
      <c r="J44" s="112">
        <v>38</v>
      </c>
      <c r="L44" s="120">
        <f>'Wins Combination'!A61</f>
        <v>0</v>
      </c>
      <c r="M44" s="120">
        <f>'Wins Combination'!B61</f>
        <v>0</v>
      </c>
      <c r="N44" s="120">
        <f>'Wins Combination'!C61</f>
        <v>0</v>
      </c>
      <c r="O44" s="120">
        <f>'Wins Combination'!D61</f>
        <v>0</v>
      </c>
      <c r="P44" s="120">
        <f>'Wins Combination'!E61</f>
        <v>0</v>
      </c>
      <c r="Q44" s="116"/>
      <c r="R44" s="114" t="e">
        <f t="shared" si="1"/>
        <v>#N/A</v>
      </c>
      <c r="S44" s="115" t="e">
        <f t="shared" si="2"/>
        <v>#N/A</v>
      </c>
      <c r="T44" s="114" t="e">
        <f t="shared" si="3"/>
        <v>#N/A</v>
      </c>
      <c r="U44" s="114" t="e">
        <f t="shared" si="4"/>
        <v>#N/A</v>
      </c>
      <c r="V44" s="114" t="e">
        <f t="shared" si="5"/>
        <v>#N/A</v>
      </c>
      <c r="W44" s="137"/>
      <c r="X44" s="136"/>
      <c r="Y44" s="135"/>
    </row>
    <row r="45" spans="1:31" ht="12.75" customHeight="1" x14ac:dyDescent="0.2">
      <c r="A45" s="118"/>
      <c r="B45" s="112">
        <v>39</v>
      </c>
      <c r="C45" s="119"/>
      <c r="D45" s="112">
        <v>39</v>
      </c>
      <c r="E45" s="118"/>
      <c r="F45" s="112">
        <v>39</v>
      </c>
      <c r="G45" s="119"/>
      <c r="H45" s="112">
        <v>39</v>
      </c>
      <c r="I45" s="118"/>
      <c r="J45" s="112">
        <v>39</v>
      </c>
      <c r="L45" s="120">
        <f>'Wins Combination'!A62</f>
        <v>0</v>
      </c>
      <c r="M45" s="120">
        <f>'Wins Combination'!B62</f>
        <v>0</v>
      </c>
      <c r="N45" s="120">
        <f>'Wins Combination'!C62</f>
        <v>0</v>
      </c>
      <c r="O45" s="120">
        <f>'Wins Combination'!D62</f>
        <v>0</v>
      </c>
      <c r="P45" s="120">
        <f>'Wins Combination'!E62</f>
        <v>0</v>
      </c>
      <c r="Q45" s="116"/>
      <c r="R45" s="114" t="e">
        <f t="shared" si="1"/>
        <v>#N/A</v>
      </c>
      <c r="S45" s="115" t="e">
        <f t="shared" si="2"/>
        <v>#N/A</v>
      </c>
      <c r="T45" s="114" t="e">
        <f t="shared" si="3"/>
        <v>#N/A</v>
      </c>
      <c r="U45" s="114" t="e">
        <f t="shared" si="4"/>
        <v>#N/A</v>
      </c>
      <c r="V45" s="114" t="e">
        <f t="shared" si="5"/>
        <v>#N/A</v>
      </c>
      <c r="W45" s="137"/>
      <c r="X45" s="136"/>
      <c r="Y45" s="135"/>
    </row>
    <row r="46" spans="1:31" ht="12.75" customHeight="1" x14ac:dyDescent="0.2">
      <c r="A46" s="118"/>
      <c r="B46" s="112">
        <v>40</v>
      </c>
      <c r="C46" s="119"/>
      <c r="D46" s="112">
        <v>40</v>
      </c>
      <c r="E46" s="118"/>
      <c r="F46" s="112">
        <v>40</v>
      </c>
      <c r="G46" s="119"/>
      <c r="H46" s="112">
        <v>40</v>
      </c>
      <c r="I46" s="118"/>
      <c r="J46" s="112">
        <v>40</v>
      </c>
      <c r="L46" s="120">
        <f>'Wins Combination'!A63</f>
        <v>0</v>
      </c>
      <c r="M46" s="120">
        <f>'Wins Combination'!B63</f>
        <v>0</v>
      </c>
      <c r="N46" s="120">
        <f>'Wins Combination'!C63</f>
        <v>0</v>
      </c>
      <c r="O46" s="120">
        <f>'Wins Combination'!D63</f>
        <v>0</v>
      </c>
      <c r="P46" s="120">
        <f>'Wins Combination'!E63</f>
        <v>0</v>
      </c>
      <c r="R46" s="114" t="e">
        <f t="shared" si="1"/>
        <v>#N/A</v>
      </c>
      <c r="S46" s="115" t="e">
        <f t="shared" si="2"/>
        <v>#N/A</v>
      </c>
      <c r="T46" s="114" t="e">
        <f t="shared" si="3"/>
        <v>#N/A</v>
      </c>
      <c r="U46" s="114" t="e">
        <f t="shared" si="4"/>
        <v>#N/A</v>
      </c>
      <c r="V46" s="114" t="e">
        <f t="shared" si="5"/>
        <v>#N/A</v>
      </c>
      <c r="W46" s="135"/>
      <c r="X46" s="136"/>
      <c r="Y46" s="135"/>
    </row>
    <row r="47" spans="1:31" ht="12.75" customHeight="1" x14ac:dyDescent="0.2">
      <c r="A47" s="118"/>
      <c r="B47" s="112">
        <v>41</v>
      </c>
      <c r="C47" s="119"/>
      <c r="D47" s="112">
        <v>41</v>
      </c>
      <c r="E47" s="118"/>
      <c r="F47" s="112">
        <v>41</v>
      </c>
      <c r="G47" s="119"/>
      <c r="H47" s="112">
        <v>41</v>
      </c>
      <c r="I47" s="118"/>
      <c r="J47" s="112">
        <v>41</v>
      </c>
      <c r="L47" s="120">
        <f>'Wins Combination'!A64</f>
        <v>0</v>
      </c>
      <c r="M47" s="120">
        <f>'Wins Combination'!B64</f>
        <v>0</v>
      </c>
      <c r="N47" s="120">
        <f>'Wins Combination'!C64</f>
        <v>0</v>
      </c>
      <c r="O47" s="120">
        <f>'Wins Combination'!D64</f>
        <v>0</v>
      </c>
      <c r="P47" s="120">
        <f>'Wins Combination'!E64</f>
        <v>0</v>
      </c>
      <c r="R47" s="114" t="e">
        <f t="shared" si="1"/>
        <v>#N/A</v>
      </c>
      <c r="S47" s="115" t="e">
        <f t="shared" si="2"/>
        <v>#N/A</v>
      </c>
      <c r="T47" s="114" t="e">
        <f t="shared" si="3"/>
        <v>#N/A</v>
      </c>
      <c r="U47" s="114" t="e">
        <f t="shared" si="4"/>
        <v>#N/A</v>
      </c>
      <c r="V47" s="114" t="e">
        <f t="shared" si="5"/>
        <v>#N/A</v>
      </c>
      <c r="W47" s="135"/>
      <c r="X47" s="136"/>
      <c r="Y47" s="135"/>
    </row>
    <row r="48" spans="1:31" ht="12.75" customHeight="1" x14ac:dyDescent="0.2">
      <c r="A48" s="118"/>
      <c r="B48" s="112">
        <v>42</v>
      </c>
      <c r="C48" s="119"/>
      <c r="D48" s="112">
        <v>42</v>
      </c>
      <c r="E48" s="118"/>
      <c r="F48" s="112">
        <v>42</v>
      </c>
      <c r="G48" s="119"/>
      <c r="H48" s="112">
        <v>42</v>
      </c>
      <c r="I48" s="118"/>
      <c r="J48" s="112">
        <v>42</v>
      </c>
      <c r="L48" s="120">
        <f>'Wins Combination'!A65</f>
        <v>0</v>
      </c>
      <c r="M48" s="120">
        <f>'Wins Combination'!B65</f>
        <v>0</v>
      </c>
      <c r="N48" s="120">
        <f>'Wins Combination'!C65</f>
        <v>0</v>
      </c>
      <c r="O48" s="120">
        <f>'Wins Combination'!D65</f>
        <v>0</v>
      </c>
      <c r="P48" s="120">
        <f>'Wins Combination'!E65</f>
        <v>0</v>
      </c>
      <c r="R48" s="114" t="e">
        <f t="shared" si="1"/>
        <v>#N/A</v>
      </c>
      <c r="S48" s="115" t="e">
        <f t="shared" si="2"/>
        <v>#N/A</v>
      </c>
      <c r="T48" s="114" t="e">
        <f t="shared" si="3"/>
        <v>#N/A</v>
      </c>
      <c r="U48" s="114" t="e">
        <f t="shared" si="4"/>
        <v>#N/A</v>
      </c>
      <c r="V48" s="114" t="e">
        <f t="shared" si="5"/>
        <v>#N/A</v>
      </c>
      <c r="W48" s="135"/>
      <c r="X48" s="136"/>
      <c r="Y48" s="135"/>
    </row>
    <row r="49" spans="1:25" ht="12.75" customHeight="1" x14ac:dyDescent="0.2">
      <c r="A49" s="118"/>
      <c r="B49" s="112">
        <v>43</v>
      </c>
      <c r="C49" s="119"/>
      <c r="D49" s="112">
        <v>43</v>
      </c>
      <c r="E49" s="118"/>
      <c r="F49" s="112">
        <v>43</v>
      </c>
      <c r="G49" s="119"/>
      <c r="H49" s="112">
        <v>43</v>
      </c>
      <c r="I49" s="118"/>
      <c r="J49" s="112">
        <v>43</v>
      </c>
      <c r="L49" s="120">
        <f>'Wins Combination'!A66</f>
        <v>0</v>
      </c>
      <c r="M49" s="120">
        <f>'Wins Combination'!B66</f>
        <v>0</v>
      </c>
      <c r="N49" s="120">
        <f>'Wins Combination'!C66</f>
        <v>0</v>
      </c>
      <c r="O49" s="120">
        <f>'Wins Combination'!D66</f>
        <v>0</v>
      </c>
      <c r="P49" s="120">
        <f>'Wins Combination'!E66</f>
        <v>0</v>
      </c>
      <c r="R49" s="114" t="e">
        <f t="shared" si="1"/>
        <v>#N/A</v>
      </c>
      <c r="S49" s="115" t="e">
        <f t="shared" si="2"/>
        <v>#N/A</v>
      </c>
      <c r="T49" s="114" t="e">
        <f t="shared" si="3"/>
        <v>#N/A</v>
      </c>
      <c r="U49" s="114" t="e">
        <f t="shared" si="4"/>
        <v>#N/A</v>
      </c>
      <c r="V49" s="114" t="e">
        <f t="shared" si="5"/>
        <v>#N/A</v>
      </c>
      <c r="W49" s="135"/>
      <c r="X49" s="136"/>
      <c r="Y49" s="135"/>
    </row>
    <row r="50" spans="1:25" ht="12.75" customHeight="1" x14ac:dyDescent="0.2">
      <c r="A50" s="118"/>
      <c r="B50" s="112">
        <v>44</v>
      </c>
      <c r="C50" s="119"/>
      <c r="D50" s="112">
        <v>44</v>
      </c>
      <c r="E50" s="118"/>
      <c r="F50" s="112">
        <v>44</v>
      </c>
      <c r="G50" s="119"/>
      <c r="H50" s="112">
        <v>44</v>
      </c>
      <c r="I50" s="118"/>
      <c r="J50" s="112">
        <v>44</v>
      </c>
      <c r="L50" s="113">
        <f>'Wins Combination'!A67</f>
        <v>0</v>
      </c>
      <c r="M50" s="113">
        <f>'Wins Combination'!B67</f>
        <v>0</v>
      </c>
      <c r="N50" s="113">
        <f>'Wins Combination'!C67</f>
        <v>0</v>
      </c>
      <c r="O50" s="113">
        <f>'Wins Combination'!D67</f>
        <v>0</v>
      </c>
      <c r="P50" s="113">
        <f>'Wins Combination'!E67</f>
        <v>0</v>
      </c>
      <c r="Q50" s="116"/>
      <c r="R50" s="114" t="e">
        <f t="shared" si="1"/>
        <v>#N/A</v>
      </c>
      <c r="S50" s="115" t="e">
        <f t="shared" si="2"/>
        <v>#N/A</v>
      </c>
      <c r="T50" s="114" t="e">
        <f t="shared" si="3"/>
        <v>#N/A</v>
      </c>
      <c r="U50" s="114" t="e">
        <f t="shared" si="4"/>
        <v>#N/A</v>
      </c>
      <c r="V50" s="114" t="e">
        <f t="shared" si="5"/>
        <v>#N/A</v>
      </c>
      <c r="W50" s="137"/>
      <c r="X50" s="136"/>
      <c r="Y50" s="135"/>
    </row>
    <row r="51" spans="1:25" ht="12.75" customHeight="1" x14ac:dyDescent="0.2">
      <c r="A51" s="118"/>
      <c r="B51" s="112">
        <v>45</v>
      </c>
      <c r="C51" s="119"/>
      <c r="D51" s="112">
        <v>45</v>
      </c>
      <c r="E51" s="118"/>
      <c r="F51" s="112">
        <v>45</v>
      </c>
      <c r="G51" s="119"/>
      <c r="H51" s="112">
        <v>45</v>
      </c>
      <c r="I51" s="118"/>
      <c r="J51" s="112">
        <v>45</v>
      </c>
      <c r="R51" s="114" t="e">
        <f t="shared" si="1"/>
        <v>#N/A</v>
      </c>
      <c r="S51" s="115" t="e">
        <f t="shared" si="2"/>
        <v>#N/A</v>
      </c>
      <c r="T51" s="114" t="e">
        <f t="shared" si="3"/>
        <v>#N/A</v>
      </c>
      <c r="U51" s="114" t="e">
        <f t="shared" si="4"/>
        <v>#N/A</v>
      </c>
      <c r="V51" s="114" t="e">
        <f t="shared" si="5"/>
        <v>#N/A</v>
      </c>
      <c r="W51" s="135"/>
      <c r="X51" s="135"/>
      <c r="Y51" s="135"/>
    </row>
    <row r="52" spans="1:25" ht="12.75" customHeight="1" x14ac:dyDescent="0.2">
      <c r="A52" s="118"/>
      <c r="B52" s="112">
        <v>46</v>
      </c>
      <c r="C52" s="119"/>
      <c r="D52" s="112">
        <v>46</v>
      </c>
      <c r="E52" s="118"/>
      <c r="F52" s="112">
        <v>46</v>
      </c>
      <c r="G52" s="119"/>
      <c r="H52" s="112">
        <v>46</v>
      </c>
      <c r="I52" s="118"/>
      <c r="J52" s="112">
        <v>46</v>
      </c>
      <c r="R52" s="114" t="e">
        <f t="shared" si="1"/>
        <v>#N/A</v>
      </c>
      <c r="S52" s="115" t="e">
        <f t="shared" si="2"/>
        <v>#N/A</v>
      </c>
      <c r="T52" s="114" t="e">
        <f t="shared" si="3"/>
        <v>#N/A</v>
      </c>
      <c r="U52" s="114" t="e">
        <f t="shared" si="4"/>
        <v>#N/A</v>
      </c>
      <c r="V52" s="114" t="e">
        <f t="shared" si="5"/>
        <v>#N/A</v>
      </c>
      <c r="W52" s="135"/>
      <c r="X52" s="135"/>
      <c r="Y52" s="135"/>
    </row>
    <row r="53" spans="1:25" ht="12.75" customHeight="1" x14ac:dyDescent="0.2">
      <c r="A53" s="118"/>
      <c r="B53" s="112">
        <v>47</v>
      </c>
      <c r="C53" s="119"/>
      <c r="D53" s="112">
        <v>47</v>
      </c>
      <c r="E53" s="118"/>
      <c r="F53" s="112">
        <v>47</v>
      </c>
      <c r="G53" s="119"/>
      <c r="H53" s="112">
        <v>47</v>
      </c>
      <c r="I53" s="118"/>
      <c r="J53" s="112">
        <v>47</v>
      </c>
      <c r="R53" s="114" t="e">
        <f t="shared" si="1"/>
        <v>#N/A</v>
      </c>
      <c r="S53" s="115" t="e">
        <f t="shared" si="2"/>
        <v>#N/A</v>
      </c>
      <c r="T53" s="114" t="e">
        <f t="shared" si="3"/>
        <v>#N/A</v>
      </c>
      <c r="U53" s="114" t="e">
        <f t="shared" si="4"/>
        <v>#N/A</v>
      </c>
      <c r="V53" s="114" t="e">
        <f t="shared" si="5"/>
        <v>#N/A</v>
      </c>
      <c r="W53" s="135"/>
      <c r="X53" s="135"/>
      <c r="Y53" s="135"/>
    </row>
    <row r="54" spans="1:25" ht="12.75" customHeight="1" x14ac:dyDescent="0.2">
      <c r="A54" s="118"/>
      <c r="B54" s="112">
        <v>48</v>
      </c>
      <c r="C54" s="119"/>
      <c r="D54" s="112">
        <v>48</v>
      </c>
      <c r="E54" s="118"/>
      <c r="F54" s="112">
        <v>48</v>
      </c>
      <c r="G54" s="119"/>
      <c r="H54" s="112">
        <v>48</v>
      </c>
      <c r="I54" s="118"/>
      <c r="J54" s="112">
        <v>48</v>
      </c>
      <c r="R54" s="114" t="e">
        <f t="shared" si="1"/>
        <v>#N/A</v>
      </c>
      <c r="S54" s="115" t="e">
        <f t="shared" si="2"/>
        <v>#N/A</v>
      </c>
      <c r="T54" s="114" t="e">
        <f t="shared" si="3"/>
        <v>#N/A</v>
      </c>
      <c r="U54" s="114" t="e">
        <f t="shared" si="4"/>
        <v>#N/A</v>
      </c>
      <c r="V54" s="114" t="e">
        <f t="shared" si="5"/>
        <v>#N/A</v>
      </c>
      <c r="W54" s="135"/>
      <c r="X54" s="135"/>
      <c r="Y54" s="135"/>
    </row>
    <row r="55" spans="1:25" x14ac:dyDescent="0.2">
      <c r="A55" s="118"/>
      <c r="B55" s="112">
        <v>49</v>
      </c>
      <c r="C55" s="119"/>
      <c r="D55" s="112">
        <v>49</v>
      </c>
      <c r="E55" s="118"/>
      <c r="F55" s="112">
        <v>49</v>
      </c>
      <c r="G55" s="119"/>
      <c r="H55" s="112">
        <v>49</v>
      </c>
      <c r="I55" s="118"/>
      <c r="J55" s="112">
        <v>49</v>
      </c>
      <c r="R55" s="114" t="e">
        <f t="shared" si="1"/>
        <v>#N/A</v>
      </c>
      <c r="S55" s="115" t="e">
        <f t="shared" si="2"/>
        <v>#N/A</v>
      </c>
      <c r="T55" s="114" t="e">
        <f t="shared" si="3"/>
        <v>#N/A</v>
      </c>
      <c r="U55" s="114" t="e">
        <f t="shared" si="4"/>
        <v>#N/A</v>
      </c>
      <c r="V55" s="114" t="e">
        <f t="shared" si="5"/>
        <v>#N/A</v>
      </c>
      <c r="W55" s="135"/>
      <c r="X55" s="135"/>
      <c r="Y55" s="135"/>
    </row>
    <row r="56" spans="1:25" x14ac:dyDescent="0.2">
      <c r="A56" s="118"/>
      <c r="B56" s="112">
        <v>50</v>
      </c>
      <c r="C56" s="119"/>
      <c r="D56" s="112">
        <v>50</v>
      </c>
      <c r="E56" s="118"/>
      <c r="F56" s="112">
        <v>50</v>
      </c>
      <c r="G56" s="119"/>
      <c r="H56" s="112">
        <v>50</v>
      </c>
      <c r="I56" s="118"/>
      <c r="J56" s="112">
        <v>50</v>
      </c>
      <c r="R56" s="114" t="e">
        <f t="shared" si="1"/>
        <v>#N/A</v>
      </c>
      <c r="S56" s="115" t="e">
        <f t="shared" si="2"/>
        <v>#N/A</v>
      </c>
      <c r="T56" s="114" t="e">
        <f t="shared" si="3"/>
        <v>#N/A</v>
      </c>
      <c r="U56" s="114" t="e">
        <f t="shared" si="4"/>
        <v>#N/A</v>
      </c>
      <c r="V56" s="114" t="e">
        <f t="shared" si="5"/>
        <v>#N/A</v>
      </c>
      <c r="W56" s="135"/>
      <c r="X56" s="135"/>
      <c r="Y56" s="135"/>
    </row>
    <row r="57" spans="1:25" x14ac:dyDescent="0.2">
      <c r="A57" s="118"/>
      <c r="B57" s="112">
        <v>51</v>
      </c>
      <c r="C57" s="119"/>
      <c r="D57" s="112">
        <v>51</v>
      </c>
      <c r="E57" s="118"/>
      <c r="F57" s="112">
        <v>51</v>
      </c>
      <c r="G57" s="119"/>
      <c r="H57" s="112">
        <v>51</v>
      </c>
      <c r="I57" s="118"/>
      <c r="J57" s="112">
        <v>51</v>
      </c>
      <c r="R57" s="114" t="e">
        <f t="shared" si="1"/>
        <v>#N/A</v>
      </c>
      <c r="S57" s="115" t="e">
        <f t="shared" si="2"/>
        <v>#N/A</v>
      </c>
      <c r="T57" s="114" t="e">
        <f t="shared" si="3"/>
        <v>#N/A</v>
      </c>
      <c r="U57" s="114" t="e">
        <f t="shared" si="4"/>
        <v>#N/A</v>
      </c>
      <c r="V57" s="114" t="e">
        <f t="shared" si="5"/>
        <v>#N/A</v>
      </c>
      <c r="W57" s="135"/>
      <c r="X57" s="135"/>
      <c r="Y57" s="135"/>
    </row>
    <row r="58" spans="1:25" x14ac:dyDescent="0.2">
      <c r="A58" s="118"/>
      <c r="B58" s="112">
        <v>52</v>
      </c>
      <c r="C58" s="119"/>
      <c r="D58" s="112">
        <v>52</v>
      </c>
      <c r="E58" s="118"/>
      <c r="F58" s="112">
        <v>52</v>
      </c>
      <c r="G58" s="119"/>
      <c r="H58" s="112">
        <v>52</v>
      </c>
      <c r="I58" s="118"/>
      <c r="J58" s="112">
        <v>52</v>
      </c>
      <c r="R58" s="114" t="e">
        <f t="shared" si="1"/>
        <v>#N/A</v>
      </c>
      <c r="S58" s="115" t="e">
        <f t="shared" si="2"/>
        <v>#N/A</v>
      </c>
      <c r="T58" s="114" t="e">
        <f t="shared" si="3"/>
        <v>#N/A</v>
      </c>
      <c r="U58" s="114" t="e">
        <f t="shared" si="4"/>
        <v>#N/A</v>
      </c>
      <c r="V58" s="114" t="e">
        <f t="shared" si="5"/>
        <v>#N/A</v>
      </c>
      <c r="W58" s="135"/>
      <c r="X58" s="135"/>
      <c r="Y58" s="135"/>
    </row>
    <row r="59" spans="1:25" x14ac:dyDescent="0.2">
      <c r="A59" s="118"/>
      <c r="B59" s="112">
        <v>53</v>
      </c>
      <c r="C59" s="119"/>
      <c r="D59" s="112">
        <v>53</v>
      </c>
      <c r="E59" s="118"/>
      <c r="F59" s="112">
        <v>53</v>
      </c>
      <c r="G59" s="119"/>
      <c r="H59" s="112">
        <v>53</v>
      </c>
      <c r="I59" s="118"/>
      <c r="J59" s="112">
        <v>53</v>
      </c>
      <c r="R59" s="114" t="e">
        <f t="shared" si="1"/>
        <v>#N/A</v>
      </c>
      <c r="S59" s="115" t="e">
        <f t="shared" si="2"/>
        <v>#N/A</v>
      </c>
      <c r="T59" s="114" t="e">
        <f t="shared" si="3"/>
        <v>#N/A</v>
      </c>
      <c r="U59" s="114" t="e">
        <f t="shared" si="4"/>
        <v>#N/A</v>
      </c>
      <c r="V59" s="114" t="e">
        <f t="shared" si="5"/>
        <v>#N/A</v>
      </c>
      <c r="W59" s="135"/>
      <c r="X59" s="135"/>
      <c r="Y59" s="135"/>
    </row>
    <row r="60" spans="1:25" x14ac:dyDescent="0.2">
      <c r="A60" s="118"/>
      <c r="B60" s="112">
        <v>54</v>
      </c>
      <c r="C60" s="119"/>
      <c r="D60" s="112">
        <v>54</v>
      </c>
      <c r="E60" s="118"/>
      <c r="F60" s="112">
        <v>54</v>
      </c>
      <c r="G60" s="119"/>
      <c r="H60" s="112">
        <v>54</v>
      </c>
      <c r="I60" s="118"/>
      <c r="J60" s="112">
        <v>54</v>
      </c>
      <c r="R60" s="114" t="e">
        <f t="shared" si="1"/>
        <v>#N/A</v>
      </c>
      <c r="S60" s="115" t="e">
        <f t="shared" si="2"/>
        <v>#N/A</v>
      </c>
      <c r="T60" s="114" t="e">
        <f t="shared" si="3"/>
        <v>#N/A</v>
      </c>
      <c r="U60" s="114" t="e">
        <f t="shared" si="4"/>
        <v>#N/A</v>
      </c>
      <c r="V60" s="114" t="e">
        <f t="shared" si="5"/>
        <v>#N/A</v>
      </c>
      <c r="W60" s="135"/>
      <c r="X60" s="135"/>
      <c r="Y60" s="135"/>
    </row>
    <row r="61" spans="1:25" x14ac:dyDescent="0.2">
      <c r="A61" s="118"/>
      <c r="B61" s="112">
        <v>55</v>
      </c>
      <c r="C61" s="119"/>
      <c r="D61" s="112">
        <v>55</v>
      </c>
      <c r="E61" s="118"/>
      <c r="F61" s="112">
        <v>55</v>
      </c>
      <c r="G61" s="119"/>
      <c r="H61" s="112">
        <v>55</v>
      </c>
      <c r="I61" s="118"/>
      <c r="J61" s="112">
        <v>55</v>
      </c>
      <c r="L61" s="116"/>
      <c r="M61" s="116"/>
      <c r="N61" s="116"/>
      <c r="O61" s="116"/>
      <c r="P61" s="116"/>
      <c r="Q61" s="116"/>
      <c r="R61" s="114" t="e">
        <f t="shared" si="1"/>
        <v>#N/A</v>
      </c>
      <c r="S61" s="115" t="e">
        <f t="shared" si="2"/>
        <v>#N/A</v>
      </c>
      <c r="T61" s="114" t="e">
        <f t="shared" si="3"/>
        <v>#N/A</v>
      </c>
      <c r="U61" s="114" t="e">
        <f t="shared" si="4"/>
        <v>#N/A</v>
      </c>
      <c r="V61" s="114" t="e">
        <f t="shared" si="5"/>
        <v>#N/A</v>
      </c>
      <c r="W61" s="137"/>
      <c r="X61" s="142"/>
      <c r="Y61" s="135"/>
    </row>
    <row r="62" spans="1:25" x14ac:dyDescent="0.2">
      <c r="A62" s="118"/>
      <c r="B62" s="112">
        <v>56</v>
      </c>
      <c r="C62" s="119"/>
      <c r="D62" s="112">
        <v>56</v>
      </c>
      <c r="E62" s="118"/>
      <c r="F62" s="112">
        <v>56</v>
      </c>
      <c r="G62" s="119"/>
      <c r="H62" s="112">
        <v>56</v>
      </c>
      <c r="I62" s="118"/>
      <c r="J62" s="112">
        <v>56</v>
      </c>
      <c r="L62" s="116"/>
      <c r="M62" s="116"/>
      <c r="N62" s="116"/>
      <c r="O62" s="116"/>
      <c r="P62" s="116"/>
      <c r="Q62" s="116"/>
      <c r="R62" s="114" t="e">
        <f t="shared" si="1"/>
        <v>#N/A</v>
      </c>
      <c r="S62" s="115" t="e">
        <f t="shared" si="2"/>
        <v>#N/A</v>
      </c>
      <c r="T62" s="114" t="e">
        <f t="shared" si="3"/>
        <v>#N/A</v>
      </c>
      <c r="U62" s="114" t="e">
        <f t="shared" si="4"/>
        <v>#N/A</v>
      </c>
      <c r="V62" s="114" t="e">
        <f t="shared" si="5"/>
        <v>#N/A</v>
      </c>
      <c r="W62" s="137"/>
      <c r="X62" s="142"/>
      <c r="Y62" s="135"/>
    </row>
    <row r="63" spans="1:25" x14ac:dyDescent="0.2">
      <c r="A63" s="118"/>
      <c r="B63" s="112">
        <v>57</v>
      </c>
      <c r="C63" s="119"/>
      <c r="D63" s="112">
        <v>57</v>
      </c>
      <c r="E63" s="118"/>
      <c r="F63" s="112">
        <v>57</v>
      </c>
      <c r="G63" s="119"/>
      <c r="H63" s="112">
        <v>57</v>
      </c>
      <c r="I63" s="118"/>
      <c r="J63" s="112">
        <v>57</v>
      </c>
      <c r="L63" s="116"/>
      <c r="M63" s="116"/>
      <c r="N63" s="116"/>
      <c r="O63" s="116"/>
      <c r="P63" s="116"/>
      <c r="Q63" s="116"/>
      <c r="R63" s="114" t="e">
        <f t="shared" si="1"/>
        <v>#N/A</v>
      </c>
      <c r="S63" s="115" t="e">
        <f t="shared" si="2"/>
        <v>#N/A</v>
      </c>
      <c r="T63" s="114" t="e">
        <f t="shared" si="3"/>
        <v>#N/A</v>
      </c>
      <c r="U63" s="114" t="e">
        <f t="shared" si="4"/>
        <v>#N/A</v>
      </c>
      <c r="V63" s="114" t="e">
        <f t="shared" si="5"/>
        <v>#N/A</v>
      </c>
      <c r="W63" s="137"/>
      <c r="X63" s="142"/>
      <c r="Y63" s="135"/>
    </row>
    <row r="64" spans="1:25" x14ac:dyDescent="0.2">
      <c r="A64" s="118"/>
      <c r="B64" s="112">
        <v>58</v>
      </c>
      <c r="C64" s="119"/>
      <c r="D64" s="112">
        <v>58</v>
      </c>
      <c r="E64" s="118"/>
      <c r="F64" s="112">
        <v>58</v>
      </c>
      <c r="G64" s="119"/>
      <c r="H64" s="112">
        <v>58</v>
      </c>
      <c r="I64" s="118"/>
      <c r="J64" s="112">
        <v>58</v>
      </c>
      <c r="L64" s="116"/>
      <c r="M64" s="116"/>
      <c r="N64" s="116"/>
      <c r="O64" s="116"/>
      <c r="P64" s="116"/>
      <c r="Q64" s="116"/>
      <c r="R64" s="114" t="e">
        <f t="shared" si="1"/>
        <v>#N/A</v>
      </c>
      <c r="S64" s="115" t="e">
        <f t="shared" si="2"/>
        <v>#N/A</v>
      </c>
      <c r="T64" s="114" t="e">
        <f t="shared" si="3"/>
        <v>#N/A</v>
      </c>
      <c r="U64" s="114" t="e">
        <f t="shared" si="4"/>
        <v>#N/A</v>
      </c>
      <c r="V64" s="114" t="e">
        <f t="shared" si="5"/>
        <v>#N/A</v>
      </c>
      <c r="W64" s="137"/>
      <c r="X64" s="142"/>
      <c r="Y64" s="135"/>
    </row>
    <row r="65" spans="1:25" x14ac:dyDescent="0.2">
      <c r="A65" s="118"/>
      <c r="B65" s="112">
        <v>59</v>
      </c>
      <c r="C65" s="119"/>
      <c r="D65" s="112">
        <v>59</v>
      </c>
      <c r="E65" s="118"/>
      <c r="F65" s="112">
        <v>59</v>
      </c>
      <c r="G65" s="119"/>
      <c r="H65" s="112">
        <v>59</v>
      </c>
      <c r="I65" s="118"/>
      <c r="J65" s="112">
        <v>59</v>
      </c>
      <c r="L65" s="116"/>
      <c r="M65" s="116"/>
      <c r="N65" s="116"/>
      <c r="O65" s="116"/>
      <c r="P65" s="116"/>
      <c r="Q65" s="116"/>
      <c r="R65" s="114" t="e">
        <f t="shared" si="1"/>
        <v>#N/A</v>
      </c>
      <c r="S65" s="115" t="e">
        <f t="shared" si="2"/>
        <v>#N/A</v>
      </c>
      <c r="T65" s="114" t="e">
        <f t="shared" si="3"/>
        <v>#N/A</v>
      </c>
      <c r="U65" s="114" t="e">
        <f t="shared" si="4"/>
        <v>#N/A</v>
      </c>
      <c r="V65" s="114" t="e">
        <f t="shared" si="5"/>
        <v>#N/A</v>
      </c>
      <c r="W65" s="137"/>
      <c r="X65" s="142"/>
      <c r="Y65" s="135"/>
    </row>
    <row r="66" spans="1:25" x14ac:dyDescent="0.2">
      <c r="A66" s="118"/>
      <c r="B66" s="112">
        <v>60</v>
      </c>
      <c r="C66" s="119"/>
      <c r="D66" s="112">
        <v>60</v>
      </c>
      <c r="E66" s="118"/>
      <c r="F66" s="112">
        <v>60</v>
      </c>
      <c r="G66" s="119"/>
      <c r="H66" s="112">
        <v>60</v>
      </c>
      <c r="I66" s="118"/>
      <c r="J66" s="112">
        <v>60</v>
      </c>
      <c r="L66" s="116"/>
      <c r="M66" s="116"/>
      <c r="N66" s="116"/>
      <c r="O66" s="116"/>
      <c r="P66" s="116"/>
      <c r="Q66" s="116"/>
      <c r="R66" s="114" t="e">
        <f t="shared" si="1"/>
        <v>#N/A</v>
      </c>
      <c r="S66" s="115" t="e">
        <f t="shared" si="2"/>
        <v>#N/A</v>
      </c>
      <c r="T66" s="114" t="e">
        <f t="shared" si="3"/>
        <v>#N/A</v>
      </c>
      <c r="U66" s="114" t="e">
        <f t="shared" si="4"/>
        <v>#N/A</v>
      </c>
      <c r="V66" s="114" t="e">
        <f t="shared" si="5"/>
        <v>#N/A</v>
      </c>
      <c r="W66" s="137"/>
      <c r="X66" s="142"/>
      <c r="Y66" s="135"/>
    </row>
    <row r="67" spans="1:25" x14ac:dyDescent="0.2">
      <c r="A67" s="118"/>
      <c r="B67" s="112">
        <v>61</v>
      </c>
      <c r="C67" s="119"/>
      <c r="D67" s="112">
        <v>61</v>
      </c>
      <c r="E67" s="118"/>
      <c r="F67" s="112">
        <v>61</v>
      </c>
      <c r="G67" s="119"/>
      <c r="H67" s="112">
        <v>61</v>
      </c>
      <c r="I67" s="118"/>
      <c r="J67" s="112">
        <v>61</v>
      </c>
      <c r="L67" s="116"/>
      <c r="M67" s="116"/>
      <c r="N67" s="116"/>
      <c r="O67" s="116"/>
      <c r="P67" s="116"/>
      <c r="Q67" s="116"/>
      <c r="R67" s="114" t="e">
        <f t="shared" si="1"/>
        <v>#N/A</v>
      </c>
      <c r="S67" s="115" t="e">
        <f t="shared" si="2"/>
        <v>#N/A</v>
      </c>
      <c r="T67" s="114" t="e">
        <f t="shared" si="3"/>
        <v>#N/A</v>
      </c>
      <c r="U67" s="114" t="e">
        <f t="shared" si="4"/>
        <v>#N/A</v>
      </c>
      <c r="V67" s="114" t="e">
        <f t="shared" si="5"/>
        <v>#N/A</v>
      </c>
      <c r="W67" s="137"/>
      <c r="X67" s="142"/>
      <c r="Y67" s="135"/>
    </row>
    <row r="68" spans="1:25" x14ac:dyDescent="0.2">
      <c r="A68" s="118"/>
      <c r="B68" s="112">
        <v>62</v>
      </c>
      <c r="C68" s="119"/>
      <c r="D68" s="112">
        <v>62</v>
      </c>
      <c r="E68" s="118"/>
      <c r="F68" s="112">
        <v>62</v>
      </c>
      <c r="G68" s="119"/>
      <c r="H68" s="112">
        <v>62</v>
      </c>
      <c r="I68" s="118"/>
      <c r="J68" s="112">
        <v>62</v>
      </c>
      <c r="L68" s="116"/>
      <c r="M68" s="116"/>
      <c r="N68" s="116"/>
      <c r="O68" s="116"/>
      <c r="P68" s="116"/>
      <c r="Q68" s="116"/>
      <c r="R68" s="114" t="e">
        <f t="shared" si="1"/>
        <v>#N/A</v>
      </c>
      <c r="S68" s="115" t="e">
        <f t="shared" si="2"/>
        <v>#N/A</v>
      </c>
      <c r="T68" s="114" t="e">
        <f t="shared" si="3"/>
        <v>#N/A</v>
      </c>
      <c r="U68" s="114" t="e">
        <f t="shared" si="4"/>
        <v>#N/A</v>
      </c>
      <c r="V68" s="114" t="e">
        <f t="shared" si="5"/>
        <v>#N/A</v>
      </c>
      <c r="W68" s="137"/>
      <c r="X68" s="142"/>
      <c r="Y68" s="135"/>
    </row>
    <row r="69" spans="1:25" x14ac:dyDescent="0.2">
      <c r="A69" s="118"/>
      <c r="B69" s="112">
        <v>63</v>
      </c>
      <c r="C69" s="119"/>
      <c r="D69" s="112">
        <v>63</v>
      </c>
      <c r="E69" s="118"/>
      <c r="F69" s="112">
        <v>63</v>
      </c>
      <c r="G69" s="119"/>
      <c r="H69" s="112">
        <v>63</v>
      </c>
      <c r="I69" s="118"/>
      <c r="J69" s="112">
        <v>63</v>
      </c>
      <c r="L69" s="116"/>
      <c r="M69" s="116"/>
      <c r="N69" s="116"/>
      <c r="O69" s="116"/>
      <c r="P69" s="116"/>
      <c r="Q69" s="116"/>
      <c r="R69" s="114" t="e">
        <f t="shared" si="1"/>
        <v>#N/A</v>
      </c>
      <c r="S69" s="115" t="e">
        <f t="shared" si="2"/>
        <v>#N/A</v>
      </c>
      <c r="T69" s="114" t="e">
        <f t="shared" si="3"/>
        <v>#N/A</v>
      </c>
      <c r="U69" s="114" t="e">
        <f t="shared" si="4"/>
        <v>#N/A</v>
      </c>
      <c r="V69" s="114" t="e">
        <f t="shared" si="5"/>
        <v>#N/A</v>
      </c>
      <c r="W69" s="137"/>
      <c r="X69" s="142"/>
      <c r="Y69" s="135"/>
    </row>
    <row r="70" spans="1:25" x14ac:dyDescent="0.2">
      <c r="A70" s="118"/>
      <c r="B70" s="112">
        <v>64</v>
      </c>
      <c r="C70" s="119"/>
      <c r="D70" s="112">
        <v>64</v>
      </c>
      <c r="E70" s="118"/>
      <c r="F70" s="112">
        <v>64</v>
      </c>
      <c r="G70" s="119"/>
      <c r="H70" s="112">
        <v>64</v>
      </c>
      <c r="I70" s="118"/>
      <c r="J70" s="112">
        <v>64</v>
      </c>
      <c r="L70" s="116"/>
      <c r="M70" s="116"/>
      <c r="N70" s="116"/>
      <c r="O70" s="116"/>
      <c r="P70" s="116"/>
      <c r="Q70" s="116"/>
      <c r="R70" s="114" t="e">
        <f t="shared" si="1"/>
        <v>#N/A</v>
      </c>
      <c r="S70" s="115" t="e">
        <f t="shared" si="2"/>
        <v>#N/A</v>
      </c>
      <c r="T70" s="114" t="e">
        <f t="shared" si="3"/>
        <v>#N/A</v>
      </c>
      <c r="U70" s="114" t="e">
        <f t="shared" si="4"/>
        <v>#N/A</v>
      </c>
      <c r="V70" s="114" t="e">
        <f t="shared" si="5"/>
        <v>#N/A</v>
      </c>
      <c r="W70" s="137"/>
      <c r="X70" s="142"/>
      <c r="Y70" s="135"/>
    </row>
    <row r="71" spans="1:25" x14ac:dyDescent="0.2">
      <c r="A71" s="118"/>
      <c r="B71" s="112">
        <v>65</v>
      </c>
      <c r="C71" s="119"/>
      <c r="D71" s="112">
        <v>65</v>
      </c>
      <c r="E71" s="118"/>
      <c r="F71" s="112">
        <v>65</v>
      </c>
      <c r="G71" s="119"/>
      <c r="H71" s="112">
        <v>65</v>
      </c>
      <c r="I71" s="118"/>
      <c r="J71" s="112">
        <v>65</v>
      </c>
      <c r="L71" s="116"/>
      <c r="M71" s="116"/>
      <c r="N71" s="116"/>
      <c r="O71" s="116"/>
      <c r="P71" s="116"/>
      <c r="Q71" s="116"/>
      <c r="R71" s="114" t="e">
        <f t="shared" ref="R71:R134" si="6">IF(L71="-", "ERROR", VLOOKUP(L71, $A$6:$B$200, 2, FALSE))</f>
        <v>#N/A</v>
      </c>
      <c r="S71" s="115" t="e">
        <f t="shared" ref="S71:S94" si="7">IF(M71="-",VLOOKUP(VLOOKUP($L71,$Z$7:$AA$39,2,FALSE),C$6:D$200,2,FALSE),VLOOKUP(M71,C$6:D$200,2,FALSE))</f>
        <v>#N/A</v>
      </c>
      <c r="T71" s="114" t="e">
        <f t="shared" ref="T71:T94" si="8">IF(N71="-",VLOOKUP(VLOOKUP($L71,$Z$7:$AA$39,2,FALSE),E$6:F$200,2,FALSE),VLOOKUP(N71,E$6:F$200,2,FALSE))</f>
        <v>#N/A</v>
      </c>
      <c r="U71" s="114" t="e">
        <f t="shared" ref="U71:U94" si="9">IF(O71="-",VLOOKUP(VLOOKUP($L71,$Z$7:$AA$39,2,FALSE),G$6:H$200,2,FALSE),VLOOKUP(O71,G$6:H$200,2,FALSE))</f>
        <v>#N/A</v>
      </c>
      <c r="V71" s="114" t="e">
        <f t="shared" ref="V71:V94" si="10">IF(P71="-",VLOOKUP(VLOOKUP($L71,$Z$7:$AA$39,2,FALSE),I$6:J$200,2,FALSE),VLOOKUP(P71,I$6:J$200,2,FALSE))</f>
        <v>#N/A</v>
      </c>
      <c r="W71" s="137"/>
      <c r="X71" s="142"/>
      <c r="Y71" s="135"/>
    </row>
    <row r="72" spans="1:25" x14ac:dyDescent="0.2">
      <c r="A72" s="118"/>
      <c r="B72" s="112">
        <v>66</v>
      </c>
      <c r="C72" s="119"/>
      <c r="D72" s="112">
        <v>66</v>
      </c>
      <c r="E72" s="118"/>
      <c r="F72" s="112">
        <v>66</v>
      </c>
      <c r="G72" s="119"/>
      <c r="H72" s="112">
        <v>66</v>
      </c>
      <c r="I72" s="118"/>
      <c r="J72" s="112">
        <v>66</v>
      </c>
      <c r="L72" s="116"/>
      <c r="M72" s="116"/>
      <c r="N72" s="116"/>
      <c r="O72" s="116"/>
      <c r="P72" s="116"/>
      <c r="Q72" s="116"/>
      <c r="R72" s="114" t="e">
        <f t="shared" si="6"/>
        <v>#N/A</v>
      </c>
      <c r="S72" s="115" t="e">
        <f t="shared" si="7"/>
        <v>#N/A</v>
      </c>
      <c r="T72" s="114" t="e">
        <f t="shared" si="8"/>
        <v>#N/A</v>
      </c>
      <c r="U72" s="114" t="e">
        <f t="shared" si="9"/>
        <v>#N/A</v>
      </c>
      <c r="V72" s="114" t="e">
        <f t="shared" si="10"/>
        <v>#N/A</v>
      </c>
      <c r="W72" s="137"/>
      <c r="X72" s="142"/>
      <c r="Y72" s="135"/>
    </row>
    <row r="73" spans="1:25" x14ac:dyDescent="0.2">
      <c r="A73" s="118"/>
      <c r="B73" s="112">
        <v>67</v>
      </c>
      <c r="C73" s="119"/>
      <c r="D73" s="112">
        <v>67</v>
      </c>
      <c r="E73" s="118"/>
      <c r="F73" s="112">
        <v>67</v>
      </c>
      <c r="G73" s="119"/>
      <c r="H73" s="112">
        <v>67</v>
      </c>
      <c r="I73" s="118"/>
      <c r="J73" s="112">
        <v>67</v>
      </c>
      <c r="L73" s="116"/>
      <c r="M73" s="116"/>
      <c r="N73" s="116"/>
      <c r="O73" s="116"/>
      <c r="P73" s="116"/>
      <c r="Q73" s="116"/>
      <c r="R73" s="114" t="e">
        <f t="shared" si="6"/>
        <v>#N/A</v>
      </c>
      <c r="S73" s="115" t="e">
        <f t="shared" si="7"/>
        <v>#N/A</v>
      </c>
      <c r="T73" s="114" t="e">
        <f t="shared" si="8"/>
        <v>#N/A</v>
      </c>
      <c r="U73" s="114" t="e">
        <f t="shared" si="9"/>
        <v>#N/A</v>
      </c>
      <c r="V73" s="114" t="e">
        <f t="shared" si="10"/>
        <v>#N/A</v>
      </c>
      <c r="W73" s="137"/>
      <c r="X73" s="142"/>
      <c r="Y73" s="135"/>
    </row>
    <row r="74" spans="1:25" x14ac:dyDescent="0.2">
      <c r="A74" s="118"/>
      <c r="B74" s="112">
        <v>68</v>
      </c>
      <c r="C74" s="119"/>
      <c r="D74" s="112">
        <v>68</v>
      </c>
      <c r="E74" s="118"/>
      <c r="F74" s="112">
        <v>68</v>
      </c>
      <c r="G74" s="119"/>
      <c r="H74" s="112">
        <v>68</v>
      </c>
      <c r="I74" s="118"/>
      <c r="J74" s="112">
        <v>68</v>
      </c>
      <c r="L74" s="116"/>
      <c r="M74" s="116"/>
      <c r="N74" s="116"/>
      <c r="O74" s="116"/>
      <c r="P74" s="116"/>
      <c r="Q74" s="116"/>
      <c r="R74" s="114" t="e">
        <f t="shared" si="6"/>
        <v>#N/A</v>
      </c>
      <c r="S74" s="115" t="e">
        <f t="shared" si="7"/>
        <v>#N/A</v>
      </c>
      <c r="T74" s="114" t="e">
        <f t="shared" si="8"/>
        <v>#N/A</v>
      </c>
      <c r="U74" s="114" t="e">
        <f t="shared" si="9"/>
        <v>#N/A</v>
      </c>
      <c r="V74" s="114" t="e">
        <f t="shared" si="10"/>
        <v>#N/A</v>
      </c>
      <c r="W74" s="137"/>
      <c r="X74" s="142"/>
      <c r="Y74" s="135"/>
    </row>
    <row r="75" spans="1:25" x14ac:dyDescent="0.2">
      <c r="A75" s="118"/>
      <c r="B75" s="112">
        <v>69</v>
      </c>
      <c r="C75" s="119"/>
      <c r="D75" s="112">
        <v>69</v>
      </c>
      <c r="E75" s="118"/>
      <c r="F75" s="112">
        <v>69</v>
      </c>
      <c r="G75" s="119"/>
      <c r="H75" s="112">
        <v>69</v>
      </c>
      <c r="I75" s="118"/>
      <c r="J75" s="112">
        <v>69</v>
      </c>
      <c r="L75" s="116"/>
      <c r="M75" s="116"/>
      <c r="N75" s="116"/>
      <c r="O75" s="116"/>
      <c r="P75" s="116"/>
      <c r="Q75" s="116"/>
      <c r="R75" s="114" t="e">
        <f t="shared" si="6"/>
        <v>#N/A</v>
      </c>
      <c r="S75" s="115" t="e">
        <f t="shared" si="7"/>
        <v>#N/A</v>
      </c>
      <c r="T75" s="114" t="e">
        <f t="shared" si="8"/>
        <v>#N/A</v>
      </c>
      <c r="U75" s="114" t="e">
        <f t="shared" si="9"/>
        <v>#N/A</v>
      </c>
      <c r="V75" s="114" t="e">
        <f t="shared" si="10"/>
        <v>#N/A</v>
      </c>
      <c r="W75" s="137"/>
      <c r="X75" s="142"/>
      <c r="Y75" s="135"/>
    </row>
    <row r="76" spans="1:25" x14ac:dyDescent="0.2">
      <c r="A76" s="118"/>
      <c r="B76" s="112">
        <v>70</v>
      </c>
      <c r="C76" s="119"/>
      <c r="D76" s="112">
        <v>70</v>
      </c>
      <c r="E76" s="118"/>
      <c r="F76" s="112">
        <v>70</v>
      </c>
      <c r="G76" s="119"/>
      <c r="H76" s="112">
        <v>70</v>
      </c>
      <c r="I76" s="118"/>
      <c r="J76" s="112">
        <v>70</v>
      </c>
      <c r="L76" s="116"/>
      <c r="M76" s="116"/>
      <c r="N76" s="116"/>
      <c r="O76" s="116"/>
      <c r="P76" s="116"/>
      <c r="Q76" s="116"/>
      <c r="R76" s="114" t="e">
        <f t="shared" si="6"/>
        <v>#N/A</v>
      </c>
      <c r="S76" s="115" t="e">
        <f t="shared" si="7"/>
        <v>#N/A</v>
      </c>
      <c r="T76" s="114" t="e">
        <f t="shared" si="8"/>
        <v>#N/A</v>
      </c>
      <c r="U76" s="114" t="e">
        <f t="shared" si="9"/>
        <v>#N/A</v>
      </c>
      <c r="V76" s="114" t="e">
        <f t="shared" si="10"/>
        <v>#N/A</v>
      </c>
      <c r="W76" s="137"/>
      <c r="X76" s="142"/>
      <c r="Y76" s="135"/>
    </row>
    <row r="77" spans="1:25" x14ac:dyDescent="0.2">
      <c r="A77" s="118"/>
      <c r="B77" s="112">
        <v>71</v>
      </c>
      <c r="C77" s="119"/>
      <c r="D77" s="112">
        <v>71</v>
      </c>
      <c r="E77" s="118"/>
      <c r="F77" s="112">
        <v>71</v>
      </c>
      <c r="G77" s="119"/>
      <c r="H77" s="112">
        <v>71</v>
      </c>
      <c r="I77" s="118"/>
      <c r="J77" s="112">
        <v>71</v>
      </c>
      <c r="L77" s="116"/>
      <c r="M77" s="116"/>
      <c r="N77" s="116"/>
      <c r="O77" s="116"/>
      <c r="P77" s="116"/>
      <c r="Q77" s="116"/>
      <c r="R77" s="114" t="e">
        <f t="shared" si="6"/>
        <v>#N/A</v>
      </c>
      <c r="S77" s="115" t="e">
        <f t="shared" si="7"/>
        <v>#N/A</v>
      </c>
      <c r="T77" s="114" t="e">
        <f t="shared" si="8"/>
        <v>#N/A</v>
      </c>
      <c r="U77" s="114" t="e">
        <f t="shared" si="9"/>
        <v>#N/A</v>
      </c>
      <c r="V77" s="114" t="e">
        <f t="shared" si="10"/>
        <v>#N/A</v>
      </c>
      <c r="W77" s="137"/>
      <c r="X77" s="142"/>
      <c r="Y77" s="135"/>
    </row>
    <row r="78" spans="1:25" x14ac:dyDescent="0.2">
      <c r="A78" s="118"/>
      <c r="B78" s="112">
        <v>72</v>
      </c>
      <c r="C78" s="119"/>
      <c r="D78" s="112">
        <v>72</v>
      </c>
      <c r="E78" s="118"/>
      <c r="F78" s="112">
        <v>72</v>
      </c>
      <c r="G78" s="119"/>
      <c r="H78" s="112">
        <v>72</v>
      </c>
      <c r="I78" s="118"/>
      <c r="J78" s="112">
        <v>72</v>
      </c>
      <c r="L78" s="116"/>
      <c r="M78" s="116"/>
      <c r="N78" s="116"/>
      <c r="O78" s="116"/>
      <c r="P78" s="116"/>
      <c r="Q78" s="116"/>
      <c r="R78" s="114" t="e">
        <f t="shared" si="6"/>
        <v>#N/A</v>
      </c>
      <c r="S78" s="115" t="e">
        <f t="shared" si="7"/>
        <v>#N/A</v>
      </c>
      <c r="T78" s="114" t="e">
        <f t="shared" si="8"/>
        <v>#N/A</v>
      </c>
      <c r="U78" s="114" t="e">
        <f t="shared" si="9"/>
        <v>#N/A</v>
      </c>
      <c r="V78" s="114" t="e">
        <f t="shared" si="10"/>
        <v>#N/A</v>
      </c>
      <c r="W78" s="137"/>
      <c r="X78" s="142"/>
      <c r="Y78" s="135"/>
    </row>
    <row r="79" spans="1:25" x14ac:dyDescent="0.2">
      <c r="A79" s="118"/>
      <c r="B79" s="112">
        <v>73</v>
      </c>
      <c r="C79" s="119"/>
      <c r="D79" s="112">
        <v>73</v>
      </c>
      <c r="E79" s="118"/>
      <c r="F79" s="112">
        <v>73</v>
      </c>
      <c r="G79" s="119"/>
      <c r="H79" s="112">
        <v>73</v>
      </c>
      <c r="I79" s="118"/>
      <c r="J79" s="112">
        <v>73</v>
      </c>
      <c r="L79" s="116"/>
      <c r="M79" s="116"/>
      <c r="N79" s="116"/>
      <c r="O79" s="116"/>
      <c r="P79" s="116"/>
      <c r="Q79" s="116"/>
      <c r="R79" s="114" t="e">
        <f t="shared" si="6"/>
        <v>#N/A</v>
      </c>
      <c r="S79" s="115" t="e">
        <f t="shared" si="7"/>
        <v>#N/A</v>
      </c>
      <c r="T79" s="114" t="e">
        <f t="shared" si="8"/>
        <v>#N/A</v>
      </c>
      <c r="U79" s="114" t="e">
        <f t="shared" si="9"/>
        <v>#N/A</v>
      </c>
      <c r="V79" s="114" t="e">
        <f t="shared" si="10"/>
        <v>#N/A</v>
      </c>
      <c r="W79" s="137"/>
      <c r="X79" s="142"/>
      <c r="Y79" s="135"/>
    </row>
    <row r="80" spans="1:25" x14ac:dyDescent="0.2">
      <c r="A80" s="118"/>
      <c r="B80" s="112">
        <v>74</v>
      </c>
      <c r="C80" s="119"/>
      <c r="D80" s="112">
        <v>74</v>
      </c>
      <c r="E80" s="118"/>
      <c r="F80" s="112">
        <v>74</v>
      </c>
      <c r="G80" s="119"/>
      <c r="H80" s="112">
        <v>74</v>
      </c>
      <c r="I80" s="118"/>
      <c r="J80" s="112">
        <v>74</v>
      </c>
      <c r="L80" s="116"/>
      <c r="M80" s="116"/>
      <c r="N80" s="116"/>
      <c r="O80" s="116"/>
      <c r="P80" s="116"/>
      <c r="Q80" s="116"/>
      <c r="R80" s="114" t="e">
        <f t="shared" si="6"/>
        <v>#N/A</v>
      </c>
      <c r="S80" s="115" t="e">
        <f t="shared" si="7"/>
        <v>#N/A</v>
      </c>
      <c r="T80" s="114" t="e">
        <f t="shared" si="8"/>
        <v>#N/A</v>
      </c>
      <c r="U80" s="114" t="e">
        <f t="shared" si="9"/>
        <v>#N/A</v>
      </c>
      <c r="V80" s="114" t="e">
        <f t="shared" si="10"/>
        <v>#N/A</v>
      </c>
      <c r="W80" s="137"/>
      <c r="X80" s="142"/>
      <c r="Y80" s="135"/>
    </row>
    <row r="81" spans="1:25" x14ac:dyDescent="0.2">
      <c r="A81" s="118"/>
      <c r="B81" s="112">
        <v>75</v>
      </c>
      <c r="C81" s="119"/>
      <c r="D81" s="112">
        <v>75</v>
      </c>
      <c r="E81" s="118"/>
      <c r="F81" s="112">
        <v>75</v>
      </c>
      <c r="G81" s="119"/>
      <c r="H81" s="112">
        <v>75</v>
      </c>
      <c r="I81" s="118"/>
      <c r="J81" s="112">
        <v>75</v>
      </c>
      <c r="L81" s="116"/>
      <c r="M81" s="116"/>
      <c r="N81" s="116"/>
      <c r="O81" s="116"/>
      <c r="P81" s="116"/>
      <c r="Q81" s="116"/>
      <c r="R81" s="114" t="e">
        <f t="shared" si="6"/>
        <v>#N/A</v>
      </c>
      <c r="S81" s="115" t="e">
        <f t="shared" si="7"/>
        <v>#N/A</v>
      </c>
      <c r="T81" s="114" t="e">
        <f t="shared" si="8"/>
        <v>#N/A</v>
      </c>
      <c r="U81" s="114" t="e">
        <f t="shared" si="9"/>
        <v>#N/A</v>
      </c>
      <c r="V81" s="114" t="e">
        <f t="shared" si="10"/>
        <v>#N/A</v>
      </c>
      <c r="W81" s="137"/>
      <c r="X81" s="142"/>
      <c r="Y81" s="135"/>
    </row>
    <row r="82" spans="1:25" x14ac:dyDescent="0.2">
      <c r="A82" s="118"/>
      <c r="B82" s="112">
        <v>76</v>
      </c>
      <c r="C82" s="119"/>
      <c r="D82" s="112">
        <v>76</v>
      </c>
      <c r="E82" s="118"/>
      <c r="F82" s="112">
        <v>76</v>
      </c>
      <c r="G82" s="119"/>
      <c r="H82" s="112">
        <v>76</v>
      </c>
      <c r="I82" s="118"/>
      <c r="J82" s="112">
        <v>76</v>
      </c>
      <c r="L82" s="116"/>
      <c r="M82" s="116"/>
      <c r="N82" s="116"/>
      <c r="O82" s="116"/>
      <c r="P82" s="116"/>
      <c r="Q82" s="116"/>
      <c r="R82" s="114" t="e">
        <f t="shared" si="6"/>
        <v>#N/A</v>
      </c>
      <c r="S82" s="115" t="e">
        <f t="shared" si="7"/>
        <v>#N/A</v>
      </c>
      <c r="T82" s="114" t="e">
        <f t="shared" si="8"/>
        <v>#N/A</v>
      </c>
      <c r="U82" s="114" t="e">
        <f t="shared" si="9"/>
        <v>#N/A</v>
      </c>
      <c r="V82" s="114" t="e">
        <f t="shared" si="10"/>
        <v>#N/A</v>
      </c>
      <c r="W82" s="137"/>
      <c r="X82" s="142"/>
      <c r="Y82" s="135"/>
    </row>
    <row r="83" spans="1:25" x14ac:dyDescent="0.2">
      <c r="A83" s="118"/>
      <c r="B83" s="112">
        <v>77</v>
      </c>
      <c r="C83" s="119"/>
      <c r="D83" s="112">
        <v>77</v>
      </c>
      <c r="E83" s="118"/>
      <c r="F83" s="112">
        <v>77</v>
      </c>
      <c r="G83" s="119"/>
      <c r="H83" s="112">
        <v>77</v>
      </c>
      <c r="I83" s="118"/>
      <c r="J83" s="112">
        <v>77</v>
      </c>
      <c r="L83" s="116"/>
      <c r="M83" s="116"/>
      <c r="N83" s="116"/>
      <c r="O83" s="116"/>
      <c r="P83" s="116"/>
      <c r="Q83" s="116"/>
      <c r="R83" s="114" t="e">
        <f t="shared" si="6"/>
        <v>#N/A</v>
      </c>
      <c r="S83" s="115" t="e">
        <f t="shared" si="7"/>
        <v>#N/A</v>
      </c>
      <c r="T83" s="114" t="e">
        <f t="shared" si="8"/>
        <v>#N/A</v>
      </c>
      <c r="U83" s="114" t="e">
        <f t="shared" si="9"/>
        <v>#N/A</v>
      </c>
      <c r="V83" s="114" t="e">
        <f t="shared" si="10"/>
        <v>#N/A</v>
      </c>
      <c r="W83" s="137"/>
      <c r="X83" s="142"/>
      <c r="Y83" s="135"/>
    </row>
    <row r="84" spans="1:25" x14ac:dyDescent="0.2">
      <c r="A84" s="118"/>
      <c r="B84" s="112">
        <v>78</v>
      </c>
      <c r="C84" s="119"/>
      <c r="D84" s="112">
        <v>78</v>
      </c>
      <c r="E84" s="118"/>
      <c r="F84" s="112">
        <v>78</v>
      </c>
      <c r="G84" s="119"/>
      <c r="H84" s="112">
        <v>78</v>
      </c>
      <c r="I84" s="118"/>
      <c r="J84" s="112">
        <v>78</v>
      </c>
      <c r="L84" s="116"/>
      <c r="M84" s="116"/>
      <c r="N84" s="116"/>
      <c r="O84" s="116"/>
      <c r="P84" s="116"/>
      <c r="Q84" s="116"/>
      <c r="R84" s="114" t="e">
        <f t="shared" si="6"/>
        <v>#N/A</v>
      </c>
      <c r="S84" s="115" t="e">
        <f t="shared" si="7"/>
        <v>#N/A</v>
      </c>
      <c r="T84" s="114" t="e">
        <f t="shared" si="8"/>
        <v>#N/A</v>
      </c>
      <c r="U84" s="114" t="e">
        <f t="shared" si="9"/>
        <v>#N/A</v>
      </c>
      <c r="V84" s="114" t="e">
        <f t="shared" si="10"/>
        <v>#N/A</v>
      </c>
      <c r="W84" s="137"/>
      <c r="X84" s="142"/>
      <c r="Y84" s="135"/>
    </row>
    <row r="85" spans="1:25" x14ac:dyDescent="0.2">
      <c r="A85" s="118"/>
      <c r="B85" s="112">
        <v>79</v>
      </c>
      <c r="C85" s="119"/>
      <c r="D85" s="112">
        <v>79</v>
      </c>
      <c r="E85" s="118"/>
      <c r="F85" s="112">
        <v>79</v>
      </c>
      <c r="G85" s="119"/>
      <c r="H85" s="112">
        <v>79</v>
      </c>
      <c r="I85" s="118"/>
      <c r="J85" s="112">
        <v>79</v>
      </c>
      <c r="L85" s="116"/>
      <c r="M85" s="116"/>
      <c r="N85" s="116"/>
      <c r="O85" s="116"/>
      <c r="P85" s="116"/>
      <c r="Q85" s="116"/>
      <c r="R85" s="114" t="e">
        <f t="shared" si="6"/>
        <v>#N/A</v>
      </c>
      <c r="S85" s="115" t="e">
        <f t="shared" si="7"/>
        <v>#N/A</v>
      </c>
      <c r="T85" s="114" t="e">
        <f t="shared" si="8"/>
        <v>#N/A</v>
      </c>
      <c r="U85" s="114" t="e">
        <f t="shared" si="9"/>
        <v>#N/A</v>
      </c>
      <c r="V85" s="114" t="e">
        <f t="shared" si="10"/>
        <v>#N/A</v>
      </c>
      <c r="W85" s="137"/>
      <c r="X85" s="142"/>
      <c r="Y85" s="135"/>
    </row>
    <row r="86" spans="1:25" x14ac:dyDescent="0.2">
      <c r="A86" s="118"/>
      <c r="B86" s="112">
        <v>80</v>
      </c>
      <c r="C86" s="119"/>
      <c r="D86" s="112">
        <v>80</v>
      </c>
      <c r="E86" s="118"/>
      <c r="F86" s="112">
        <v>80</v>
      </c>
      <c r="G86" s="119"/>
      <c r="H86" s="112">
        <v>80</v>
      </c>
      <c r="I86" s="118"/>
      <c r="J86" s="112">
        <v>80</v>
      </c>
      <c r="L86" s="116"/>
      <c r="M86" s="116"/>
      <c r="N86" s="116"/>
      <c r="O86" s="116"/>
      <c r="P86" s="116"/>
      <c r="Q86" s="116"/>
      <c r="R86" s="114" t="e">
        <f t="shared" si="6"/>
        <v>#N/A</v>
      </c>
      <c r="S86" s="115" t="e">
        <f t="shared" si="7"/>
        <v>#N/A</v>
      </c>
      <c r="T86" s="114" t="e">
        <f t="shared" si="8"/>
        <v>#N/A</v>
      </c>
      <c r="U86" s="114" t="e">
        <f t="shared" si="9"/>
        <v>#N/A</v>
      </c>
      <c r="V86" s="114" t="e">
        <f t="shared" si="10"/>
        <v>#N/A</v>
      </c>
      <c r="W86" s="137"/>
      <c r="X86" s="142"/>
      <c r="Y86" s="135"/>
    </row>
    <row r="87" spans="1:25" x14ac:dyDescent="0.2">
      <c r="A87" s="118"/>
      <c r="B87" s="112">
        <v>81</v>
      </c>
      <c r="C87" s="119"/>
      <c r="D87" s="112">
        <v>81</v>
      </c>
      <c r="E87" s="118"/>
      <c r="F87" s="112">
        <v>81</v>
      </c>
      <c r="G87" s="119"/>
      <c r="H87" s="112">
        <v>81</v>
      </c>
      <c r="I87" s="118"/>
      <c r="J87" s="112">
        <v>81</v>
      </c>
      <c r="L87" s="116"/>
      <c r="M87" s="116"/>
      <c r="N87" s="116"/>
      <c r="O87" s="116"/>
      <c r="P87" s="116"/>
      <c r="Q87" s="116"/>
      <c r="R87" s="114" t="e">
        <f t="shared" si="6"/>
        <v>#N/A</v>
      </c>
      <c r="S87" s="115" t="e">
        <f t="shared" si="7"/>
        <v>#N/A</v>
      </c>
      <c r="T87" s="114" t="e">
        <f t="shared" si="8"/>
        <v>#N/A</v>
      </c>
      <c r="U87" s="114" t="e">
        <f t="shared" si="9"/>
        <v>#N/A</v>
      </c>
      <c r="V87" s="114" t="e">
        <f t="shared" si="10"/>
        <v>#N/A</v>
      </c>
      <c r="W87" s="137"/>
      <c r="X87" s="142"/>
      <c r="Y87" s="135"/>
    </row>
    <row r="88" spans="1:25" x14ac:dyDescent="0.2">
      <c r="A88" s="118"/>
      <c r="B88" s="112">
        <v>82</v>
      </c>
      <c r="C88" s="119"/>
      <c r="D88" s="112">
        <v>82</v>
      </c>
      <c r="E88" s="118"/>
      <c r="F88" s="112">
        <v>82</v>
      </c>
      <c r="G88" s="119"/>
      <c r="H88" s="112">
        <v>82</v>
      </c>
      <c r="I88" s="118"/>
      <c r="J88" s="112">
        <v>82</v>
      </c>
      <c r="L88" s="116"/>
      <c r="M88" s="116"/>
      <c r="N88" s="116"/>
      <c r="O88" s="116"/>
      <c r="P88" s="116"/>
      <c r="Q88" s="116"/>
      <c r="R88" s="114" t="e">
        <f t="shared" si="6"/>
        <v>#N/A</v>
      </c>
      <c r="S88" s="115" t="e">
        <f t="shared" si="7"/>
        <v>#N/A</v>
      </c>
      <c r="T88" s="114" t="e">
        <f t="shared" si="8"/>
        <v>#N/A</v>
      </c>
      <c r="U88" s="114" t="e">
        <f t="shared" si="9"/>
        <v>#N/A</v>
      </c>
      <c r="V88" s="114" t="e">
        <f t="shared" si="10"/>
        <v>#N/A</v>
      </c>
      <c r="W88" s="137"/>
      <c r="X88" s="142"/>
      <c r="Y88" s="135"/>
    </row>
    <row r="89" spans="1:25" x14ac:dyDescent="0.2">
      <c r="A89" s="118"/>
      <c r="B89" s="112">
        <v>83</v>
      </c>
      <c r="C89" s="119"/>
      <c r="D89" s="112">
        <v>83</v>
      </c>
      <c r="E89" s="118"/>
      <c r="F89" s="112">
        <v>83</v>
      </c>
      <c r="G89" s="119"/>
      <c r="H89" s="112">
        <v>83</v>
      </c>
      <c r="I89" s="118"/>
      <c r="J89" s="112">
        <v>83</v>
      </c>
      <c r="L89" s="116"/>
      <c r="M89" s="116"/>
      <c r="N89" s="116"/>
      <c r="O89" s="116"/>
      <c r="P89" s="116"/>
      <c r="Q89" s="116"/>
      <c r="R89" s="114" t="e">
        <f t="shared" si="6"/>
        <v>#N/A</v>
      </c>
      <c r="S89" s="115" t="e">
        <f t="shared" si="7"/>
        <v>#N/A</v>
      </c>
      <c r="T89" s="114" t="e">
        <f t="shared" si="8"/>
        <v>#N/A</v>
      </c>
      <c r="U89" s="114" t="e">
        <f t="shared" si="9"/>
        <v>#N/A</v>
      </c>
      <c r="V89" s="114" t="e">
        <f t="shared" si="10"/>
        <v>#N/A</v>
      </c>
      <c r="W89" s="137"/>
      <c r="X89" s="142"/>
      <c r="Y89" s="135"/>
    </row>
    <row r="90" spans="1:25" x14ac:dyDescent="0.2">
      <c r="A90" s="118"/>
      <c r="B90" s="112">
        <v>84</v>
      </c>
      <c r="C90" s="119"/>
      <c r="D90" s="112">
        <v>84</v>
      </c>
      <c r="E90" s="118"/>
      <c r="F90" s="112">
        <v>84</v>
      </c>
      <c r="G90" s="119"/>
      <c r="H90" s="112">
        <v>84</v>
      </c>
      <c r="I90" s="118"/>
      <c r="J90" s="112">
        <v>84</v>
      </c>
      <c r="L90" s="116"/>
      <c r="M90" s="116"/>
      <c r="N90" s="116"/>
      <c r="O90" s="116"/>
      <c r="P90" s="116"/>
      <c r="Q90" s="116"/>
      <c r="R90" s="114" t="e">
        <f t="shared" si="6"/>
        <v>#N/A</v>
      </c>
      <c r="S90" s="115" t="e">
        <f t="shared" si="7"/>
        <v>#N/A</v>
      </c>
      <c r="T90" s="114" t="e">
        <f t="shared" si="8"/>
        <v>#N/A</v>
      </c>
      <c r="U90" s="114" t="e">
        <f t="shared" si="9"/>
        <v>#N/A</v>
      </c>
      <c r="V90" s="114" t="e">
        <f t="shared" si="10"/>
        <v>#N/A</v>
      </c>
      <c r="W90" s="137"/>
      <c r="X90" s="142"/>
      <c r="Y90" s="135"/>
    </row>
    <row r="91" spans="1:25" x14ac:dyDescent="0.2">
      <c r="A91" s="118"/>
      <c r="B91" s="112">
        <v>85</v>
      </c>
      <c r="C91" s="119"/>
      <c r="D91" s="112">
        <v>85</v>
      </c>
      <c r="E91" s="118"/>
      <c r="F91" s="112">
        <v>85</v>
      </c>
      <c r="G91" s="119"/>
      <c r="H91" s="112">
        <v>85</v>
      </c>
      <c r="I91" s="118"/>
      <c r="J91" s="112">
        <v>85</v>
      </c>
      <c r="R91" s="114" t="e">
        <f t="shared" si="6"/>
        <v>#N/A</v>
      </c>
      <c r="S91" s="115" t="e">
        <f t="shared" si="7"/>
        <v>#N/A</v>
      </c>
      <c r="T91" s="114" t="e">
        <f t="shared" si="8"/>
        <v>#N/A</v>
      </c>
      <c r="U91" s="114" t="e">
        <f t="shared" si="9"/>
        <v>#N/A</v>
      </c>
      <c r="V91" s="114" t="e">
        <f t="shared" si="10"/>
        <v>#N/A</v>
      </c>
      <c r="W91" s="135"/>
      <c r="X91" s="135"/>
      <c r="Y91" s="135"/>
    </row>
    <row r="92" spans="1:25" x14ac:dyDescent="0.2">
      <c r="A92" s="118"/>
      <c r="B92" s="112">
        <v>86</v>
      </c>
      <c r="C92" s="119"/>
      <c r="D92" s="112">
        <v>86</v>
      </c>
      <c r="E92" s="118"/>
      <c r="F92" s="112">
        <v>86</v>
      </c>
      <c r="G92" s="119"/>
      <c r="H92" s="112">
        <v>86</v>
      </c>
      <c r="I92" s="118"/>
      <c r="J92" s="112">
        <v>86</v>
      </c>
      <c r="R92" s="114" t="e">
        <f t="shared" si="6"/>
        <v>#N/A</v>
      </c>
      <c r="S92" s="115" t="e">
        <f t="shared" si="7"/>
        <v>#N/A</v>
      </c>
      <c r="T92" s="114" t="e">
        <f t="shared" si="8"/>
        <v>#N/A</v>
      </c>
      <c r="U92" s="114" t="e">
        <f t="shared" si="9"/>
        <v>#N/A</v>
      </c>
      <c r="V92" s="114" t="e">
        <f t="shared" si="10"/>
        <v>#N/A</v>
      </c>
      <c r="W92" s="135"/>
      <c r="X92" s="135"/>
      <c r="Y92" s="135"/>
    </row>
    <row r="93" spans="1:25" x14ac:dyDescent="0.2">
      <c r="A93" s="118"/>
      <c r="B93" s="112">
        <v>87</v>
      </c>
      <c r="C93" s="119"/>
      <c r="D93" s="112">
        <v>87</v>
      </c>
      <c r="E93" s="118"/>
      <c r="F93" s="112">
        <v>87</v>
      </c>
      <c r="G93" s="119"/>
      <c r="H93" s="112">
        <v>87</v>
      </c>
      <c r="I93" s="118"/>
      <c r="J93" s="112">
        <v>87</v>
      </c>
      <c r="R93" s="114" t="e">
        <f t="shared" si="6"/>
        <v>#N/A</v>
      </c>
      <c r="S93" s="115" t="e">
        <f t="shared" si="7"/>
        <v>#N/A</v>
      </c>
      <c r="T93" s="114" t="e">
        <f t="shared" si="8"/>
        <v>#N/A</v>
      </c>
      <c r="U93" s="114" t="e">
        <f t="shared" si="9"/>
        <v>#N/A</v>
      </c>
      <c r="V93" s="114" t="e">
        <f t="shared" si="10"/>
        <v>#N/A</v>
      </c>
      <c r="W93" s="135"/>
      <c r="X93" s="135"/>
      <c r="Y93" s="135"/>
    </row>
    <row r="94" spans="1:25" x14ac:dyDescent="0.2">
      <c r="A94" s="118"/>
      <c r="B94" s="112">
        <v>88</v>
      </c>
      <c r="C94" s="119"/>
      <c r="D94" s="112">
        <v>88</v>
      </c>
      <c r="E94" s="118"/>
      <c r="F94" s="112">
        <v>88</v>
      </c>
      <c r="G94" s="119"/>
      <c r="H94" s="112">
        <v>88</v>
      </c>
      <c r="I94" s="118"/>
      <c r="J94" s="112">
        <v>88</v>
      </c>
      <c r="R94" s="114" t="e">
        <f t="shared" si="6"/>
        <v>#N/A</v>
      </c>
      <c r="S94" s="115" t="e">
        <f t="shared" si="7"/>
        <v>#N/A</v>
      </c>
      <c r="T94" s="114" t="e">
        <f t="shared" si="8"/>
        <v>#N/A</v>
      </c>
      <c r="U94" s="114" t="e">
        <f t="shared" si="9"/>
        <v>#N/A</v>
      </c>
      <c r="V94" s="114" t="e">
        <f t="shared" si="10"/>
        <v>#N/A</v>
      </c>
      <c r="W94" s="135"/>
      <c r="X94" s="135"/>
      <c r="Y94" s="135"/>
    </row>
    <row r="95" spans="1:25" x14ac:dyDescent="0.2">
      <c r="A95" s="118"/>
      <c r="B95" s="112">
        <v>89</v>
      </c>
      <c r="C95" s="119"/>
      <c r="D95" s="112">
        <v>89</v>
      </c>
      <c r="E95" s="118"/>
      <c r="F95" s="112">
        <v>89</v>
      </c>
      <c r="G95" s="119"/>
      <c r="H95" s="112">
        <v>89</v>
      </c>
      <c r="I95" s="118"/>
      <c r="J95" s="112">
        <v>89</v>
      </c>
      <c r="R95" s="114" t="e">
        <f t="shared" si="6"/>
        <v>#N/A</v>
      </c>
      <c r="S95" s="115" t="e">
        <f t="shared" ref="S95:S145" si="11">IF(M95="-",VLOOKUP(VLOOKUP($L95,$Z$7:$AA$39,2,FALSE),C$6:D$200,2,FALSE),VLOOKUP(M95,C$6:D$200,2,FALSE))</f>
        <v>#N/A</v>
      </c>
      <c r="T95" s="114" t="e">
        <f t="shared" ref="T95:T145" si="12">IF(N95="-",VLOOKUP(VLOOKUP($L95,$Z$7:$AA$39,2,FALSE),E$6:F$200,2,FALSE),VLOOKUP(N95,E$6:F$200,2,FALSE))</f>
        <v>#N/A</v>
      </c>
      <c r="U95" s="114" t="e">
        <f t="shared" ref="U95:U145" si="13">IF(O95="-",VLOOKUP(VLOOKUP($L95,$Z$7:$AA$39,2,FALSE),G$6:H$200,2,FALSE),VLOOKUP(O95,G$6:H$200,2,FALSE))</f>
        <v>#N/A</v>
      </c>
      <c r="V95" s="114" t="e">
        <f t="shared" ref="V95:V145" si="14">IF(P95="-",VLOOKUP(VLOOKUP($L95,$Z$7:$AA$39,2,FALSE),I$6:J$200,2,FALSE),VLOOKUP(P95,I$6:J$200,2,FALSE))</f>
        <v>#N/A</v>
      </c>
      <c r="W95" s="135"/>
      <c r="X95" s="135"/>
      <c r="Y95" s="135"/>
    </row>
    <row r="96" spans="1:25" x14ac:dyDescent="0.2">
      <c r="A96" s="118"/>
      <c r="B96" s="112">
        <v>90</v>
      </c>
      <c r="C96" s="119"/>
      <c r="D96" s="112">
        <v>90</v>
      </c>
      <c r="E96" s="118"/>
      <c r="F96" s="112">
        <v>90</v>
      </c>
      <c r="G96" s="119"/>
      <c r="H96" s="112">
        <v>90</v>
      </c>
      <c r="I96" s="118"/>
      <c r="J96" s="112">
        <v>90</v>
      </c>
      <c r="R96" s="114" t="e">
        <f t="shared" si="6"/>
        <v>#N/A</v>
      </c>
      <c r="S96" s="115" t="e">
        <f t="shared" si="11"/>
        <v>#N/A</v>
      </c>
      <c r="T96" s="114" t="e">
        <f t="shared" si="12"/>
        <v>#N/A</v>
      </c>
      <c r="U96" s="114" t="e">
        <f t="shared" si="13"/>
        <v>#N/A</v>
      </c>
      <c r="V96" s="114" t="e">
        <f t="shared" si="14"/>
        <v>#N/A</v>
      </c>
      <c r="W96" s="135"/>
      <c r="X96" s="135"/>
      <c r="Y96" s="135"/>
    </row>
    <row r="97" spans="1:25" x14ac:dyDescent="0.2">
      <c r="A97" s="118"/>
      <c r="B97" s="112">
        <v>91</v>
      </c>
      <c r="C97" s="119"/>
      <c r="D97" s="112">
        <v>91</v>
      </c>
      <c r="E97" s="118"/>
      <c r="F97" s="112">
        <v>91</v>
      </c>
      <c r="G97" s="119"/>
      <c r="H97" s="112">
        <v>91</v>
      </c>
      <c r="I97" s="118"/>
      <c r="J97" s="112">
        <v>91</v>
      </c>
      <c r="R97" s="114" t="e">
        <f t="shared" si="6"/>
        <v>#N/A</v>
      </c>
      <c r="S97" s="115" t="e">
        <f t="shared" si="11"/>
        <v>#N/A</v>
      </c>
      <c r="T97" s="114" t="e">
        <f t="shared" si="12"/>
        <v>#N/A</v>
      </c>
      <c r="U97" s="114" t="e">
        <f t="shared" si="13"/>
        <v>#N/A</v>
      </c>
      <c r="V97" s="114" t="e">
        <f t="shared" si="14"/>
        <v>#N/A</v>
      </c>
      <c r="W97" s="135"/>
      <c r="X97" s="135"/>
      <c r="Y97" s="135"/>
    </row>
    <row r="98" spans="1:25" x14ac:dyDescent="0.2">
      <c r="A98" s="118"/>
      <c r="B98" s="112">
        <v>92</v>
      </c>
      <c r="C98" s="119"/>
      <c r="D98" s="112">
        <v>92</v>
      </c>
      <c r="E98" s="118"/>
      <c r="F98" s="112">
        <v>92</v>
      </c>
      <c r="G98" s="119"/>
      <c r="H98" s="112">
        <v>92</v>
      </c>
      <c r="I98" s="118"/>
      <c r="J98" s="112">
        <v>92</v>
      </c>
      <c r="R98" s="114" t="e">
        <f t="shared" si="6"/>
        <v>#N/A</v>
      </c>
      <c r="S98" s="115" t="e">
        <f t="shared" si="11"/>
        <v>#N/A</v>
      </c>
      <c r="T98" s="114" t="e">
        <f t="shared" si="12"/>
        <v>#N/A</v>
      </c>
      <c r="U98" s="114" t="e">
        <f t="shared" si="13"/>
        <v>#N/A</v>
      </c>
      <c r="V98" s="114" t="e">
        <f t="shared" si="14"/>
        <v>#N/A</v>
      </c>
      <c r="W98" s="135"/>
      <c r="X98" s="135"/>
      <c r="Y98" s="135"/>
    </row>
    <row r="99" spans="1:25" x14ac:dyDescent="0.2">
      <c r="A99" s="118"/>
      <c r="B99" s="112">
        <v>93</v>
      </c>
      <c r="C99" s="119"/>
      <c r="D99" s="112">
        <v>93</v>
      </c>
      <c r="E99" s="118"/>
      <c r="F99" s="112">
        <v>93</v>
      </c>
      <c r="G99" s="119"/>
      <c r="H99" s="112">
        <v>93</v>
      </c>
      <c r="I99" s="118"/>
      <c r="J99" s="112">
        <v>93</v>
      </c>
      <c r="R99" s="114" t="e">
        <f t="shared" si="6"/>
        <v>#N/A</v>
      </c>
      <c r="S99" s="115" t="e">
        <f t="shared" si="11"/>
        <v>#N/A</v>
      </c>
      <c r="T99" s="114" t="e">
        <f t="shared" si="12"/>
        <v>#N/A</v>
      </c>
      <c r="U99" s="114" t="e">
        <f t="shared" si="13"/>
        <v>#N/A</v>
      </c>
      <c r="V99" s="114" t="e">
        <f t="shared" si="14"/>
        <v>#N/A</v>
      </c>
      <c r="W99" s="135"/>
      <c r="X99" s="135"/>
      <c r="Y99" s="135"/>
    </row>
    <row r="100" spans="1:25" x14ac:dyDescent="0.2">
      <c r="A100" s="118"/>
      <c r="B100" s="112">
        <v>94</v>
      </c>
      <c r="C100" s="119"/>
      <c r="D100" s="112">
        <v>94</v>
      </c>
      <c r="E100" s="118"/>
      <c r="F100" s="112">
        <v>94</v>
      </c>
      <c r="G100" s="119"/>
      <c r="H100" s="112">
        <v>94</v>
      </c>
      <c r="I100" s="118"/>
      <c r="J100" s="112">
        <v>94</v>
      </c>
      <c r="R100" s="114" t="e">
        <f t="shared" si="6"/>
        <v>#N/A</v>
      </c>
      <c r="S100" s="115" t="e">
        <f t="shared" si="11"/>
        <v>#N/A</v>
      </c>
      <c r="T100" s="114" t="e">
        <f t="shared" si="12"/>
        <v>#N/A</v>
      </c>
      <c r="U100" s="114" t="e">
        <f t="shared" si="13"/>
        <v>#N/A</v>
      </c>
      <c r="V100" s="114" t="e">
        <f t="shared" si="14"/>
        <v>#N/A</v>
      </c>
      <c r="W100" s="135"/>
      <c r="X100" s="135"/>
      <c r="Y100" s="135"/>
    </row>
    <row r="101" spans="1:25" x14ac:dyDescent="0.2">
      <c r="A101" s="118"/>
      <c r="B101" s="112">
        <v>95</v>
      </c>
      <c r="C101" s="119"/>
      <c r="D101" s="112">
        <v>95</v>
      </c>
      <c r="E101" s="118"/>
      <c r="F101" s="112">
        <v>95</v>
      </c>
      <c r="G101" s="119"/>
      <c r="H101" s="112">
        <v>95</v>
      </c>
      <c r="I101" s="118"/>
      <c r="J101" s="112">
        <v>95</v>
      </c>
      <c r="R101" s="114" t="e">
        <f t="shared" si="6"/>
        <v>#N/A</v>
      </c>
      <c r="S101" s="115" t="e">
        <f t="shared" si="11"/>
        <v>#N/A</v>
      </c>
      <c r="T101" s="114" t="e">
        <f t="shared" si="12"/>
        <v>#N/A</v>
      </c>
      <c r="U101" s="114" t="e">
        <f t="shared" si="13"/>
        <v>#N/A</v>
      </c>
      <c r="V101" s="114" t="e">
        <f t="shared" si="14"/>
        <v>#N/A</v>
      </c>
      <c r="W101" s="135"/>
      <c r="X101" s="135"/>
      <c r="Y101" s="135"/>
    </row>
    <row r="102" spans="1:25" x14ac:dyDescent="0.2">
      <c r="A102" s="118"/>
      <c r="B102" s="112">
        <v>96</v>
      </c>
      <c r="C102" s="119"/>
      <c r="D102" s="112">
        <v>96</v>
      </c>
      <c r="E102" s="118"/>
      <c r="F102" s="112">
        <v>96</v>
      </c>
      <c r="G102" s="119"/>
      <c r="H102" s="112">
        <v>96</v>
      </c>
      <c r="I102" s="118"/>
      <c r="J102" s="112">
        <v>96</v>
      </c>
      <c r="R102" s="114" t="e">
        <f t="shared" si="6"/>
        <v>#N/A</v>
      </c>
      <c r="S102" s="115" t="e">
        <f t="shared" si="11"/>
        <v>#N/A</v>
      </c>
      <c r="T102" s="114" t="e">
        <f t="shared" si="12"/>
        <v>#N/A</v>
      </c>
      <c r="U102" s="114" t="e">
        <f t="shared" si="13"/>
        <v>#N/A</v>
      </c>
      <c r="V102" s="114" t="e">
        <f t="shared" si="14"/>
        <v>#N/A</v>
      </c>
      <c r="W102" s="135"/>
      <c r="X102" s="135"/>
      <c r="Y102" s="135"/>
    </row>
    <row r="103" spans="1:25" x14ac:dyDescent="0.2">
      <c r="A103" s="118"/>
      <c r="B103" s="112">
        <v>97</v>
      </c>
      <c r="C103" s="119"/>
      <c r="D103" s="112">
        <v>97</v>
      </c>
      <c r="E103" s="118"/>
      <c r="F103" s="112">
        <v>97</v>
      </c>
      <c r="G103" s="119"/>
      <c r="H103" s="112">
        <v>97</v>
      </c>
      <c r="I103" s="118"/>
      <c r="J103" s="112">
        <v>97</v>
      </c>
      <c r="R103" s="114" t="e">
        <f t="shared" si="6"/>
        <v>#N/A</v>
      </c>
      <c r="S103" s="115" t="e">
        <f t="shared" si="11"/>
        <v>#N/A</v>
      </c>
      <c r="T103" s="114" t="e">
        <f t="shared" si="12"/>
        <v>#N/A</v>
      </c>
      <c r="U103" s="114" t="e">
        <f t="shared" si="13"/>
        <v>#N/A</v>
      </c>
      <c r="V103" s="114" t="e">
        <f t="shared" si="14"/>
        <v>#N/A</v>
      </c>
      <c r="W103" s="135"/>
      <c r="X103" s="135"/>
      <c r="Y103" s="135"/>
    </row>
    <row r="104" spans="1:25" x14ac:dyDescent="0.2">
      <c r="A104" s="118"/>
      <c r="B104" s="112">
        <v>98</v>
      </c>
      <c r="C104" s="119"/>
      <c r="D104" s="112">
        <v>98</v>
      </c>
      <c r="E104" s="118"/>
      <c r="F104" s="112">
        <v>98</v>
      </c>
      <c r="G104" s="119"/>
      <c r="H104" s="112">
        <v>98</v>
      </c>
      <c r="I104" s="118"/>
      <c r="J104" s="112">
        <v>98</v>
      </c>
      <c r="R104" s="114" t="e">
        <f t="shared" si="6"/>
        <v>#N/A</v>
      </c>
      <c r="S104" s="115" t="e">
        <f t="shared" si="11"/>
        <v>#N/A</v>
      </c>
      <c r="T104" s="114" t="e">
        <f t="shared" si="12"/>
        <v>#N/A</v>
      </c>
      <c r="U104" s="114" t="e">
        <f t="shared" si="13"/>
        <v>#N/A</v>
      </c>
      <c r="V104" s="114" t="e">
        <f t="shared" si="14"/>
        <v>#N/A</v>
      </c>
      <c r="W104" s="135"/>
      <c r="X104" s="135"/>
      <c r="Y104" s="135"/>
    </row>
    <row r="105" spans="1:25" x14ac:dyDescent="0.2">
      <c r="A105" s="118"/>
      <c r="B105" s="112">
        <v>99</v>
      </c>
      <c r="C105" s="119"/>
      <c r="D105" s="112">
        <v>99</v>
      </c>
      <c r="E105" s="118"/>
      <c r="F105" s="112">
        <v>99</v>
      </c>
      <c r="G105" s="119"/>
      <c r="H105" s="112">
        <v>99</v>
      </c>
      <c r="I105" s="118"/>
      <c r="J105" s="112">
        <v>99</v>
      </c>
      <c r="R105" s="114" t="e">
        <f t="shared" si="6"/>
        <v>#N/A</v>
      </c>
      <c r="S105" s="115" t="e">
        <f t="shared" si="11"/>
        <v>#N/A</v>
      </c>
      <c r="T105" s="114" t="e">
        <f t="shared" si="12"/>
        <v>#N/A</v>
      </c>
      <c r="U105" s="114" t="e">
        <f t="shared" si="13"/>
        <v>#N/A</v>
      </c>
      <c r="V105" s="114" t="e">
        <f t="shared" si="14"/>
        <v>#N/A</v>
      </c>
      <c r="W105" s="135"/>
      <c r="X105" s="135"/>
      <c r="Y105" s="135"/>
    </row>
    <row r="106" spans="1:25" x14ac:dyDescent="0.2">
      <c r="A106" s="118"/>
      <c r="B106" s="112">
        <v>100</v>
      </c>
      <c r="C106" s="119"/>
      <c r="D106" s="112">
        <v>100</v>
      </c>
      <c r="E106" s="118"/>
      <c r="F106" s="112">
        <v>100</v>
      </c>
      <c r="G106" s="119"/>
      <c r="H106" s="112">
        <v>100</v>
      </c>
      <c r="I106" s="118"/>
      <c r="J106" s="112">
        <v>100</v>
      </c>
      <c r="R106" s="114" t="e">
        <f t="shared" si="6"/>
        <v>#N/A</v>
      </c>
      <c r="S106" s="115" t="e">
        <f t="shared" si="11"/>
        <v>#N/A</v>
      </c>
      <c r="T106" s="114" t="e">
        <f t="shared" si="12"/>
        <v>#N/A</v>
      </c>
      <c r="U106" s="114" t="e">
        <f t="shared" si="13"/>
        <v>#N/A</v>
      </c>
      <c r="V106" s="114" t="e">
        <f t="shared" si="14"/>
        <v>#N/A</v>
      </c>
      <c r="W106" s="135"/>
      <c r="X106" s="135"/>
      <c r="Y106" s="135"/>
    </row>
    <row r="107" spans="1:25" x14ac:dyDescent="0.2">
      <c r="A107" s="118"/>
      <c r="B107" s="112">
        <v>101</v>
      </c>
      <c r="C107" s="119"/>
      <c r="D107" s="112">
        <v>101</v>
      </c>
      <c r="E107" s="118"/>
      <c r="F107" s="112">
        <v>101</v>
      </c>
      <c r="G107" s="119"/>
      <c r="H107" s="112">
        <v>101</v>
      </c>
      <c r="I107" s="118"/>
      <c r="J107" s="112">
        <v>101</v>
      </c>
      <c r="R107" s="114" t="e">
        <f t="shared" si="6"/>
        <v>#N/A</v>
      </c>
      <c r="S107" s="115" t="e">
        <f t="shared" si="11"/>
        <v>#N/A</v>
      </c>
      <c r="T107" s="114" t="e">
        <f t="shared" si="12"/>
        <v>#N/A</v>
      </c>
      <c r="U107" s="114" t="e">
        <f t="shared" si="13"/>
        <v>#N/A</v>
      </c>
      <c r="V107" s="114" t="e">
        <f t="shared" si="14"/>
        <v>#N/A</v>
      </c>
      <c r="W107" s="135"/>
      <c r="X107" s="135"/>
      <c r="Y107" s="135"/>
    </row>
    <row r="108" spans="1:25" x14ac:dyDescent="0.2">
      <c r="A108" s="118"/>
      <c r="B108" s="112">
        <v>102</v>
      </c>
      <c r="C108" s="119"/>
      <c r="D108" s="112">
        <v>102</v>
      </c>
      <c r="E108" s="118"/>
      <c r="F108" s="112">
        <v>102</v>
      </c>
      <c r="G108" s="119"/>
      <c r="H108" s="112">
        <v>102</v>
      </c>
      <c r="I108" s="118"/>
      <c r="J108" s="112">
        <v>102</v>
      </c>
      <c r="R108" s="114" t="e">
        <f t="shared" si="6"/>
        <v>#N/A</v>
      </c>
      <c r="S108" s="115" t="e">
        <f t="shared" si="11"/>
        <v>#N/A</v>
      </c>
      <c r="T108" s="114" t="e">
        <f t="shared" si="12"/>
        <v>#N/A</v>
      </c>
      <c r="U108" s="114" t="e">
        <f t="shared" si="13"/>
        <v>#N/A</v>
      </c>
      <c r="V108" s="114" t="e">
        <f t="shared" si="14"/>
        <v>#N/A</v>
      </c>
      <c r="W108" s="135"/>
      <c r="X108" s="135"/>
      <c r="Y108" s="135"/>
    </row>
    <row r="109" spans="1:25" x14ac:dyDescent="0.2">
      <c r="A109" s="118"/>
      <c r="B109" s="112">
        <v>103</v>
      </c>
      <c r="C109" s="119"/>
      <c r="D109" s="112">
        <v>103</v>
      </c>
      <c r="E109" s="118"/>
      <c r="F109" s="112">
        <v>103</v>
      </c>
      <c r="G109" s="119"/>
      <c r="H109" s="112">
        <v>103</v>
      </c>
      <c r="I109" s="118"/>
      <c r="J109" s="112">
        <v>103</v>
      </c>
      <c r="R109" s="114" t="e">
        <f t="shared" si="6"/>
        <v>#N/A</v>
      </c>
      <c r="S109" s="115" t="e">
        <f t="shared" si="11"/>
        <v>#N/A</v>
      </c>
      <c r="T109" s="114" t="e">
        <f t="shared" si="12"/>
        <v>#N/A</v>
      </c>
      <c r="U109" s="114" t="e">
        <f t="shared" si="13"/>
        <v>#N/A</v>
      </c>
      <c r="V109" s="114" t="e">
        <f t="shared" si="14"/>
        <v>#N/A</v>
      </c>
      <c r="W109" s="135"/>
      <c r="X109" s="135"/>
      <c r="Y109" s="135"/>
    </row>
    <row r="110" spans="1:25" x14ac:dyDescent="0.2">
      <c r="A110" s="118"/>
      <c r="B110" s="112">
        <v>104</v>
      </c>
      <c r="C110" s="119"/>
      <c r="D110" s="112">
        <v>104</v>
      </c>
      <c r="E110" s="118"/>
      <c r="F110" s="112">
        <v>104</v>
      </c>
      <c r="G110" s="119"/>
      <c r="H110" s="112">
        <v>104</v>
      </c>
      <c r="I110" s="118"/>
      <c r="J110" s="112">
        <v>104</v>
      </c>
      <c r="R110" s="114" t="e">
        <f t="shared" si="6"/>
        <v>#N/A</v>
      </c>
      <c r="S110" s="115" t="e">
        <f t="shared" si="11"/>
        <v>#N/A</v>
      </c>
      <c r="T110" s="114" t="e">
        <f t="shared" si="12"/>
        <v>#N/A</v>
      </c>
      <c r="U110" s="114" t="e">
        <f t="shared" si="13"/>
        <v>#N/A</v>
      </c>
      <c r="V110" s="114" t="e">
        <f t="shared" si="14"/>
        <v>#N/A</v>
      </c>
      <c r="W110" s="135"/>
      <c r="X110" s="135"/>
      <c r="Y110" s="135"/>
    </row>
    <row r="111" spans="1:25" x14ac:dyDescent="0.2">
      <c r="A111" s="118"/>
      <c r="B111" s="112">
        <v>105</v>
      </c>
      <c r="C111" s="119"/>
      <c r="D111" s="112">
        <v>105</v>
      </c>
      <c r="E111" s="118"/>
      <c r="F111" s="112">
        <v>105</v>
      </c>
      <c r="G111" s="119"/>
      <c r="H111" s="112">
        <v>105</v>
      </c>
      <c r="I111" s="118"/>
      <c r="J111" s="112">
        <v>105</v>
      </c>
      <c r="R111" s="114" t="e">
        <f t="shared" si="6"/>
        <v>#N/A</v>
      </c>
      <c r="S111" s="115" t="e">
        <f t="shared" si="11"/>
        <v>#N/A</v>
      </c>
      <c r="T111" s="114" t="e">
        <f t="shared" si="12"/>
        <v>#N/A</v>
      </c>
      <c r="U111" s="114" t="e">
        <f t="shared" si="13"/>
        <v>#N/A</v>
      </c>
      <c r="V111" s="114" t="e">
        <f t="shared" si="14"/>
        <v>#N/A</v>
      </c>
      <c r="W111" s="135"/>
      <c r="X111" s="135"/>
      <c r="Y111" s="135"/>
    </row>
    <row r="112" spans="1:25" x14ac:dyDescent="0.2">
      <c r="A112" s="118"/>
      <c r="B112" s="112">
        <v>106</v>
      </c>
      <c r="C112" s="119"/>
      <c r="D112" s="112">
        <v>106</v>
      </c>
      <c r="E112" s="118"/>
      <c r="F112" s="112">
        <v>106</v>
      </c>
      <c r="G112" s="119"/>
      <c r="H112" s="112">
        <v>106</v>
      </c>
      <c r="I112" s="118"/>
      <c r="J112" s="112">
        <v>106</v>
      </c>
      <c r="R112" s="114" t="e">
        <f t="shared" si="6"/>
        <v>#N/A</v>
      </c>
      <c r="S112" s="115" t="e">
        <f t="shared" si="11"/>
        <v>#N/A</v>
      </c>
      <c r="T112" s="114" t="e">
        <f t="shared" si="12"/>
        <v>#N/A</v>
      </c>
      <c r="U112" s="114" t="e">
        <f t="shared" si="13"/>
        <v>#N/A</v>
      </c>
      <c r="V112" s="114" t="e">
        <f t="shared" si="14"/>
        <v>#N/A</v>
      </c>
      <c r="W112" s="135"/>
      <c r="X112" s="135"/>
      <c r="Y112" s="135"/>
    </row>
    <row r="113" spans="1:25" x14ac:dyDescent="0.2">
      <c r="A113" s="118"/>
      <c r="B113" s="112">
        <v>107</v>
      </c>
      <c r="C113" s="119"/>
      <c r="D113" s="112">
        <v>107</v>
      </c>
      <c r="E113" s="118"/>
      <c r="F113" s="112">
        <v>107</v>
      </c>
      <c r="G113" s="119"/>
      <c r="H113" s="112">
        <v>107</v>
      </c>
      <c r="I113" s="118"/>
      <c r="J113" s="112">
        <v>107</v>
      </c>
      <c r="R113" s="114" t="e">
        <f t="shared" si="6"/>
        <v>#N/A</v>
      </c>
      <c r="S113" s="115" t="e">
        <f t="shared" si="11"/>
        <v>#N/A</v>
      </c>
      <c r="T113" s="114" t="e">
        <f t="shared" si="12"/>
        <v>#N/A</v>
      </c>
      <c r="U113" s="114" t="e">
        <f t="shared" si="13"/>
        <v>#N/A</v>
      </c>
      <c r="V113" s="114" t="e">
        <f t="shared" si="14"/>
        <v>#N/A</v>
      </c>
      <c r="W113" s="135"/>
      <c r="X113" s="135"/>
      <c r="Y113" s="135"/>
    </row>
    <row r="114" spans="1:25" x14ac:dyDescent="0.2">
      <c r="A114" s="118"/>
      <c r="B114" s="112">
        <v>108</v>
      </c>
      <c r="C114" s="119"/>
      <c r="D114" s="112">
        <v>108</v>
      </c>
      <c r="E114" s="118"/>
      <c r="F114" s="112">
        <v>108</v>
      </c>
      <c r="G114" s="119"/>
      <c r="H114" s="112">
        <v>108</v>
      </c>
      <c r="I114" s="118"/>
      <c r="J114" s="112">
        <v>108</v>
      </c>
      <c r="R114" s="114" t="e">
        <f t="shared" si="6"/>
        <v>#N/A</v>
      </c>
      <c r="S114" s="115" t="e">
        <f t="shared" si="11"/>
        <v>#N/A</v>
      </c>
      <c r="T114" s="114" t="e">
        <f t="shared" si="12"/>
        <v>#N/A</v>
      </c>
      <c r="U114" s="114" t="e">
        <f t="shared" si="13"/>
        <v>#N/A</v>
      </c>
      <c r="V114" s="114" t="e">
        <f t="shared" si="14"/>
        <v>#N/A</v>
      </c>
      <c r="W114" s="135"/>
      <c r="X114" s="135"/>
      <c r="Y114" s="135"/>
    </row>
    <row r="115" spans="1:25" x14ac:dyDescent="0.2">
      <c r="A115" s="118"/>
      <c r="B115" s="112">
        <v>109</v>
      </c>
      <c r="C115" s="119"/>
      <c r="D115" s="112">
        <v>109</v>
      </c>
      <c r="E115" s="118"/>
      <c r="F115" s="112">
        <v>109</v>
      </c>
      <c r="G115" s="119"/>
      <c r="H115" s="112">
        <v>109</v>
      </c>
      <c r="I115" s="118"/>
      <c r="J115" s="112">
        <v>109</v>
      </c>
      <c r="R115" s="114" t="e">
        <f t="shared" si="6"/>
        <v>#N/A</v>
      </c>
      <c r="S115" s="115" t="e">
        <f t="shared" si="11"/>
        <v>#N/A</v>
      </c>
      <c r="T115" s="114" t="e">
        <f t="shared" si="12"/>
        <v>#N/A</v>
      </c>
      <c r="U115" s="114" t="e">
        <f t="shared" si="13"/>
        <v>#N/A</v>
      </c>
      <c r="V115" s="114" t="e">
        <f t="shared" si="14"/>
        <v>#N/A</v>
      </c>
      <c r="W115" s="135"/>
      <c r="X115" s="135"/>
      <c r="Y115" s="135"/>
    </row>
    <row r="116" spans="1:25" x14ac:dyDescent="0.2">
      <c r="A116" s="118"/>
      <c r="B116" s="112">
        <v>110</v>
      </c>
      <c r="C116" s="119"/>
      <c r="D116" s="112">
        <v>110</v>
      </c>
      <c r="E116" s="118"/>
      <c r="F116" s="112">
        <v>110</v>
      </c>
      <c r="G116" s="119"/>
      <c r="H116" s="112">
        <v>110</v>
      </c>
      <c r="I116" s="118"/>
      <c r="J116" s="112">
        <v>110</v>
      </c>
      <c r="R116" s="114" t="e">
        <f t="shared" si="6"/>
        <v>#N/A</v>
      </c>
      <c r="S116" s="115" t="e">
        <f t="shared" si="11"/>
        <v>#N/A</v>
      </c>
      <c r="T116" s="114" t="e">
        <f t="shared" si="12"/>
        <v>#N/A</v>
      </c>
      <c r="U116" s="114" t="e">
        <f t="shared" si="13"/>
        <v>#N/A</v>
      </c>
      <c r="V116" s="114" t="e">
        <f t="shared" si="14"/>
        <v>#N/A</v>
      </c>
      <c r="W116" s="135"/>
      <c r="X116" s="135"/>
      <c r="Y116" s="135"/>
    </row>
    <row r="117" spans="1:25" x14ac:dyDescent="0.2">
      <c r="A117" s="118"/>
      <c r="B117" s="112">
        <v>111</v>
      </c>
      <c r="C117" s="119"/>
      <c r="D117" s="112">
        <v>111</v>
      </c>
      <c r="E117" s="118"/>
      <c r="F117" s="112">
        <v>111</v>
      </c>
      <c r="G117" s="119"/>
      <c r="H117" s="112">
        <v>111</v>
      </c>
      <c r="I117" s="118"/>
      <c r="J117" s="112">
        <v>111</v>
      </c>
      <c r="R117" s="114" t="e">
        <f t="shared" si="6"/>
        <v>#N/A</v>
      </c>
      <c r="S117" s="115" t="e">
        <f t="shared" si="11"/>
        <v>#N/A</v>
      </c>
      <c r="T117" s="114" t="e">
        <f t="shared" si="12"/>
        <v>#N/A</v>
      </c>
      <c r="U117" s="114" t="e">
        <f t="shared" si="13"/>
        <v>#N/A</v>
      </c>
      <c r="V117" s="114" t="e">
        <f t="shared" si="14"/>
        <v>#N/A</v>
      </c>
      <c r="W117" s="135"/>
      <c r="X117" s="135"/>
      <c r="Y117" s="135"/>
    </row>
    <row r="118" spans="1:25" x14ac:dyDescent="0.2">
      <c r="A118" s="118"/>
      <c r="B118" s="112">
        <v>112</v>
      </c>
      <c r="C118" s="119"/>
      <c r="D118" s="112">
        <v>112</v>
      </c>
      <c r="E118" s="118"/>
      <c r="F118" s="112">
        <v>112</v>
      </c>
      <c r="G118" s="119"/>
      <c r="H118" s="112">
        <v>112</v>
      </c>
      <c r="I118" s="118"/>
      <c r="J118" s="112">
        <v>112</v>
      </c>
      <c r="R118" s="114" t="e">
        <f t="shared" si="6"/>
        <v>#N/A</v>
      </c>
      <c r="S118" s="115" t="e">
        <f t="shared" si="11"/>
        <v>#N/A</v>
      </c>
      <c r="T118" s="114" t="e">
        <f t="shared" si="12"/>
        <v>#N/A</v>
      </c>
      <c r="U118" s="114" t="e">
        <f t="shared" si="13"/>
        <v>#N/A</v>
      </c>
      <c r="V118" s="114" t="e">
        <f t="shared" si="14"/>
        <v>#N/A</v>
      </c>
      <c r="W118" s="135"/>
      <c r="X118" s="135"/>
      <c r="Y118" s="135"/>
    </row>
    <row r="119" spans="1:25" x14ac:dyDescent="0.2">
      <c r="A119" s="118"/>
      <c r="B119" s="112">
        <v>113</v>
      </c>
      <c r="C119" s="119"/>
      <c r="D119" s="112">
        <v>113</v>
      </c>
      <c r="E119" s="118"/>
      <c r="F119" s="112">
        <v>113</v>
      </c>
      <c r="G119" s="119"/>
      <c r="H119" s="112">
        <v>113</v>
      </c>
      <c r="I119" s="118"/>
      <c r="J119" s="112">
        <v>113</v>
      </c>
      <c r="R119" s="114" t="e">
        <f t="shared" si="6"/>
        <v>#N/A</v>
      </c>
      <c r="S119" s="115" t="e">
        <f t="shared" si="11"/>
        <v>#N/A</v>
      </c>
      <c r="T119" s="114" t="e">
        <f t="shared" si="12"/>
        <v>#N/A</v>
      </c>
      <c r="U119" s="114" t="e">
        <f t="shared" si="13"/>
        <v>#N/A</v>
      </c>
      <c r="V119" s="114" t="e">
        <f t="shared" si="14"/>
        <v>#N/A</v>
      </c>
      <c r="W119" s="135"/>
      <c r="X119" s="135"/>
      <c r="Y119" s="135"/>
    </row>
    <row r="120" spans="1:25" x14ac:dyDescent="0.2">
      <c r="A120" s="118"/>
      <c r="B120" s="112">
        <v>114</v>
      </c>
      <c r="C120" s="119"/>
      <c r="D120" s="112">
        <v>114</v>
      </c>
      <c r="E120" s="118"/>
      <c r="F120" s="112">
        <v>114</v>
      </c>
      <c r="G120" s="119"/>
      <c r="H120" s="112">
        <v>114</v>
      </c>
      <c r="I120" s="118"/>
      <c r="J120" s="112">
        <v>114</v>
      </c>
      <c r="R120" s="114" t="e">
        <f t="shared" si="6"/>
        <v>#N/A</v>
      </c>
      <c r="S120" s="115" t="e">
        <f t="shared" si="11"/>
        <v>#N/A</v>
      </c>
      <c r="T120" s="114" t="e">
        <f t="shared" si="12"/>
        <v>#N/A</v>
      </c>
      <c r="U120" s="114" t="e">
        <f t="shared" si="13"/>
        <v>#N/A</v>
      </c>
      <c r="V120" s="114" t="e">
        <f t="shared" si="14"/>
        <v>#N/A</v>
      </c>
      <c r="W120" s="135"/>
      <c r="X120" s="135"/>
      <c r="Y120" s="135"/>
    </row>
    <row r="121" spans="1:25" x14ac:dyDescent="0.2">
      <c r="A121" s="118"/>
      <c r="B121" s="112">
        <v>115</v>
      </c>
      <c r="C121" s="119"/>
      <c r="D121" s="112">
        <v>115</v>
      </c>
      <c r="E121" s="118"/>
      <c r="F121" s="112">
        <v>115</v>
      </c>
      <c r="G121" s="119"/>
      <c r="H121" s="112">
        <v>115</v>
      </c>
      <c r="I121" s="118"/>
      <c r="J121" s="112">
        <v>115</v>
      </c>
      <c r="R121" s="114" t="e">
        <f t="shared" si="6"/>
        <v>#N/A</v>
      </c>
      <c r="S121" s="115" t="e">
        <f t="shared" si="11"/>
        <v>#N/A</v>
      </c>
      <c r="T121" s="114" t="e">
        <f t="shared" si="12"/>
        <v>#N/A</v>
      </c>
      <c r="U121" s="114" t="e">
        <f t="shared" si="13"/>
        <v>#N/A</v>
      </c>
      <c r="V121" s="114" t="e">
        <f t="shared" si="14"/>
        <v>#N/A</v>
      </c>
      <c r="W121" s="135"/>
      <c r="X121" s="135"/>
      <c r="Y121" s="135"/>
    </row>
    <row r="122" spans="1:25" x14ac:dyDescent="0.2">
      <c r="A122" s="118"/>
      <c r="B122" s="112">
        <v>116</v>
      </c>
      <c r="C122" s="119"/>
      <c r="D122" s="112">
        <v>116</v>
      </c>
      <c r="E122" s="118"/>
      <c r="F122" s="112">
        <v>116</v>
      </c>
      <c r="G122" s="119"/>
      <c r="H122" s="112">
        <v>116</v>
      </c>
      <c r="I122" s="118"/>
      <c r="J122" s="112">
        <v>116</v>
      </c>
      <c r="R122" s="114" t="e">
        <f t="shared" si="6"/>
        <v>#N/A</v>
      </c>
      <c r="S122" s="115" t="e">
        <f t="shared" si="11"/>
        <v>#N/A</v>
      </c>
      <c r="T122" s="114" t="e">
        <f t="shared" si="12"/>
        <v>#N/A</v>
      </c>
      <c r="U122" s="114" t="e">
        <f t="shared" si="13"/>
        <v>#N/A</v>
      </c>
      <c r="V122" s="114" t="e">
        <f t="shared" si="14"/>
        <v>#N/A</v>
      </c>
      <c r="W122" s="135"/>
      <c r="X122" s="135"/>
      <c r="Y122" s="135"/>
    </row>
    <row r="123" spans="1:25" x14ac:dyDescent="0.2">
      <c r="A123" s="118"/>
      <c r="B123" s="112">
        <v>117</v>
      </c>
      <c r="C123" s="119"/>
      <c r="D123" s="112">
        <v>117</v>
      </c>
      <c r="E123" s="118"/>
      <c r="F123" s="112">
        <v>117</v>
      </c>
      <c r="G123" s="119"/>
      <c r="H123" s="112">
        <v>117</v>
      </c>
      <c r="I123" s="118"/>
      <c r="J123" s="112">
        <v>117</v>
      </c>
      <c r="R123" s="114" t="e">
        <f t="shared" si="6"/>
        <v>#N/A</v>
      </c>
      <c r="S123" s="115" t="e">
        <f t="shared" si="11"/>
        <v>#N/A</v>
      </c>
      <c r="T123" s="114" t="e">
        <f t="shared" si="12"/>
        <v>#N/A</v>
      </c>
      <c r="U123" s="114" t="e">
        <f t="shared" si="13"/>
        <v>#N/A</v>
      </c>
      <c r="V123" s="114" t="e">
        <f t="shared" si="14"/>
        <v>#N/A</v>
      </c>
      <c r="W123" s="135"/>
      <c r="X123" s="135"/>
      <c r="Y123" s="135"/>
    </row>
    <row r="124" spans="1:25" x14ac:dyDescent="0.2">
      <c r="A124" s="118"/>
      <c r="B124" s="112">
        <v>118</v>
      </c>
      <c r="C124" s="119"/>
      <c r="D124" s="112">
        <v>118</v>
      </c>
      <c r="E124" s="118"/>
      <c r="F124" s="112">
        <v>118</v>
      </c>
      <c r="G124" s="119"/>
      <c r="H124" s="112">
        <v>118</v>
      </c>
      <c r="I124" s="118"/>
      <c r="J124" s="112">
        <v>118</v>
      </c>
      <c r="R124" s="114" t="e">
        <f t="shared" si="6"/>
        <v>#N/A</v>
      </c>
      <c r="S124" s="115" t="e">
        <f t="shared" si="11"/>
        <v>#N/A</v>
      </c>
      <c r="T124" s="114" t="e">
        <f t="shared" si="12"/>
        <v>#N/A</v>
      </c>
      <c r="U124" s="114" t="e">
        <f t="shared" si="13"/>
        <v>#N/A</v>
      </c>
      <c r="V124" s="114" t="e">
        <f t="shared" si="14"/>
        <v>#N/A</v>
      </c>
      <c r="W124" s="135"/>
      <c r="X124" s="135"/>
      <c r="Y124" s="135"/>
    </row>
    <row r="125" spans="1:25" x14ac:dyDescent="0.2">
      <c r="A125" s="118"/>
      <c r="B125" s="112">
        <v>119</v>
      </c>
      <c r="C125" s="119"/>
      <c r="D125" s="112">
        <v>119</v>
      </c>
      <c r="E125" s="118"/>
      <c r="F125" s="112">
        <v>119</v>
      </c>
      <c r="G125" s="119"/>
      <c r="H125" s="112">
        <v>119</v>
      </c>
      <c r="I125" s="118"/>
      <c r="J125" s="112">
        <v>119</v>
      </c>
      <c r="R125" s="114" t="e">
        <f t="shared" si="6"/>
        <v>#N/A</v>
      </c>
      <c r="S125" s="115" t="e">
        <f t="shared" si="11"/>
        <v>#N/A</v>
      </c>
      <c r="T125" s="114" t="e">
        <f t="shared" si="12"/>
        <v>#N/A</v>
      </c>
      <c r="U125" s="114" t="e">
        <f t="shared" si="13"/>
        <v>#N/A</v>
      </c>
      <c r="V125" s="114" t="e">
        <f t="shared" si="14"/>
        <v>#N/A</v>
      </c>
      <c r="W125" s="135"/>
      <c r="X125" s="135"/>
      <c r="Y125" s="135"/>
    </row>
    <row r="126" spans="1:25" x14ac:dyDescent="0.2">
      <c r="A126" s="118"/>
      <c r="B126" s="112">
        <v>120</v>
      </c>
      <c r="C126" s="119"/>
      <c r="D126" s="112">
        <v>120</v>
      </c>
      <c r="E126" s="118"/>
      <c r="F126" s="112">
        <v>120</v>
      </c>
      <c r="G126" s="119"/>
      <c r="H126" s="112">
        <v>120</v>
      </c>
      <c r="I126" s="118"/>
      <c r="J126" s="112">
        <v>120</v>
      </c>
      <c r="R126" s="114" t="e">
        <f t="shared" si="6"/>
        <v>#N/A</v>
      </c>
      <c r="S126" s="115" t="e">
        <f t="shared" si="11"/>
        <v>#N/A</v>
      </c>
      <c r="T126" s="114" t="e">
        <f t="shared" si="12"/>
        <v>#N/A</v>
      </c>
      <c r="U126" s="114" t="e">
        <f t="shared" si="13"/>
        <v>#N/A</v>
      </c>
      <c r="V126" s="114" t="e">
        <f t="shared" si="14"/>
        <v>#N/A</v>
      </c>
      <c r="W126" s="135"/>
      <c r="X126" s="135"/>
      <c r="Y126" s="135"/>
    </row>
    <row r="127" spans="1:25" x14ac:dyDescent="0.2">
      <c r="A127" s="118"/>
      <c r="B127" s="112">
        <v>121</v>
      </c>
      <c r="C127" s="119"/>
      <c r="D127" s="112">
        <v>121</v>
      </c>
      <c r="E127" s="118"/>
      <c r="F127" s="112">
        <v>121</v>
      </c>
      <c r="G127" s="119"/>
      <c r="H127" s="112">
        <v>121</v>
      </c>
      <c r="I127" s="118"/>
      <c r="J127" s="112">
        <v>121</v>
      </c>
      <c r="R127" s="114" t="e">
        <f t="shared" si="6"/>
        <v>#N/A</v>
      </c>
      <c r="S127" s="115" t="e">
        <f t="shared" si="11"/>
        <v>#N/A</v>
      </c>
      <c r="T127" s="114" t="e">
        <f t="shared" si="12"/>
        <v>#N/A</v>
      </c>
      <c r="U127" s="114" t="e">
        <f t="shared" si="13"/>
        <v>#N/A</v>
      </c>
      <c r="V127" s="114" t="e">
        <f t="shared" si="14"/>
        <v>#N/A</v>
      </c>
      <c r="W127" s="135"/>
      <c r="X127" s="135"/>
      <c r="Y127" s="135"/>
    </row>
    <row r="128" spans="1:25" x14ac:dyDescent="0.2">
      <c r="A128" s="118"/>
      <c r="B128" s="112">
        <v>122</v>
      </c>
      <c r="C128" s="119"/>
      <c r="D128" s="112">
        <v>122</v>
      </c>
      <c r="E128" s="118"/>
      <c r="F128" s="112">
        <v>122</v>
      </c>
      <c r="G128" s="119"/>
      <c r="H128" s="112">
        <v>122</v>
      </c>
      <c r="I128" s="118"/>
      <c r="J128" s="112">
        <v>122</v>
      </c>
      <c r="R128" s="114" t="e">
        <f t="shared" si="6"/>
        <v>#N/A</v>
      </c>
      <c r="S128" s="115" t="e">
        <f t="shared" si="11"/>
        <v>#N/A</v>
      </c>
      <c r="T128" s="114" t="e">
        <f t="shared" si="12"/>
        <v>#N/A</v>
      </c>
      <c r="U128" s="114" t="e">
        <f t="shared" si="13"/>
        <v>#N/A</v>
      </c>
      <c r="V128" s="114" t="e">
        <f t="shared" si="14"/>
        <v>#N/A</v>
      </c>
      <c r="W128" s="135"/>
      <c r="X128" s="135"/>
      <c r="Y128" s="135"/>
    </row>
    <row r="129" spans="1:25" x14ac:dyDescent="0.2">
      <c r="A129" s="118"/>
      <c r="B129" s="112">
        <v>123</v>
      </c>
      <c r="C129" s="119"/>
      <c r="D129" s="112">
        <v>123</v>
      </c>
      <c r="E129" s="118"/>
      <c r="F129" s="112">
        <v>123</v>
      </c>
      <c r="G129" s="119"/>
      <c r="H129" s="112">
        <v>123</v>
      </c>
      <c r="I129" s="118"/>
      <c r="J129" s="112">
        <v>123</v>
      </c>
      <c r="R129" s="114" t="e">
        <f t="shared" si="6"/>
        <v>#N/A</v>
      </c>
      <c r="S129" s="115" t="e">
        <f t="shared" si="11"/>
        <v>#N/A</v>
      </c>
      <c r="T129" s="114" t="e">
        <f t="shared" si="12"/>
        <v>#N/A</v>
      </c>
      <c r="U129" s="114" t="e">
        <f t="shared" si="13"/>
        <v>#N/A</v>
      </c>
      <c r="V129" s="114" t="e">
        <f t="shared" si="14"/>
        <v>#N/A</v>
      </c>
      <c r="W129" s="135"/>
      <c r="X129" s="135"/>
      <c r="Y129" s="135"/>
    </row>
    <row r="130" spans="1:25" x14ac:dyDescent="0.2">
      <c r="A130" s="118"/>
      <c r="B130" s="112">
        <v>124</v>
      </c>
      <c r="C130" s="119"/>
      <c r="D130" s="112">
        <v>124</v>
      </c>
      <c r="E130" s="118"/>
      <c r="F130" s="112">
        <v>124</v>
      </c>
      <c r="G130" s="119"/>
      <c r="H130" s="112">
        <v>124</v>
      </c>
      <c r="I130" s="118"/>
      <c r="J130" s="112">
        <v>124</v>
      </c>
      <c r="R130" s="114" t="e">
        <f t="shared" si="6"/>
        <v>#N/A</v>
      </c>
      <c r="S130" s="115" t="e">
        <f t="shared" si="11"/>
        <v>#N/A</v>
      </c>
      <c r="T130" s="114" t="e">
        <f t="shared" si="12"/>
        <v>#N/A</v>
      </c>
      <c r="U130" s="114" t="e">
        <f t="shared" si="13"/>
        <v>#N/A</v>
      </c>
      <c r="V130" s="114" t="e">
        <f t="shared" si="14"/>
        <v>#N/A</v>
      </c>
      <c r="W130" s="135"/>
      <c r="X130" s="135"/>
      <c r="Y130" s="135"/>
    </row>
    <row r="131" spans="1:25" x14ac:dyDescent="0.2">
      <c r="A131" s="118"/>
      <c r="B131" s="112">
        <v>125</v>
      </c>
      <c r="C131" s="119"/>
      <c r="D131" s="112">
        <v>125</v>
      </c>
      <c r="E131" s="118"/>
      <c r="F131" s="112">
        <v>125</v>
      </c>
      <c r="G131" s="119"/>
      <c r="H131" s="112">
        <v>125</v>
      </c>
      <c r="I131" s="118"/>
      <c r="J131" s="112">
        <v>125</v>
      </c>
      <c r="R131" s="114" t="e">
        <f t="shared" si="6"/>
        <v>#N/A</v>
      </c>
      <c r="S131" s="115" t="e">
        <f t="shared" si="11"/>
        <v>#N/A</v>
      </c>
      <c r="T131" s="114" t="e">
        <f t="shared" si="12"/>
        <v>#N/A</v>
      </c>
      <c r="U131" s="114" t="e">
        <f t="shared" si="13"/>
        <v>#N/A</v>
      </c>
      <c r="V131" s="114" t="e">
        <f t="shared" si="14"/>
        <v>#N/A</v>
      </c>
      <c r="W131" s="135"/>
      <c r="X131" s="135"/>
      <c r="Y131" s="135"/>
    </row>
    <row r="132" spans="1:25" x14ac:dyDescent="0.2">
      <c r="A132" s="118"/>
      <c r="B132" s="112">
        <v>126</v>
      </c>
      <c r="C132" s="119"/>
      <c r="D132" s="112">
        <v>126</v>
      </c>
      <c r="E132" s="118"/>
      <c r="F132" s="112">
        <v>126</v>
      </c>
      <c r="G132" s="119"/>
      <c r="H132" s="112">
        <v>126</v>
      </c>
      <c r="I132" s="118"/>
      <c r="J132" s="112">
        <v>126</v>
      </c>
      <c r="R132" s="114" t="e">
        <f t="shared" si="6"/>
        <v>#N/A</v>
      </c>
      <c r="S132" s="115" t="e">
        <f t="shared" si="11"/>
        <v>#N/A</v>
      </c>
      <c r="T132" s="114" t="e">
        <f t="shared" si="12"/>
        <v>#N/A</v>
      </c>
      <c r="U132" s="114" t="e">
        <f t="shared" si="13"/>
        <v>#N/A</v>
      </c>
      <c r="V132" s="114" t="e">
        <f t="shared" si="14"/>
        <v>#N/A</v>
      </c>
      <c r="W132" s="135"/>
      <c r="X132" s="135"/>
      <c r="Y132" s="135"/>
    </row>
    <row r="133" spans="1:25" x14ac:dyDescent="0.2">
      <c r="A133" s="118"/>
      <c r="B133" s="112">
        <v>127</v>
      </c>
      <c r="C133" s="119"/>
      <c r="D133" s="112">
        <v>127</v>
      </c>
      <c r="E133" s="118"/>
      <c r="F133" s="112">
        <v>127</v>
      </c>
      <c r="G133" s="119"/>
      <c r="H133" s="112">
        <v>127</v>
      </c>
      <c r="I133" s="118"/>
      <c r="J133" s="112">
        <v>127</v>
      </c>
      <c r="R133" s="114" t="e">
        <f t="shared" si="6"/>
        <v>#N/A</v>
      </c>
      <c r="S133" s="115" t="e">
        <f t="shared" si="11"/>
        <v>#N/A</v>
      </c>
      <c r="T133" s="114" t="e">
        <f t="shared" si="12"/>
        <v>#N/A</v>
      </c>
      <c r="U133" s="114" t="e">
        <f t="shared" si="13"/>
        <v>#N/A</v>
      </c>
      <c r="V133" s="114" t="e">
        <f t="shared" si="14"/>
        <v>#N/A</v>
      </c>
      <c r="W133" s="135"/>
      <c r="X133" s="135"/>
      <c r="Y133" s="135"/>
    </row>
    <row r="134" spans="1:25" x14ac:dyDescent="0.2">
      <c r="A134" s="118"/>
      <c r="B134" s="112">
        <v>128</v>
      </c>
      <c r="C134" s="119"/>
      <c r="D134" s="112">
        <v>128</v>
      </c>
      <c r="E134" s="118"/>
      <c r="F134" s="112">
        <v>128</v>
      </c>
      <c r="G134" s="119"/>
      <c r="H134" s="112">
        <v>128</v>
      </c>
      <c r="I134" s="118"/>
      <c r="J134" s="112">
        <v>128</v>
      </c>
      <c r="R134" s="114" t="e">
        <f t="shared" si="6"/>
        <v>#N/A</v>
      </c>
      <c r="S134" s="115" t="e">
        <f t="shared" si="11"/>
        <v>#N/A</v>
      </c>
      <c r="T134" s="114" t="e">
        <f t="shared" si="12"/>
        <v>#N/A</v>
      </c>
      <c r="U134" s="114" t="e">
        <f t="shared" si="13"/>
        <v>#N/A</v>
      </c>
      <c r="V134" s="114" t="e">
        <f t="shared" si="14"/>
        <v>#N/A</v>
      </c>
      <c r="W134" s="135"/>
      <c r="X134" s="135"/>
      <c r="Y134" s="135"/>
    </row>
    <row r="135" spans="1:25" x14ac:dyDescent="0.2">
      <c r="A135" s="118"/>
      <c r="B135" s="112">
        <v>129</v>
      </c>
      <c r="C135" s="119"/>
      <c r="D135" s="112">
        <v>129</v>
      </c>
      <c r="E135" s="118"/>
      <c r="F135" s="112">
        <v>129</v>
      </c>
      <c r="G135" s="119"/>
      <c r="H135" s="112">
        <v>129</v>
      </c>
      <c r="I135" s="118"/>
      <c r="J135" s="112">
        <v>129</v>
      </c>
      <c r="R135" s="114" t="e">
        <f t="shared" ref="R135:R145" si="15">IF(L135="-", "ERROR", VLOOKUP(L135, $A$6:$B$200, 2, FALSE))</f>
        <v>#N/A</v>
      </c>
      <c r="S135" s="115" t="e">
        <f t="shared" si="11"/>
        <v>#N/A</v>
      </c>
      <c r="T135" s="114" t="e">
        <f t="shared" si="12"/>
        <v>#N/A</v>
      </c>
      <c r="U135" s="114" t="e">
        <f t="shared" si="13"/>
        <v>#N/A</v>
      </c>
      <c r="V135" s="114" t="e">
        <f t="shared" si="14"/>
        <v>#N/A</v>
      </c>
      <c r="W135" s="135"/>
      <c r="X135" s="135"/>
      <c r="Y135" s="135"/>
    </row>
    <row r="136" spans="1:25" x14ac:dyDescent="0.2">
      <c r="A136" s="118"/>
      <c r="B136" s="112">
        <v>130</v>
      </c>
      <c r="C136" s="119"/>
      <c r="D136" s="112">
        <v>130</v>
      </c>
      <c r="E136" s="118"/>
      <c r="F136" s="112">
        <v>130</v>
      </c>
      <c r="G136" s="119"/>
      <c r="H136" s="112">
        <v>130</v>
      </c>
      <c r="I136" s="118"/>
      <c r="J136" s="112">
        <v>130</v>
      </c>
      <c r="R136" s="114" t="e">
        <f t="shared" si="15"/>
        <v>#N/A</v>
      </c>
      <c r="S136" s="115" t="e">
        <f t="shared" si="11"/>
        <v>#N/A</v>
      </c>
      <c r="T136" s="114" t="e">
        <f t="shared" si="12"/>
        <v>#N/A</v>
      </c>
      <c r="U136" s="114" t="e">
        <f t="shared" si="13"/>
        <v>#N/A</v>
      </c>
      <c r="V136" s="114" t="e">
        <f t="shared" si="14"/>
        <v>#N/A</v>
      </c>
      <c r="W136" s="135"/>
      <c r="X136" s="135"/>
      <c r="Y136" s="135"/>
    </row>
    <row r="137" spans="1:25" x14ac:dyDescent="0.2">
      <c r="A137" s="118"/>
      <c r="B137" s="112">
        <v>131</v>
      </c>
      <c r="C137" s="119"/>
      <c r="D137" s="112">
        <v>131</v>
      </c>
      <c r="E137" s="118"/>
      <c r="F137" s="112">
        <v>131</v>
      </c>
      <c r="G137" s="119"/>
      <c r="H137" s="112">
        <v>131</v>
      </c>
      <c r="I137" s="118"/>
      <c r="J137" s="112">
        <v>131</v>
      </c>
      <c r="R137" s="114" t="e">
        <f t="shared" si="15"/>
        <v>#N/A</v>
      </c>
      <c r="S137" s="115" t="e">
        <f t="shared" si="11"/>
        <v>#N/A</v>
      </c>
      <c r="T137" s="114" t="e">
        <f t="shared" si="12"/>
        <v>#N/A</v>
      </c>
      <c r="U137" s="114" t="e">
        <f t="shared" si="13"/>
        <v>#N/A</v>
      </c>
      <c r="V137" s="114" t="e">
        <f t="shared" si="14"/>
        <v>#N/A</v>
      </c>
      <c r="W137" s="135"/>
      <c r="X137" s="135"/>
      <c r="Y137" s="135"/>
    </row>
    <row r="138" spans="1:25" x14ac:dyDescent="0.2">
      <c r="A138" s="118"/>
      <c r="B138" s="112">
        <v>132</v>
      </c>
      <c r="C138" s="119"/>
      <c r="D138" s="112">
        <v>132</v>
      </c>
      <c r="E138" s="118"/>
      <c r="F138" s="112">
        <v>132</v>
      </c>
      <c r="G138" s="119"/>
      <c r="H138" s="112">
        <v>132</v>
      </c>
      <c r="I138" s="118"/>
      <c r="J138" s="112">
        <v>132</v>
      </c>
      <c r="R138" s="114" t="e">
        <f t="shared" si="15"/>
        <v>#N/A</v>
      </c>
      <c r="S138" s="115" t="e">
        <f t="shared" si="11"/>
        <v>#N/A</v>
      </c>
      <c r="T138" s="114" t="e">
        <f t="shared" si="12"/>
        <v>#N/A</v>
      </c>
      <c r="U138" s="114" t="e">
        <f t="shared" si="13"/>
        <v>#N/A</v>
      </c>
      <c r="V138" s="114" t="e">
        <f t="shared" si="14"/>
        <v>#N/A</v>
      </c>
      <c r="W138" s="135"/>
      <c r="X138" s="135"/>
      <c r="Y138" s="135"/>
    </row>
    <row r="139" spans="1:25" x14ac:dyDescent="0.2">
      <c r="A139" s="118"/>
      <c r="B139" s="112">
        <v>133</v>
      </c>
      <c r="C139" s="119"/>
      <c r="D139" s="112">
        <v>133</v>
      </c>
      <c r="E139" s="118"/>
      <c r="F139" s="112">
        <v>133</v>
      </c>
      <c r="G139" s="119"/>
      <c r="H139" s="112">
        <v>133</v>
      </c>
      <c r="I139" s="118"/>
      <c r="J139" s="112">
        <v>133</v>
      </c>
      <c r="R139" s="114" t="e">
        <f t="shared" si="15"/>
        <v>#N/A</v>
      </c>
      <c r="S139" s="115" t="e">
        <f t="shared" si="11"/>
        <v>#N/A</v>
      </c>
      <c r="T139" s="114" t="e">
        <f t="shared" si="12"/>
        <v>#N/A</v>
      </c>
      <c r="U139" s="114" t="e">
        <f t="shared" si="13"/>
        <v>#N/A</v>
      </c>
      <c r="V139" s="114" t="e">
        <f t="shared" si="14"/>
        <v>#N/A</v>
      </c>
      <c r="W139" s="135"/>
      <c r="X139" s="135"/>
      <c r="Y139" s="135"/>
    </row>
    <row r="140" spans="1:25" x14ac:dyDescent="0.2">
      <c r="A140" s="118"/>
      <c r="B140" s="112">
        <v>134</v>
      </c>
      <c r="C140" s="119"/>
      <c r="D140" s="112">
        <v>134</v>
      </c>
      <c r="E140" s="118"/>
      <c r="F140" s="112">
        <v>134</v>
      </c>
      <c r="G140" s="119"/>
      <c r="H140" s="112">
        <v>134</v>
      </c>
      <c r="I140" s="118"/>
      <c r="J140" s="112">
        <v>134</v>
      </c>
      <c r="R140" s="114" t="e">
        <f t="shared" si="15"/>
        <v>#N/A</v>
      </c>
      <c r="S140" s="115" t="e">
        <f t="shared" si="11"/>
        <v>#N/A</v>
      </c>
      <c r="T140" s="114" t="e">
        <f t="shared" si="12"/>
        <v>#N/A</v>
      </c>
      <c r="U140" s="114" t="e">
        <f t="shared" si="13"/>
        <v>#N/A</v>
      </c>
      <c r="V140" s="114" t="e">
        <f t="shared" si="14"/>
        <v>#N/A</v>
      </c>
      <c r="W140" s="135"/>
      <c r="X140" s="135"/>
      <c r="Y140" s="135"/>
    </row>
    <row r="141" spans="1:25" x14ac:dyDescent="0.2">
      <c r="A141" s="118"/>
      <c r="B141" s="112">
        <v>135</v>
      </c>
      <c r="C141" s="119"/>
      <c r="D141" s="112">
        <v>135</v>
      </c>
      <c r="E141" s="118"/>
      <c r="F141" s="112">
        <v>135</v>
      </c>
      <c r="G141" s="119"/>
      <c r="H141" s="112">
        <v>135</v>
      </c>
      <c r="I141" s="118"/>
      <c r="J141" s="112">
        <v>135</v>
      </c>
      <c r="R141" s="114" t="e">
        <f t="shared" si="15"/>
        <v>#N/A</v>
      </c>
      <c r="S141" s="115" t="e">
        <f t="shared" si="11"/>
        <v>#N/A</v>
      </c>
      <c r="T141" s="114" t="e">
        <f t="shared" si="12"/>
        <v>#N/A</v>
      </c>
      <c r="U141" s="114" t="e">
        <f t="shared" si="13"/>
        <v>#N/A</v>
      </c>
      <c r="V141" s="114" t="e">
        <f t="shared" si="14"/>
        <v>#N/A</v>
      </c>
      <c r="W141" s="135"/>
      <c r="X141" s="135"/>
      <c r="Y141" s="135"/>
    </row>
    <row r="142" spans="1:25" x14ac:dyDescent="0.2">
      <c r="A142" s="118"/>
      <c r="B142" s="112">
        <v>136</v>
      </c>
      <c r="C142" s="119"/>
      <c r="D142" s="112">
        <v>136</v>
      </c>
      <c r="E142" s="118"/>
      <c r="F142" s="112">
        <v>136</v>
      </c>
      <c r="G142" s="119"/>
      <c r="H142" s="112">
        <v>136</v>
      </c>
      <c r="I142" s="118"/>
      <c r="J142" s="112">
        <v>136</v>
      </c>
      <c r="R142" s="114" t="e">
        <f t="shared" si="15"/>
        <v>#N/A</v>
      </c>
      <c r="S142" s="115" t="e">
        <f t="shared" si="11"/>
        <v>#N/A</v>
      </c>
      <c r="T142" s="114" t="e">
        <f t="shared" si="12"/>
        <v>#N/A</v>
      </c>
      <c r="U142" s="114" t="e">
        <f t="shared" si="13"/>
        <v>#N/A</v>
      </c>
      <c r="V142" s="114" t="e">
        <f t="shared" si="14"/>
        <v>#N/A</v>
      </c>
      <c r="W142" s="135"/>
      <c r="X142" s="135"/>
      <c r="Y142" s="135"/>
    </row>
    <row r="143" spans="1:25" x14ac:dyDescent="0.2">
      <c r="A143" s="118"/>
      <c r="B143" s="112">
        <v>137</v>
      </c>
      <c r="C143" s="119"/>
      <c r="D143" s="112">
        <v>137</v>
      </c>
      <c r="E143" s="118"/>
      <c r="F143" s="112">
        <v>137</v>
      </c>
      <c r="G143" s="119"/>
      <c r="H143" s="112">
        <v>137</v>
      </c>
      <c r="I143" s="118"/>
      <c r="J143" s="112">
        <v>137</v>
      </c>
      <c r="R143" s="114" t="e">
        <f t="shared" si="15"/>
        <v>#N/A</v>
      </c>
      <c r="S143" s="115" t="e">
        <f t="shared" si="11"/>
        <v>#N/A</v>
      </c>
      <c r="T143" s="114" t="e">
        <f t="shared" si="12"/>
        <v>#N/A</v>
      </c>
      <c r="U143" s="114" t="e">
        <f t="shared" si="13"/>
        <v>#N/A</v>
      </c>
      <c r="V143" s="114" t="e">
        <f t="shared" si="14"/>
        <v>#N/A</v>
      </c>
      <c r="W143" s="135"/>
      <c r="X143" s="135"/>
      <c r="Y143" s="135"/>
    </row>
    <row r="144" spans="1:25" x14ac:dyDescent="0.2">
      <c r="A144" s="118"/>
      <c r="B144" s="112">
        <v>138</v>
      </c>
      <c r="C144" s="119"/>
      <c r="D144" s="112">
        <v>138</v>
      </c>
      <c r="E144" s="118"/>
      <c r="F144" s="112">
        <v>138</v>
      </c>
      <c r="G144" s="119"/>
      <c r="H144" s="112">
        <v>138</v>
      </c>
      <c r="I144" s="118"/>
      <c r="J144" s="112">
        <v>138</v>
      </c>
      <c r="R144" s="114" t="e">
        <f t="shared" si="15"/>
        <v>#N/A</v>
      </c>
      <c r="S144" s="115" t="e">
        <f t="shared" si="11"/>
        <v>#N/A</v>
      </c>
      <c r="T144" s="114" t="e">
        <f t="shared" si="12"/>
        <v>#N/A</v>
      </c>
      <c r="U144" s="114" t="e">
        <f t="shared" si="13"/>
        <v>#N/A</v>
      </c>
      <c r="V144" s="114" t="e">
        <f t="shared" si="14"/>
        <v>#N/A</v>
      </c>
      <c r="W144" s="135"/>
      <c r="X144" s="135"/>
      <c r="Y144" s="135"/>
    </row>
    <row r="145" spans="1:25" x14ac:dyDescent="0.2">
      <c r="A145" s="118"/>
      <c r="B145" s="112">
        <v>139</v>
      </c>
      <c r="C145" s="119"/>
      <c r="D145" s="112">
        <v>139</v>
      </c>
      <c r="E145" s="118"/>
      <c r="F145" s="112">
        <v>139</v>
      </c>
      <c r="G145" s="119"/>
      <c r="H145" s="112">
        <v>139</v>
      </c>
      <c r="I145" s="118"/>
      <c r="J145" s="112">
        <v>139</v>
      </c>
      <c r="R145" s="114" t="e">
        <f t="shared" si="15"/>
        <v>#N/A</v>
      </c>
      <c r="S145" s="115" t="e">
        <f t="shared" si="11"/>
        <v>#N/A</v>
      </c>
      <c r="T145" s="114" t="e">
        <f t="shared" si="12"/>
        <v>#N/A</v>
      </c>
      <c r="U145" s="114" t="e">
        <f t="shared" si="13"/>
        <v>#N/A</v>
      </c>
      <c r="V145" s="114" t="e">
        <f t="shared" si="14"/>
        <v>#N/A</v>
      </c>
      <c r="W145" s="135"/>
      <c r="X145" s="135"/>
      <c r="Y145" s="135"/>
    </row>
    <row r="146" spans="1:25" x14ac:dyDescent="0.2">
      <c r="A146" s="118"/>
      <c r="B146" s="112">
        <v>140</v>
      </c>
      <c r="C146" s="119"/>
      <c r="D146" s="112">
        <v>140</v>
      </c>
      <c r="E146" s="118"/>
      <c r="F146" s="112">
        <v>140</v>
      </c>
      <c r="G146" s="119"/>
      <c r="H146" s="112">
        <v>140</v>
      </c>
      <c r="I146" s="118"/>
      <c r="J146" s="112">
        <v>140</v>
      </c>
      <c r="W146" s="135"/>
      <c r="X146" s="135"/>
      <c r="Y146" s="135"/>
    </row>
    <row r="147" spans="1:25" x14ac:dyDescent="0.2">
      <c r="A147" s="118"/>
      <c r="B147" s="112">
        <v>141</v>
      </c>
      <c r="C147" s="119"/>
      <c r="D147" s="112">
        <v>141</v>
      </c>
      <c r="E147" s="118"/>
      <c r="F147" s="112">
        <v>141</v>
      </c>
      <c r="G147" s="119"/>
      <c r="H147" s="112">
        <v>141</v>
      </c>
      <c r="I147" s="118"/>
      <c r="J147" s="112">
        <v>141</v>
      </c>
      <c r="W147" s="135"/>
      <c r="X147" s="135"/>
      <c r="Y147" s="135"/>
    </row>
    <row r="148" spans="1:25" x14ac:dyDescent="0.2">
      <c r="A148" s="118"/>
      <c r="B148" s="112">
        <v>142</v>
      </c>
      <c r="C148" s="119"/>
      <c r="D148" s="112">
        <v>142</v>
      </c>
      <c r="E148" s="118"/>
      <c r="F148" s="112">
        <v>142</v>
      </c>
      <c r="G148" s="119"/>
      <c r="H148" s="112">
        <v>142</v>
      </c>
      <c r="I148" s="118"/>
      <c r="J148" s="112">
        <v>142</v>
      </c>
      <c r="W148" s="135"/>
      <c r="X148" s="135"/>
      <c r="Y148" s="135"/>
    </row>
    <row r="149" spans="1:25" x14ac:dyDescent="0.2">
      <c r="A149" s="118"/>
      <c r="B149" s="112">
        <v>143</v>
      </c>
      <c r="C149" s="119"/>
      <c r="D149" s="112">
        <v>143</v>
      </c>
      <c r="E149" s="118"/>
      <c r="F149" s="112">
        <v>143</v>
      </c>
      <c r="G149" s="119"/>
      <c r="H149" s="112">
        <v>143</v>
      </c>
      <c r="I149" s="118"/>
      <c r="J149" s="112">
        <v>143</v>
      </c>
      <c r="W149" s="135"/>
      <c r="X149" s="135"/>
      <c r="Y149" s="135"/>
    </row>
    <row r="150" spans="1:25" x14ac:dyDescent="0.2">
      <c r="A150" s="118"/>
      <c r="B150" s="112">
        <v>144</v>
      </c>
      <c r="C150" s="119"/>
      <c r="D150" s="112">
        <v>144</v>
      </c>
      <c r="E150" s="118"/>
      <c r="F150" s="112">
        <v>144</v>
      </c>
      <c r="G150" s="119"/>
      <c r="H150" s="112">
        <v>144</v>
      </c>
      <c r="I150" s="118"/>
      <c r="J150" s="112">
        <v>144</v>
      </c>
      <c r="W150" s="135"/>
      <c r="X150" s="135"/>
      <c r="Y150" s="135"/>
    </row>
    <row r="151" spans="1:25" x14ac:dyDescent="0.2">
      <c r="A151" s="118"/>
      <c r="B151" s="112">
        <v>145</v>
      </c>
      <c r="C151" s="119"/>
      <c r="D151" s="112">
        <v>145</v>
      </c>
      <c r="E151" s="118"/>
      <c r="F151" s="112">
        <v>145</v>
      </c>
      <c r="G151" s="119"/>
      <c r="H151" s="112">
        <v>145</v>
      </c>
      <c r="I151" s="118"/>
      <c r="J151" s="112">
        <v>145</v>
      </c>
      <c r="W151" s="135"/>
      <c r="X151" s="135"/>
      <c r="Y151" s="135"/>
    </row>
    <row r="152" spans="1:25" x14ac:dyDescent="0.2">
      <c r="A152" s="118"/>
      <c r="B152" s="112">
        <v>146</v>
      </c>
      <c r="C152" s="119"/>
      <c r="D152" s="112">
        <v>146</v>
      </c>
      <c r="E152" s="118"/>
      <c r="F152" s="112">
        <v>146</v>
      </c>
      <c r="G152" s="119"/>
      <c r="H152" s="112">
        <v>146</v>
      </c>
      <c r="I152" s="118"/>
      <c r="J152" s="112">
        <v>146</v>
      </c>
      <c r="W152" s="135"/>
      <c r="X152" s="135"/>
      <c r="Y152" s="135"/>
    </row>
    <row r="153" spans="1:25" x14ac:dyDescent="0.2">
      <c r="A153" s="118"/>
      <c r="B153" s="112">
        <v>147</v>
      </c>
      <c r="C153" s="119"/>
      <c r="D153" s="112">
        <v>147</v>
      </c>
      <c r="E153" s="118"/>
      <c r="F153" s="112">
        <v>147</v>
      </c>
      <c r="G153" s="119"/>
      <c r="H153" s="112">
        <v>147</v>
      </c>
      <c r="I153" s="118"/>
      <c r="J153" s="112">
        <v>147</v>
      </c>
      <c r="W153" s="135"/>
      <c r="X153" s="135"/>
      <c r="Y153" s="135"/>
    </row>
    <row r="154" spans="1:25" x14ac:dyDescent="0.2">
      <c r="A154" s="118"/>
      <c r="B154" s="112">
        <v>148</v>
      </c>
      <c r="C154" s="119"/>
      <c r="D154" s="112">
        <v>148</v>
      </c>
      <c r="E154" s="118"/>
      <c r="F154" s="112">
        <v>148</v>
      </c>
      <c r="G154" s="119"/>
      <c r="H154" s="112">
        <v>148</v>
      </c>
      <c r="I154" s="118"/>
      <c r="J154" s="112">
        <v>148</v>
      </c>
      <c r="W154" s="135"/>
      <c r="X154" s="135"/>
      <c r="Y154" s="135"/>
    </row>
    <row r="155" spans="1:25" x14ac:dyDescent="0.2">
      <c r="A155" s="118"/>
      <c r="B155" s="112">
        <v>149</v>
      </c>
      <c r="C155" s="119"/>
      <c r="D155" s="112">
        <v>149</v>
      </c>
      <c r="E155" s="118"/>
      <c r="F155" s="112">
        <v>149</v>
      </c>
      <c r="G155" s="119"/>
      <c r="H155" s="112">
        <v>149</v>
      </c>
      <c r="I155" s="118"/>
      <c r="J155" s="112">
        <v>149</v>
      </c>
      <c r="W155" s="135"/>
      <c r="X155" s="135"/>
      <c r="Y155" s="135"/>
    </row>
    <row r="156" spans="1:25" x14ac:dyDescent="0.2">
      <c r="A156" s="118"/>
      <c r="B156" s="112">
        <v>150</v>
      </c>
      <c r="C156" s="119"/>
      <c r="D156" s="112">
        <v>150</v>
      </c>
      <c r="E156" s="118"/>
      <c r="F156" s="112">
        <v>150</v>
      </c>
      <c r="G156" s="119"/>
      <c r="H156" s="112">
        <v>150</v>
      </c>
      <c r="I156" s="118"/>
      <c r="J156" s="112">
        <v>150</v>
      </c>
      <c r="W156" s="135"/>
      <c r="X156" s="135"/>
      <c r="Y156" s="135"/>
    </row>
    <row r="157" spans="1:25" x14ac:dyDescent="0.2">
      <c r="A157" s="118"/>
      <c r="B157" s="112">
        <v>151</v>
      </c>
      <c r="C157" s="119"/>
      <c r="D157" s="112">
        <v>151</v>
      </c>
      <c r="E157" s="118"/>
      <c r="F157" s="112">
        <v>151</v>
      </c>
      <c r="G157" s="119"/>
      <c r="H157" s="112">
        <v>151</v>
      </c>
      <c r="I157" s="118"/>
      <c r="J157" s="112">
        <v>151</v>
      </c>
      <c r="W157" s="135"/>
      <c r="X157" s="135"/>
      <c r="Y157" s="135"/>
    </row>
    <row r="158" spans="1:25" x14ac:dyDescent="0.2">
      <c r="A158" s="118"/>
      <c r="B158" s="112">
        <v>152</v>
      </c>
      <c r="C158" s="119"/>
      <c r="D158" s="112">
        <v>152</v>
      </c>
      <c r="E158" s="118"/>
      <c r="F158" s="112">
        <v>152</v>
      </c>
      <c r="G158" s="119"/>
      <c r="H158" s="112">
        <v>152</v>
      </c>
      <c r="I158" s="118"/>
      <c r="J158" s="112">
        <v>152</v>
      </c>
      <c r="W158" s="135"/>
      <c r="X158" s="135"/>
      <c r="Y158" s="135"/>
    </row>
    <row r="159" spans="1:25" x14ac:dyDescent="0.2">
      <c r="A159" s="118"/>
      <c r="B159" s="112">
        <v>153</v>
      </c>
      <c r="C159" s="119"/>
      <c r="D159" s="112">
        <v>153</v>
      </c>
      <c r="E159" s="118"/>
      <c r="F159" s="112">
        <v>153</v>
      </c>
      <c r="G159" s="119"/>
      <c r="H159" s="112">
        <v>153</v>
      </c>
      <c r="I159" s="118"/>
      <c r="J159" s="112">
        <v>153</v>
      </c>
      <c r="W159" s="135"/>
      <c r="X159" s="135"/>
      <c r="Y159" s="135"/>
    </row>
    <row r="160" spans="1:25" x14ac:dyDescent="0.2">
      <c r="A160" s="118"/>
      <c r="B160" s="112">
        <v>154</v>
      </c>
      <c r="C160" s="119"/>
      <c r="D160" s="112">
        <v>154</v>
      </c>
      <c r="E160" s="118"/>
      <c r="F160" s="112">
        <v>154</v>
      </c>
      <c r="G160" s="119"/>
      <c r="H160" s="112">
        <v>154</v>
      </c>
      <c r="I160" s="118"/>
      <c r="J160" s="112">
        <v>154</v>
      </c>
      <c r="W160" s="135"/>
      <c r="X160" s="135"/>
      <c r="Y160" s="135"/>
    </row>
    <row r="161" spans="1:25" x14ac:dyDescent="0.2">
      <c r="A161" s="118"/>
      <c r="B161" s="112">
        <v>155</v>
      </c>
      <c r="C161" s="119"/>
      <c r="D161" s="112">
        <v>155</v>
      </c>
      <c r="E161" s="118"/>
      <c r="F161" s="112">
        <v>155</v>
      </c>
      <c r="G161" s="119"/>
      <c r="H161" s="112">
        <v>155</v>
      </c>
      <c r="I161" s="118"/>
      <c r="J161" s="112">
        <v>155</v>
      </c>
      <c r="W161" s="135"/>
      <c r="X161" s="135"/>
      <c r="Y161" s="135"/>
    </row>
    <row r="162" spans="1:25" x14ac:dyDescent="0.2">
      <c r="A162" s="118"/>
      <c r="B162" s="112">
        <v>156</v>
      </c>
      <c r="C162" s="119"/>
      <c r="D162" s="112">
        <v>156</v>
      </c>
      <c r="E162" s="118"/>
      <c r="F162" s="112">
        <v>156</v>
      </c>
      <c r="G162" s="119"/>
      <c r="H162" s="112">
        <v>156</v>
      </c>
      <c r="I162" s="118"/>
      <c r="J162" s="112">
        <v>156</v>
      </c>
      <c r="W162" s="135"/>
      <c r="X162" s="135"/>
      <c r="Y162" s="135"/>
    </row>
    <row r="163" spans="1:25" x14ac:dyDescent="0.2">
      <c r="A163" s="118"/>
      <c r="B163" s="112">
        <v>157</v>
      </c>
      <c r="C163" s="119"/>
      <c r="D163" s="112">
        <v>157</v>
      </c>
      <c r="E163" s="118"/>
      <c r="F163" s="112">
        <v>157</v>
      </c>
      <c r="G163" s="119"/>
      <c r="H163" s="112">
        <v>157</v>
      </c>
      <c r="I163" s="118"/>
      <c r="J163" s="112">
        <v>157</v>
      </c>
      <c r="W163" s="135"/>
      <c r="X163" s="135"/>
      <c r="Y163" s="135"/>
    </row>
    <row r="164" spans="1:25" x14ac:dyDescent="0.2">
      <c r="A164" s="118"/>
      <c r="B164" s="112">
        <v>158</v>
      </c>
      <c r="C164" s="119"/>
      <c r="D164" s="112">
        <v>158</v>
      </c>
      <c r="E164" s="118"/>
      <c r="F164" s="112">
        <v>158</v>
      </c>
      <c r="G164" s="119"/>
      <c r="H164" s="112">
        <v>158</v>
      </c>
      <c r="I164" s="118"/>
      <c r="J164" s="112">
        <v>158</v>
      </c>
      <c r="W164" s="135"/>
      <c r="X164" s="135"/>
      <c r="Y164" s="135"/>
    </row>
    <row r="165" spans="1:25" x14ac:dyDescent="0.2">
      <c r="A165" s="118"/>
      <c r="B165" s="112">
        <v>159</v>
      </c>
      <c r="C165" s="119"/>
      <c r="D165" s="112">
        <v>159</v>
      </c>
      <c r="E165" s="118"/>
      <c r="F165" s="112">
        <v>159</v>
      </c>
      <c r="G165" s="119"/>
      <c r="H165" s="112">
        <v>159</v>
      </c>
      <c r="I165" s="118"/>
      <c r="J165" s="112">
        <v>159</v>
      </c>
      <c r="W165" s="135"/>
      <c r="X165" s="135"/>
      <c r="Y165" s="135"/>
    </row>
    <row r="166" spans="1:25" x14ac:dyDescent="0.2">
      <c r="A166" s="118"/>
      <c r="B166" s="112">
        <v>160</v>
      </c>
      <c r="C166" s="119"/>
      <c r="D166" s="112">
        <v>160</v>
      </c>
      <c r="E166" s="118"/>
      <c r="F166" s="112">
        <v>160</v>
      </c>
      <c r="G166" s="119"/>
      <c r="H166" s="112">
        <v>160</v>
      </c>
      <c r="I166" s="118"/>
      <c r="J166" s="112">
        <v>160</v>
      </c>
      <c r="W166" s="135"/>
      <c r="X166" s="135"/>
      <c r="Y166" s="135"/>
    </row>
    <row r="167" spans="1:25" x14ac:dyDescent="0.2">
      <c r="A167" s="118"/>
      <c r="B167" s="112">
        <v>161</v>
      </c>
      <c r="C167" s="119"/>
      <c r="D167" s="112">
        <v>161</v>
      </c>
      <c r="E167" s="118"/>
      <c r="F167" s="112">
        <v>161</v>
      </c>
      <c r="G167" s="119"/>
      <c r="H167" s="112">
        <v>161</v>
      </c>
      <c r="I167" s="118"/>
      <c r="J167" s="112">
        <v>161</v>
      </c>
      <c r="W167" s="135"/>
      <c r="X167" s="135"/>
      <c r="Y167" s="135"/>
    </row>
    <row r="168" spans="1:25" x14ac:dyDescent="0.2">
      <c r="A168" s="118"/>
      <c r="B168" s="112">
        <v>162</v>
      </c>
      <c r="C168" s="119"/>
      <c r="D168" s="112">
        <v>162</v>
      </c>
      <c r="E168" s="118"/>
      <c r="F168" s="112">
        <v>162</v>
      </c>
      <c r="G168" s="119"/>
      <c r="H168" s="112">
        <v>162</v>
      </c>
      <c r="I168" s="118"/>
      <c r="J168" s="112">
        <v>162</v>
      </c>
      <c r="W168" s="135"/>
      <c r="X168" s="135"/>
      <c r="Y168" s="135"/>
    </row>
    <row r="169" spans="1:25" x14ac:dyDescent="0.2">
      <c r="A169" s="118"/>
      <c r="B169" s="112">
        <v>163</v>
      </c>
      <c r="C169" s="119"/>
      <c r="D169" s="112">
        <v>163</v>
      </c>
      <c r="E169" s="118"/>
      <c r="F169" s="112">
        <v>163</v>
      </c>
      <c r="G169" s="119"/>
      <c r="H169" s="112">
        <v>163</v>
      </c>
      <c r="I169" s="118"/>
      <c r="J169" s="112">
        <v>163</v>
      </c>
      <c r="W169" s="135"/>
      <c r="X169" s="135"/>
      <c r="Y169" s="135"/>
    </row>
    <row r="170" spans="1:25" x14ac:dyDescent="0.2">
      <c r="A170" s="118"/>
      <c r="B170" s="112">
        <v>164</v>
      </c>
      <c r="C170" s="119"/>
      <c r="D170" s="112">
        <v>164</v>
      </c>
      <c r="E170" s="118"/>
      <c r="F170" s="112">
        <v>164</v>
      </c>
      <c r="G170" s="119"/>
      <c r="H170" s="112">
        <v>164</v>
      </c>
      <c r="I170" s="118"/>
      <c r="J170" s="112">
        <v>164</v>
      </c>
      <c r="W170" s="135"/>
      <c r="X170" s="135"/>
      <c r="Y170" s="135"/>
    </row>
    <row r="171" spans="1:25" x14ac:dyDescent="0.2">
      <c r="A171" s="118"/>
      <c r="B171" s="112">
        <v>165</v>
      </c>
      <c r="C171" s="119"/>
      <c r="D171" s="112">
        <v>165</v>
      </c>
      <c r="E171" s="118"/>
      <c r="F171" s="112">
        <v>165</v>
      </c>
      <c r="G171" s="119"/>
      <c r="H171" s="112">
        <v>165</v>
      </c>
      <c r="I171" s="118"/>
      <c r="J171" s="112">
        <v>165</v>
      </c>
      <c r="W171" s="135"/>
      <c r="X171" s="135"/>
      <c r="Y171" s="135"/>
    </row>
    <row r="172" spans="1:25" x14ac:dyDescent="0.2">
      <c r="A172" s="118"/>
      <c r="B172" s="112">
        <v>166</v>
      </c>
      <c r="C172" s="119"/>
      <c r="D172" s="112">
        <v>166</v>
      </c>
      <c r="E172" s="118"/>
      <c r="F172" s="112">
        <v>166</v>
      </c>
      <c r="G172" s="119"/>
      <c r="H172" s="112">
        <v>166</v>
      </c>
      <c r="I172" s="118"/>
      <c r="J172" s="112">
        <v>166</v>
      </c>
      <c r="W172" s="135"/>
      <c r="X172" s="135"/>
      <c r="Y172" s="135"/>
    </row>
    <row r="173" spans="1:25" x14ac:dyDescent="0.2">
      <c r="A173" s="118"/>
      <c r="B173" s="112">
        <v>167</v>
      </c>
      <c r="C173" s="119"/>
      <c r="D173" s="112">
        <v>167</v>
      </c>
      <c r="E173" s="118"/>
      <c r="F173" s="112">
        <v>167</v>
      </c>
      <c r="G173" s="119"/>
      <c r="H173" s="112">
        <v>167</v>
      </c>
      <c r="I173" s="118"/>
      <c r="J173" s="112">
        <v>167</v>
      </c>
      <c r="W173" s="135"/>
      <c r="X173" s="135"/>
      <c r="Y173" s="135"/>
    </row>
    <row r="174" spans="1:25" x14ac:dyDescent="0.2">
      <c r="A174" s="118"/>
      <c r="B174" s="112">
        <v>168</v>
      </c>
      <c r="C174" s="119"/>
      <c r="D174" s="112">
        <v>168</v>
      </c>
      <c r="E174" s="118"/>
      <c r="F174" s="112">
        <v>168</v>
      </c>
      <c r="G174" s="119"/>
      <c r="H174" s="112">
        <v>168</v>
      </c>
      <c r="I174" s="118"/>
      <c r="J174" s="112">
        <v>168</v>
      </c>
      <c r="W174" s="135"/>
      <c r="X174" s="135"/>
      <c r="Y174" s="135"/>
    </row>
    <row r="175" spans="1:25" x14ac:dyDescent="0.2">
      <c r="A175" s="118"/>
      <c r="B175" s="112">
        <v>169</v>
      </c>
      <c r="C175" s="119"/>
      <c r="D175" s="112">
        <v>169</v>
      </c>
      <c r="E175" s="118"/>
      <c r="F175" s="112">
        <v>169</v>
      </c>
      <c r="G175" s="119"/>
      <c r="H175" s="112">
        <v>169</v>
      </c>
      <c r="I175" s="118"/>
      <c r="J175" s="112">
        <v>169</v>
      </c>
      <c r="W175" s="135"/>
      <c r="X175" s="135"/>
      <c r="Y175" s="135"/>
    </row>
    <row r="176" spans="1:25" x14ac:dyDescent="0.2">
      <c r="A176" s="118"/>
      <c r="B176" s="112">
        <v>170</v>
      </c>
      <c r="C176" s="119"/>
      <c r="D176" s="112">
        <v>170</v>
      </c>
      <c r="E176" s="118"/>
      <c r="F176" s="112">
        <v>170</v>
      </c>
      <c r="G176" s="119"/>
      <c r="H176" s="112">
        <v>170</v>
      </c>
      <c r="I176" s="118"/>
      <c r="J176" s="112">
        <v>170</v>
      </c>
      <c r="W176" s="135"/>
      <c r="X176" s="135"/>
      <c r="Y176" s="135"/>
    </row>
    <row r="177" spans="1:25" x14ac:dyDescent="0.2">
      <c r="A177" s="118"/>
      <c r="B177" s="112">
        <v>171</v>
      </c>
      <c r="C177" s="119"/>
      <c r="D177" s="112">
        <v>171</v>
      </c>
      <c r="E177" s="118"/>
      <c r="F177" s="112">
        <v>171</v>
      </c>
      <c r="G177" s="119"/>
      <c r="H177" s="112">
        <v>171</v>
      </c>
      <c r="I177" s="118"/>
      <c r="J177" s="112">
        <v>171</v>
      </c>
      <c r="W177" s="135"/>
      <c r="X177" s="135"/>
      <c r="Y177" s="135"/>
    </row>
    <row r="178" spans="1:25" x14ac:dyDescent="0.2">
      <c r="A178" s="118"/>
      <c r="B178" s="112">
        <v>172</v>
      </c>
      <c r="C178" s="119"/>
      <c r="D178" s="112">
        <v>172</v>
      </c>
      <c r="E178" s="118"/>
      <c r="F178" s="112">
        <v>172</v>
      </c>
      <c r="G178" s="119"/>
      <c r="H178" s="112">
        <v>172</v>
      </c>
      <c r="I178" s="118"/>
      <c r="J178" s="112">
        <v>172</v>
      </c>
      <c r="W178" s="135"/>
      <c r="X178" s="135"/>
      <c r="Y178" s="135"/>
    </row>
    <row r="179" spans="1:25" x14ac:dyDescent="0.2">
      <c r="A179" s="118"/>
      <c r="B179" s="112">
        <v>173</v>
      </c>
      <c r="C179" s="119"/>
      <c r="D179" s="112">
        <v>173</v>
      </c>
      <c r="E179" s="118"/>
      <c r="F179" s="112">
        <v>173</v>
      </c>
      <c r="G179" s="119"/>
      <c r="H179" s="112">
        <v>173</v>
      </c>
      <c r="I179" s="118"/>
      <c r="J179" s="112">
        <v>173</v>
      </c>
      <c r="W179" s="135"/>
      <c r="X179" s="135"/>
      <c r="Y179" s="135"/>
    </row>
    <row r="180" spans="1:25" x14ac:dyDescent="0.2">
      <c r="A180" s="118"/>
      <c r="B180" s="112">
        <v>174</v>
      </c>
      <c r="C180" s="119"/>
      <c r="D180" s="112">
        <v>174</v>
      </c>
      <c r="E180" s="118"/>
      <c r="F180" s="112">
        <v>174</v>
      </c>
      <c r="G180" s="119"/>
      <c r="H180" s="112">
        <v>174</v>
      </c>
      <c r="I180" s="118"/>
      <c r="J180" s="112">
        <v>174</v>
      </c>
      <c r="W180" s="135"/>
      <c r="X180" s="135"/>
      <c r="Y180" s="135"/>
    </row>
    <row r="181" spans="1:25" x14ac:dyDescent="0.2">
      <c r="A181" s="118"/>
      <c r="B181" s="112">
        <v>175</v>
      </c>
      <c r="C181" s="119"/>
      <c r="D181" s="112">
        <v>175</v>
      </c>
      <c r="E181" s="118"/>
      <c r="F181" s="112">
        <v>175</v>
      </c>
      <c r="G181" s="119"/>
      <c r="H181" s="112">
        <v>175</v>
      </c>
      <c r="I181" s="118"/>
      <c r="J181" s="112">
        <v>175</v>
      </c>
      <c r="W181" s="135"/>
      <c r="X181" s="135"/>
      <c r="Y181" s="135"/>
    </row>
    <row r="182" spans="1:25" x14ac:dyDescent="0.2">
      <c r="A182" s="118"/>
      <c r="B182" s="112">
        <v>176</v>
      </c>
      <c r="C182" s="119"/>
      <c r="D182" s="112">
        <v>176</v>
      </c>
      <c r="E182" s="118"/>
      <c r="F182" s="112">
        <v>176</v>
      </c>
      <c r="G182" s="119"/>
      <c r="H182" s="112">
        <v>176</v>
      </c>
      <c r="I182" s="118"/>
      <c r="J182" s="112">
        <v>176</v>
      </c>
      <c r="W182" s="135"/>
      <c r="X182" s="135"/>
      <c r="Y182" s="135"/>
    </row>
    <row r="183" spans="1:25" x14ac:dyDescent="0.2">
      <c r="A183" s="118"/>
      <c r="B183" s="112">
        <v>177</v>
      </c>
      <c r="C183" s="119"/>
      <c r="D183" s="112">
        <v>177</v>
      </c>
      <c r="E183" s="118"/>
      <c r="F183" s="112">
        <v>177</v>
      </c>
      <c r="G183" s="119"/>
      <c r="H183" s="112">
        <v>177</v>
      </c>
      <c r="I183" s="118"/>
      <c r="J183" s="112">
        <v>177</v>
      </c>
      <c r="W183" s="135"/>
      <c r="X183" s="135"/>
      <c r="Y183" s="135"/>
    </row>
    <row r="184" spans="1:25" x14ac:dyDescent="0.2">
      <c r="A184" s="118"/>
      <c r="B184" s="112">
        <v>178</v>
      </c>
      <c r="C184" s="119"/>
      <c r="D184" s="112">
        <v>178</v>
      </c>
      <c r="E184" s="118"/>
      <c r="F184" s="112">
        <v>178</v>
      </c>
      <c r="G184" s="119"/>
      <c r="H184" s="112">
        <v>178</v>
      </c>
      <c r="I184" s="118"/>
      <c r="J184" s="112">
        <v>178</v>
      </c>
      <c r="W184" s="135"/>
      <c r="X184" s="135"/>
      <c r="Y184" s="135"/>
    </row>
    <row r="185" spans="1:25" x14ac:dyDescent="0.2">
      <c r="A185" s="118"/>
      <c r="B185" s="112">
        <v>179</v>
      </c>
      <c r="C185" s="119"/>
      <c r="D185" s="112">
        <v>179</v>
      </c>
      <c r="E185" s="118"/>
      <c r="F185" s="112">
        <v>179</v>
      </c>
      <c r="G185" s="119"/>
      <c r="H185" s="112">
        <v>179</v>
      </c>
      <c r="I185" s="118"/>
      <c r="J185" s="112">
        <v>179</v>
      </c>
      <c r="W185" s="135"/>
      <c r="X185" s="135"/>
      <c r="Y185" s="135"/>
    </row>
    <row r="186" spans="1:25" x14ac:dyDescent="0.2">
      <c r="A186" s="118"/>
      <c r="B186" s="112">
        <v>180</v>
      </c>
      <c r="C186" s="119"/>
      <c r="D186" s="112">
        <v>180</v>
      </c>
      <c r="E186" s="118"/>
      <c r="F186" s="112">
        <v>180</v>
      </c>
      <c r="G186" s="119"/>
      <c r="H186" s="112">
        <v>180</v>
      </c>
      <c r="I186" s="118"/>
      <c r="J186" s="112">
        <v>180</v>
      </c>
      <c r="W186" s="135"/>
      <c r="X186" s="135"/>
      <c r="Y186" s="135"/>
    </row>
    <row r="187" spans="1:25" x14ac:dyDescent="0.2">
      <c r="A187" s="118"/>
      <c r="B187" s="112">
        <v>181</v>
      </c>
      <c r="C187" s="119"/>
      <c r="D187" s="112">
        <v>181</v>
      </c>
      <c r="E187" s="118"/>
      <c r="F187" s="112">
        <v>181</v>
      </c>
      <c r="G187" s="119"/>
      <c r="H187" s="112">
        <v>181</v>
      </c>
      <c r="I187" s="118"/>
      <c r="J187" s="112">
        <v>181</v>
      </c>
      <c r="W187" s="135"/>
      <c r="X187" s="135"/>
      <c r="Y187" s="135"/>
    </row>
    <row r="188" spans="1:25" x14ac:dyDescent="0.2">
      <c r="A188" s="118"/>
      <c r="B188" s="112">
        <v>182</v>
      </c>
      <c r="C188" s="119"/>
      <c r="D188" s="112">
        <v>182</v>
      </c>
      <c r="E188" s="118"/>
      <c r="F188" s="112">
        <v>182</v>
      </c>
      <c r="G188" s="119"/>
      <c r="H188" s="112">
        <v>182</v>
      </c>
      <c r="I188" s="118"/>
      <c r="J188" s="112">
        <v>182</v>
      </c>
      <c r="W188" s="135"/>
      <c r="X188" s="135"/>
      <c r="Y188" s="135"/>
    </row>
    <row r="189" spans="1:25" x14ac:dyDescent="0.2">
      <c r="A189" s="118"/>
      <c r="B189" s="112">
        <v>183</v>
      </c>
      <c r="C189" s="119"/>
      <c r="D189" s="112">
        <v>183</v>
      </c>
      <c r="E189" s="118"/>
      <c r="F189" s="112">
        <v>183</v>
      </c>
      <c r="G189" s="119"/>
      <c r="H189" s="112">
        <v>183</v>
      </c>
      <c r="I189" s="118"/>
      <c r="J189" s="112">
        <v>183</v>
      </c>
      <c r="W189" s="135"/>
      <c r="X189" s="135"/>
      <c r="Y189" s="135"/>
    </row>
    <row r="190" spans="1:25" x14ac:dyDescent="0.2">
      <c r="A190" s="118"/>
      <c r="B190" s="112">
        <v>184</v>
      </c>
      <c r="C190" s="119"/>
      <c r="D190" s="112">
        <v>184</v>
      </c>
      <c r="E190" s="118"/>
      <c r="F190" s="112">
        <v>184</v>
      </c>
      <c r="G190" s="119"/>
      <c r="H190" s="112">
        <v>184</v>
      </c>
      <c r="I190" s="118"/>
      <c r="J190" s="112">
        <v>184</v>
      </c>
      <c r="W190" s="135"/>
      <c r="X190" s="135"/>
      <c r="Y190" s="135"/>
    </row>
    <row r="191" spans="1:25" x14ac:dyDescent="0.2">
      <c r="A191" s="118"/>
      <c r="B191" s="112">
        <v>185</v>
      </c>
      <c r="C191" s="119"/>
      <c r="D191" s="112">
        <v>185</v>
      </c>
      <c r="E191" s="118"/>
      <c r="F191" s="112">
        <v>185</v>
      </c>
      <c r="G191" s="119"/>
      <c r="H191" s="112">
        <v>185</v>
      </c>
      <c r="I191" s="118"/>
      <c r="J191" s="112">
        <v>185</v>
      </c>
      <c r="W191" s="135"/>
      <c r="X191" s="135"/>
      <c r="Y191" s="135"/>
    </row>
    <row r="192" spans="1:25" x14ac:dyDescent="0.2">
      <c r="A192" s="118"/>
      <c r="B192" s="112">
        <v>186</v>
      </c>
      <c r="C192" s="119"/>
      <c r="D192" s="112">
        <v>186</v>
      </c>
      <c r="E192" s="118"/>
      <c r="F192" s="112">
        <v>186</v>
      </c>
      <c r="G192" s="119"/>
      <c r="H192" s="112">
        <v>186</v>
      </c>
      <c r="I192" s="118"/>
      <c r="J192" s="112">
        <v>186</v>
      </c>
      <c r="W192" s="135"/>
      <c r="X192" s="135"/>
      <c r="Y192" s="135"/>
    </row>
    <row r="193" spans="1:25" x14ac:dyDescent="0.2">
      <c r="A193" s="118"/>
      <c r="B193" s="112">
        <v>187</v>
      </c>
      <c r="C193" s="119"/>
      <c r="D193" s="112">
        <v>187</v>
      </c>
      <c r="E193" s="118"/>
      <c r="F193" s="112">
        <v>187</v>
      </c>
      <c r="G193" s="119"/>
      <c r="H193" s="112">
        <v>187</v>
      </c>
      <c r="I193" s="118"/>
      <c r="J193" s="112">
        <v>187</v>
      </c>
      <c r="W193" s="135"/>
      <c r="X193" s="135"/>
      <c r="Y193" s="135"/>
    </row>
    <row r="194" spans="1:25" x14ac:dyDescent="0.2">
      <c r="A194" s="118"/>
      <c r="B194" s="112">
        <v>188</v>
      </c>
      <c r="C194" s="119"/>
      <c r="D194" s="112">
        <v>188</v>
      </c>
      <c r="E194" s="118"/>
      <c r="F194" s="112">
        <v>188</v>
      </c>
      <c r="G194" s="119"/>
      <c r="H194" s="112">
        <v>188</v>
      </c>
      <c r="I194" s="118"/>
      <c r="J194" s="112">
        <v>188</v>
      </c>
      <c r="W194" s="135"/>
      <c r="X194" s="135"/>
      <c r="Y194" s="135"/>
    </row>
    <row r="195" spans="1:25" x14ac:dyDescent="0.2">
      <c r="A195" s="118"/>
      <c r="B195" s="112">
        <v>189</v>
      </c>
      <c r="C195" s="119"/>
      <c r="D195" s="112">
        <v>189</v>
      </c>
      <c r="E195" s="118"/>
      <c r="F195" s="112">
        <v>189</v>
      </c>
      <c r="G195" s="119"/>
      <c r="H195" s="112">
        <v>189</v>
      </c>
      <c r="I195" s="118"/>
      <c r="J195" s="112">
        <v>189</v>
      </c>
      <c r="W195" s="135"/>
      <c r="X195" s="135"/>
      <c r="Y195" s="135"/>
    </row>
    <row r="196" spans="1:25" x14ac:dyDescent="0.2">
      <c r="A196" s="118"/>
      <c r="B196" s="112">
        <v>190</v>
      </c>
      <c r="C196" s="119"/>
      <c r="D196" s="112">
        <v>190</v>
      </c>
      <c r="E196" s="118"/>
      <c r="F196" s="112">
        <v>190</v>
      </c>
      <c r="G196" s="119"/>
      <c r="H196" s="112">
        <v>190</v>
      </c>
      <c r="I196" s="118"/>
      <c r="J196" s="112">
        <v>190</v>
      </c>
      <c r="W196" s="135"/>
      <c r="X196" s="135"/>
      <c r="Y196" s="135"/>
    </row>
    <row r="197" spans="1:25" x14ac:dyDescent="0.2">
      <c r="A197" s="118"/>
      <c r="B197" s="112">
        <v>191</v>
      </c>
      <c r="C197" s="119"/>
      <c r="D197" s="112">
        <v>191</v>
      </c>
      <c r="E197" s="118"/>
      <c r="F197" s="112">
        <v>191</v>
      </c>
      <c r="G197" s="119"/>
      <c r="H197" s="112">
        <v>191</v>
      </c>
      <c r="I197" s="118"/>
      <c r="J197" s="112">
        <v>191</v>
      </c>
      <c r="W197" s="135"/>
      <c r="X197" s="135"/>
      <c r="Y197" s="135"/>
    </row>
    <row r="198" spans="1:25" x14ac:dyDescent="0.2">
      <c r="A198" s="118"/>
      <c r="B198" s="112">
        <v>192</v>
      </c>
      <c r="C198" s="119"/>
      <c r="D198" s="112">
        <v>192</v>
      </c>
      <c r="E198" s="118"/>
      <c r="F198" s="112">
        <v>192</v>
      </c>
      <c r="G198" s="119"/>
      <c r="H198" s="112">
        <v>192</v>
      </c>
      <c r="I198" s="118"/>
      <c r="J198" s="112">
        <v>192</v>
      </c>
      <c r="W198" s="135"/>
      <c r="X198" s="135"/>
      <c r="Y198" s="135"/>
    </row>
    <row r="199" spans="1:25" x14ac:dyDescent="0.2">
      <c r="A199" s="118"/>
      <c r="B199" s="112">
        <v>193</v>
      </c>
      <c r="C199" s="119"/>
      <c r="D199" s="112">
        <v>193</v>
      </c>
      <c r="E199" s="118"/>
      <c r="F199" s="112">
        <v>193</v>
      </c>
      <c r="G199" s="119"/>
      <c r="H199" s="112">
        <v>193</v>
      </c>
      <c r="I199" s="118"/>
      <c r="J199" s="112">
        <v>193</v>
      </c>
      <c r="W199" s="135"/>
      <c r="X199" s="135"/>
      <c r="Y199" s="135"/>
    </row>
    <row r="200" spans="1:25" x14ac:dyDescent="0.2">
      <c r="A200" s="118"/>
      <c r="B200" s="112">
        <v>194</v>
      </c>
      <c r="C200" s="119"/>
      <c r="D200" s="112">
        <v>194</v>
      </c>
      <c r="E200" s="118"/>
      <c r="F200" s="112">
        <v>194</v>
      </c>
      <c r="G200" s="119"/>
      <c r="H200" s="112">
        <v>194</v>
      </c>
      <c r="I200" s="118"/>
      <c r="J200" s="112">
        <v>194</v>
      </c>
      <c r="W200" s="135"/>
      <c r="X200" s="135"/>
      <c r="Y200" s="135"/>
    </row>
    <row r="201" spans="1:25" x14ac:dyDescent="0.2">
      <c r="A201" s="118"/>
      <c r="B201" s="112">
        <v>195</v>
      </c>
      <c r="C201" s="119"/>
      <c r="D201" s="112">
        <v>195</v>
      </c>
      <c r="E201" s="118"/>
      <c r="F201" s="112">
        <v>195</v>
      </c>
      <c r="G201" s="119"/>
      <c r="H201" s="112">
        <v>195</v>
      </c>
      <c r="I201" s="118"/>
      <c r="J201" s="112">
        <v>195</v>
      </c>
      <c r="W201" s="135"/>
      <c r="X201" s="135"/>
      <c r="Y201" s="135"/>
    </row>
    <row r="202" spans="1:25" x14ac:dyDescent="0.2">
      <c r="A202" s="118"/>
      <c r="B202" s="112">
        <v>196</v>
      </c>
      <c r="C202" s="119"/>
      <c r="D202" s="112">
        <v>196</v>
      </c>
      <c r="E202" s="118"/>
      <c r="F202" s="112">
        <v>196</v>
      </c>
      <c r="G202" s="119"/>
      <c r="H202" s="112">
        <v>196</v>
      </c>
      <c r="I202" s="118"/>
      <c r="J202" s="112">
        <v>196</v>
      </c>
      <c r="W202" s="135"/>
      <c r="X202" s="135"/>
      <c r="Y202" s="135"/>
    </row>
    <row r="203" spans="1:25" x14ac:dyDescent="0.2">
      <c r="A203" s="118"/>
      <c r="B203" s="112">
        <v>197</v>
      </c>
      <c r="C203" s="119"/>
      <c r="D203" s="112">
        <v>197</v>
      </c>
      <c r="E203" s="118"/>
      <c r="F203" s="112">
        <v>197</v>
      </c>
      <c r="G203" s="119"/>
      <c r="H203" s="112">
        <v>197</v>
      </c>
      <c r="I203" s="118"/>
      <c r="J203" s="112">
        <v>197</v>
      </c>
      <c r="X203" s="129"/>
    </row>
    <row r="204" spans="1:25" x14ac:dyDescent="0.2">
      <c r="A204" s="118"/>
      <c r="B204" s="112">
        <v>198</v>
      </c>
      <c r="C204" s="119"/>
      <c r="D204" s="112">
        <v>198</v>
      </c>
      <c r="E204" s="118"/>
      <c r="F204" s="112">
        <v>198</v>
      </c>
      <c r="G204" s="119"/>
      <c r="H204" s="112">
        <v>198</v>
      </c>
      <c r="I204" s="118"/>
      <c r="J204" s="112">
        <v>198</v>
      </c>
      <c r="X204" s="129"/>
    </row>
    <row r="205" spans="1:25" x14ac:dyDescent="0.2">
      <c r="A205" s="118"/>
      <c r="B205" s="112">
        <v>199</v>
      </c>
      <c r="C205" s="119"/>
      <c r="D205" s="112">
        <v>199</v>
      </c>
      <c r="E205" s="118"/>
      <c r="F205" s="112">
        <v>199</v>
      </c>
      <c r="G205" s="119"/>
      <c r="H205" s="112">
        <v>199</v>
      </c>
      <c r="I205" s="118"/>
      <c r="J205" s="112">
        <v>199</v>
      </c>
      <c r="X205" s="129"/>
    </row>
    <row r="206" spans="1:25" x14ac:dyDescent="0.2">
      <c r="A206" s="118"/>
      <c r="B206" s="112">
        <v>200</v>
      </c>
      <c r="C206" s="119"/>
      <c r="D206" s="112">
        <v>200</v>
      </c>
      <c r="E206" s="118"/>
      <c r="F206" s="112">
        <v>200</v>
      </c>
      <c r="G206" s="119"/>
      <c r="H206" s="112">
        <v>200</v>
      </c>
      <c r="I206" s="118"/>
      <c r="J206" s="112">
        <v>200</v>
      </c>
      <c r="X206" s="129"/>
    </row>
    <row r="207" spans="1:25" x14ac:dyDescent="0.2">
      <c r="A207" s="118"/>
      <c r="B207" s="112">
        <v>201</v>
      </c>
      <c r="C207" s="119"/>
      <c r="D207" s="112">
        <v>201</v>
      </c>
      <c r="E207" s="118"/>
      <c r="F207" s="112">
        <v>201</v>
      </c>
      <c r="G207" s="119"/>
      <c r="H207" s="112">
        <v>201</v>
      </c>
      <c r="I207" s="118"/>
      <c r="J207" s="112">
        <v>201</v>
      </c>
      <c r="X207" s="129"/>
    </row>
    <row r="208" spans="1:25" x14ac:dyDescent="0.2">
      <c r="A208" s="118"/>
      <c r="B208" s="112">
        <v>202</v>
      </c>
      <c r="C208" s="119"/>
      <c r="D208" s="112">
        <v>202</v>
      </c>
      <c r="E208" s="118"/>
      <c r="F208" s="112">
        <v>202</v>
      </c>
      <c r="G208" s="119"/>
      <c r="H208" s="112">
        <v>202</v>
      </c>
      <c r="I208" s="118"/>
      <c r="J208" s="112">
        <v>202</v>
      </c>
      <c r="X208" s="129"/>
    </row>
    <row r="209" spans="1:24" x14ac:dyDescent="0.2">
      <c r="A209" s="118"/>
      <c r="B209" s="112">
        <v>203</v>
      </c>
      <c r="C209" s="119"/>
      <c r="D209" s="112">
        <v>203</v>
      </c>
      <c r="E209" s="118"/>
      <c r="F209" s="112">
        <v>203</v>
      </c>
      <c r="G209" s="119"/>
      <c r="H209" s="112">
        <v>203</v>
      </c>
      <c r="I209" s="118"/>
      <c r="J209" s="112">
        <v>203</v>
      </c>
      <c r="X209" s="129"/>
    </row>
    <row r="210" spans="1:24" x14ac:dyDescent="0.2">
      <c r="A210" s="118"/>
      <c r="B210" s="112">
        <v>204</v>
      </c>
      <c r="C210" s="119"/>
      <c r="D210" s="112">
        <v>204</v>
      </c>
      <c r="E210" s="118"/>
      <c r="F210" s="112">
        <v>204</v>
      </c>
      <c r="G210" s="119"/>
      <c r="H210" s="112">
        <v>204</v>
      </c>
      <c r="I210" s="118"/>
      <c r="J210" s="112">
        <v>204</v>
      </c>
      <c r="X210" s="129"/>
    </row>
    <row r="211" spans="1:24" x14ac:dyDescent="0.2">
      <c r="A211" s="118"/>
      <c r="B211" s="112">
        <v>205</v>
      </c>
      <c r="C211" s="119"/>
      <c r="D211" s="112">
        <v>205</v>
      </c>
      <c r="E211" s="118"/>
      <c r="F211" s="112">
        <v>205</v>
      </c>
      <c r="G211" s="119"/>
      <c r="H211" s="112">
        <v>205</v>
      </c>
      <c r="I211" s="118"/>
      <c r="J211" s="112">
        <v>205</v>
      </c>
      <c r="X211" s="129"/>
    </row>
    <row r="212" spans="1:24" x14ac:dyDescent="0.2">
      <c r="A212" s="118"/>
      <c r="B212" s="112">
        <v>206</v>
      </c>
      <c r="C212" s="119"/>
      <c r="D212" s="112">
        <v>206</v>
      </c>
      <c r="E212" s="118"/>
      <c r="F212" s="112">
        <v>206</v>
      </c>
      <c r="G212" s="119"/>
      <c r="H212" s="112">
        <v>206</v>
      </c>
      <c r="I212" s="118"/>
      <c r="J212" s="112">
        <v>206</v>
      </c>
      <c r="X212" s="129"/>
    </row>
    <row r="213" spans="1:24" x14ac:dyDescent="0.2">
      <c r="A213" s="118"/>
      <c r="B213" s="112">
        <v>207</v>
      </c>
      <c r="C213" s="119"/>
      <c r="D213" s="112">
        <v>207</v>
      </c>
      <c r="E213" s="118"/>
      <c r="F213" s="112">
        <v>207</v>
      </c>
      <c r="G213" s="119"/>
      <c r="H213" s="112">
        <v>207</v>
      </c>
      <c r="I213" s="118"/>
      <c r="J213" s="112">
        <v>207</v>
      </c>
      <c r="X213" s="129"/>
    </row>
    <row r="214" spans="1:24" x14ac:dyDescent="0.2">
      <c r="A214" s="118"/>
      <c r="B214" s="112">
        <v>208</v>
      </c>
      <c r="C214" s="119"/>
      <c r="D214" s="112">
        <v>208</v>
      </c>
      <c r="E214" s="118"/>
      <c r="F214" s="112">
        <v>208</v>
      </c>
      <c r="G214" s="119"/>
      <c r="H214" s="112">
        <v>208</v>
      </c>
      <c r="I214" s="118"/>
      <c r="J214" s="112">
        <v>208</v>
      </c>
      <c r="X214" s="129"/>
    </row>
    <row r="215" spans="1:24" x14ac:dyDescent="0.2">
      <c r="A215" s="118"/>
      <c r="B215" s="112">
        <v>209</v>
      </c>
      <c r="C215" s="119"/>
      <c r="D215" s="112">
        <v>209</v>
      </c>
      <c r="E215" s="118"/>
      <c r="F215" s="112">
        <v>209</v>
      </c>
      <c r="G215" s="119"/>
      <c r="H215" s="112">
        <v>209</v>
      </c>
      <c r="I215" s="118"/>
      <c r="J215" s="112">
        <v>209</v>
      </c>
      <c r="X215" s="129"/>
    </row>
    <row r="216" spans="1:24" x14ac:dyDescent="0.2">
      <c r="A216" s="118"/>
      <c r="B216" s="112">
        <v>210</v>
      </c>
      <c r="C216" s="119"/>
      <c r="D216" s="112">
        <v>210</v>
      </c>
      <c r="E216" s="118"/>
      <c r="F216" s="112">
        <v>210</v>
      </c>
      <c r="G216" s="119"/>
      <c r="H216" s="112">
        <v>210</v>
      </c>
      <c r="I216" s="118"/>
      <c r="J216" s="112">
        <v>210</v>
      </c>
      <c r="X216" s="129"/>
    </row>
    <row r="217" spans="1:24" x14ac:dyDescent="0.2">
      <c r="A217" s="118"/>
      <c r="B217" s="112">
        <v>211</v>
      </c>
      <c r="C217" s="119"/>
      <c r="D217" s="112">
        <v>211</v>
      </c>
      <c r="E217" s="118"/>
      <c r="F217" s="112">
        <v>211</v>
      </c>
      <c r="G217" s="119"/>
      <c r="H217" s="112">
        <v>211</v>
      </c>
      <c r="I217" s="118"/>
      <c r="J217" s="112">
        <v>211</v>
      </c>
      <c r="X217" s="129"/>
    </row>
    <row r="218" spans="1:24" x14ac:dyDescent="0.2">
      <c r="A218" s="118"/>
      <c r="B218" s="112">
        <v>212</v>
      </c>
      <c r="C218" s="119"/>
      <c r="D218" s="112">
        <v>212</v>
      </c>
      <c r="E218" s="118"/>
      <c r="F218" s="112">
        <v>212</v>
      </c>
      <c r="G218" s="119"/>
      <c r="H218" s="112">
        <v>212</v>
      </c>
      <c r="I218" s="118"/>
      <c r="J218" s="112">
        <v>212</v>
      </c>
      <c r="X218" s="129"/>
    </row>
    <row r="219" spans="1:24" x14ac:dyDescent="0.2">
      <c r="A219" s="118"/>
      <c r="B219" s="112">
        <v>213</v>
      </c>
      <c r="C219" s="119"/>
      <c r="D219" s="112">
        <v>213</v>
      </c>
      <c r="E219" s="118"/>
      <c r="F219" s="112">
        <v>213</v>
      </c>
      <c r="G219" s="119"/>
      <c r="H219" s="112">
        <v>213</v>
      </c>
      <c r="I219" s="118"/>
      <c r="J219" s="112">
        <v>213</v>
      </c>
      <c r="X219" s="129"/>
    </row>
    <row r="220" spans="1:24" x14ac:dyDescent="0.2">
      <c r="A220" s="118"/>
      <c r="B220" s="112">
        <v>214</v>
      </c>
      <c r="C220" s="119"/>
      <c r="D220" s="112">
        <v>214</v>
      </c>
      <c r="E220" s="118"/>
      <c r="F220" s="112">
        <v>214</v>
      </c>
      <c r="G220" s="119"/>
      <c r="H220" s="112">
        <v>214</v>
      </c>
      <c r="I220" s="118"/>
      <c r="J220" s="112">
        <v>214</v>
      </c>
      <c r="X220" s="129"/>
    </row>
    <row r="221" spans="1:24" x14ac:dyDescent="0.2">
      <c r="A221" s="118"/>
      <c r="B221" s="112">
        <v>215</v>
      </c>
      <c r="C221" s="119"/>
      <c r="D221" s="112">
        <v>215</v>
      </c>
      <c r="E221" s="118"/>
      <c r="F221" s="112">
        <v>215</v>
      </c>
      <c r="G221" s="119"/>
      <c r="H221" s="112">
        <v>215</v>
      </c>
      <c r="I221" s="118"/>
      <c r="J221" s="112">
        <v>215</v>
      </c>
      <c r="X221" s="129"/>
    </row>
    <row r="222" spans="1:24" x14ac:dyDescent="0.2">
      <c r="A222" s="118"/>
      <c r="B222" s="112">
        <v>216</v>
      </c>
      <c r="C222" s="119"/>
      <c r="D222" s="112">
        <v>216</v>
      </c>
      <c r="E222" s="118"/>
      <c r="F222" s="112">
        <v>216</v>
      </c>
      <c r="G222" s="119"/>
      <c r="H222" s="112">
        <v>216</v>
      </c>
      <c r="I222" s="118"/>
      <c r="J222" s="112">
        <v>216</v>
      </c>
      <c r="X222" s="129"/>
    </row>
    <row r="223" spans="1:24" x14ac:dyDescent="0.2">
      <c r="A223" s="118"/>
      <c r="B223" s="112">
        <v>217</v>
      </c>
      <c r="C223" s="119"/>
      <c r="D223" s="112">
        <v>217</v>
      </c>
      <c r="E223" s="118"/>
      <c r="F223" s="112">
        <v>217</v>
      </c>
      <c r="G223" s="119"/>
      <c r="H223" s="112">
        <v>217</v>
      </c>
      <c r="I223" s="118"/>
      <c r="J223" s="112">
        <v>217</v>
      </c>
      <c r="X223" s="129"/>
    </row>
    <row r="224" spans="1:24" x14ac:dyDescent="0.2">
      <c r="A224" s="118"/>
      <c r="B224" s="112">
        <v>218</v>
      </c>
      <c r="C224" s="119"/>
      <c r="D224" s="112">
        <v>218</v>
      </c>
      <c r="E224" s="118"/>
      <c r="F224" s="112">
        <v>218</v>
      </c>
      <c r="G224" s="119"/>
      <c r="H224" s="112">
        <v>218</v>
      </c>
      <c r="I224" s="118"/>
      <c r="J224" s="112">
        <v>218</v>
      </c>
      <c r="X224" s="129"/>
    </row>
    <row r="225" spans="1:24" x14ac:dyDescent="0.2">
      <c r="A225" s="118"/>
      <c r="B225" s="112">
        <v>219</v>
      </c>
      <c r="C225" s="119"/>
      <c r="D225" s="112">
        <v>219</v>
      </c>
      <c r="E225" s="118"/>
      <c r="F225" s="112">
        <v>219</v>
      </c>
      <c r="G225" s="119"/>
      <c r="H225" s="112">
        <v>219</v>
      </c>
      <c r="I225" s="118"/>
      <c r="J225" s="112">
        <v>219</v>
      </c>
      <c r="X225" s="129"/>
    </row>
    <row r="226" spans="1:24" x14ac:dyDescent="0.2">
      <c r="A226" s="118"/>
      <c r="B226" s="112">
        <v>220</v>
      </c>
      <c r="C226" s="119"/>
      <c r="D226" s="112">
        <v>220</v>
      </c>
      <c r="E226" s="118"/>
      <c r="F226" s="112">
        <v>220</v>
      </c>
      <c r="G226" s="119"/>
      <c r="H226" s="112">
        <v>220</v>
      </c>
      <c r="I226" s="118"/>
      <c r="J226" s="112">
        <v>220</v>
      </c>
      <c r="X226" s="129"/>
    </row>
    <row r="227" spans="1:24" x14ac:dyDescent="0.2">
      <c r="A227" s="118"/>
      <c r="B227" s="112">
        <v>221</v>
      </c>
      <c r="C227" s="119"/>
      <c r="D227" s="112">
        <v>221</v>
      </c>
      <c r="E227" s="118"/>
      <c r="F227" s="112">
        <v>221</v>
      </c>
      <c r="G227" s="119"/>
      <c r="H227" s="112">
        <v>221</v>
      </c>
      <c r="I227" s="118"/>
      <c r="J227" s="112">
        <v>221</v>
      </c>
      <c r="X227" s="129"/>
    </row>
    <row r="228" spans="1:24" x14ac:dyDescent="0.2">
      <c r="A228" s="118"/>
      <c r="B228" s="112">
        <v>222</v>
      </c>
      <c r="C228" s="119"/>
      <c r="D228" s="112">
        <v>222</v>
      </c>
      <c r="E228" s="118"/>
      <c r="F228" s="112">
        <v>222</v>
      </c>
      <c r="G228" s="119"/>
      <c r="H228" s="112">
        <v>222</v>
      </c>
      <c r="I228" s="118"/>
      <c r="J228" s="112">
        <v>222</v>
      </c>
      <c r="X228" s="129"/>
    </row>
    <row r="229" spans="1:24" x14ac:dyDescent="0.2">
      <c r="A229" s="118"/>
      <c r="B229" s="112">
        <v>223</v>
      </c>
      <c r="C229" s="119"/>
      <c r="D229" s="112">
        <v>223</v>
      </c>
      <c r="E229" s="118"/>
      <c r="F229" s="112">
        <v>223</v>
      </c>
      <c r="G229" s="119"/>
      <c r="H229" s="112">
        <v>223</v>
      </c>
      <c r="I229" s="118"/>
      <c r="J229" s="112">
        <v>223</v>
      </c>
      <c r="X229" s="129"/>
    </row>
    <row r="230" spans="1:24" x14ac:dyDescent="0.2">
      <c r="A230" s="118"/>
      <c r="B230" s="112">
        <v>224</v>
      </c>
      <c r="C230" s="119"/>
      <c r="D230" s="112">
        <v>224</v>
      </c>
      <c r="E230" s="118"/>
      <c r="F230" s="112">
        <v>224</v>
      </c>
      <c r="G230" s="119"/>
      <c r="H230" s="112">
        <v>224</v>
      </c>
      <c r="I230" s="118"/>
      <c r="J230" s="112">
        <v>224</v>
      </c>
      <c r="X230" s="129"/>
    </row>
    <row r="231" spans="1:24" x14ac:dyDescent="0.2">
      <c r="A231" s="118"/>
      <c r="B231" s="112">
        <v>225</v>
      </c>
      <c r="C231" s="119"/>
      <c r="D231" s="112">
        <v>225</v>
      </c>
      <c r="E231" s="118"/>
      <c r="F231" s="112">
        <v>225</v>
      </c>
      <c r="G231" s="119"/>
      <c r="H231" s="112">
        <v>225</v>
      </c>
      <c r="I231" s="118"/>
      <c r="J231" s="112">
        <v>225</v>
      </c>
      <c r="X231" s="129"/>
    </row>
    <row r="232" spans="1:24" x14ac:dyDescent="0.2">
      <c r="A232" s="118"/>
      <c r="B232" s="112">
        <v>226</v>
      </c>
      <c r="C232" s="119"/>
      <c r="D232" s="112">
        <v>226</v>
      </c>
      <c r="E232" s="118"/>
      <c r="F232" s="112">
        <v>226</v>
      </c>
      <c r="G232" s="119"/>
      <c r="H232" s="112">
        <v>226</v>
      </c>
      <c r="I232" s="118"/>
      <c r="J232" s="112">
        <v>226</v>
      </c>
      <c r="X232" s="129"/>
    </row>
    <row r="233" spans="1:24" x14ac:dyDescent="0.2">
      <c r="A233" s="118"/>
      <c r="B233" s="112">
        <v>227</v>
      </c>
      <c r="C233" s="119"/>
      <c r="D233" s="112">
        <v>227</v>
      </c>
      <c r="E233" s="118"/>
      <c r="F233" s="112">
        <v>227</v>
      </c>
      <c r="G233" s="119"/>
      <c r="H233" s="112">
        <v>227</v>
      </c>
      <c r="I233" s="118"/>
      <c r="J233" s="112">
        <v>227</v>
      </c>
      <c r="X233" s="129"/>
    </row>
    <row r="234" spans="1:24" x14ac:dyDescent="0.2">
      <c r="A234" s="118"/>
      <c r="B234" s="112">
        <v>228</v>
      </c>
      <c r="C234" s="119"/>
      <c r="D234" s="112">
        <v>228</v>
      </c>
      <c r="E234" s="118"/>
      <c r="F234" s="112">
        <v>228</v>
      </c>
      <c r="G234" s="119"/>
      <c r="H234" s="112">
        <v>228</v>
      </c>
      <c r="I234" s="118"/>
      <c r="J234" s="112">
        <v>228</v>
      </c>
      <c r="X234" s="129"/>
    </row>
    <row r="235" spans="1:24" x14ac:dyDescent="0.2">
      <c r="A235" s="118"/>
      <c r="B235" s="112">
        <v>229</v>
      </c>
      <c r="C235" s="119"/>
      <c r="D235" s="112">
        <v>229</v>
      </c>
      <c r="E235" s="118"/>
      <c r="F235" s="112">
        <v>229</v>
      </c>
      <c r="G235" s="119"/>
      <c r="H235" s="112">
        <v>229</v>
      </c>
      <c r="I235" s="118"/>
      <c r="J235" s="112">
        <v>229</v>
      </c>
      <c r="X235" s="129"/>
    </row>
    <row r="236" spans="1:24" x14ac:dyDescent="0.2">
      <c r="A236" s="118"/>
      <c r="B236" s="112">
        <v>230</v>
      </c>
      <c r="C236" s="119"/>
      <c r="D236" s="112">
        <v>230</v>
      </c>
      <c r="E236" s="118"/>
      <c r="F236" s="112">
        <v>230</v>
      </c>
      <c r="G236" s="119"/>
      <c r="H236" s="112">
        <v>230</v>
      </c>
      <c r="I236" s="118"/>
      <c r="J236" s="112">
        <v>230</v>
      </c>
      <c r="X236" s="129"/>
    </row>
    <row r="237" spans="1:24" x14ac:dyDescent="0.2">
      <c r="A237" s="118"/>
      <c r="B237" s="112">
        <v>231</v>
      </c>
      <c r="C237" s="119"/>
      <c r="D237" s="112">
        <v>231</v>
      </c>
      <c r="E237" s="118"/>
      <c r="F237" s="112">
        <v>231</v>
      </c>
      <c r="G237" s="119"/>
      <c r="H237" s="112">
        <v>231</v>
      </c>
      <c r="I237" s="118"/>
      <c r="J237" s="112">
        <v>231</v>
      </c>
      <c r="X237" s="129"/>
    </row>
    <row r="238" spans="1:24" x14ac:dyDescent="0.2">
      <c r="A238" s="118"/>
      <c r="B238" s="112">
        <v>232</v>
      </c>
      <c r="C238" s="119"/>
      <c r="D238" s="112">
        <v>232</v>
      </c>
      <c r="E238" s="118"/>
      <c r="F238" s="112">
        <v>232</v>
      </c>
      <c r="G238" s="119"/>
      <c r="H238" s="112">
        <v>232</v>
      </c>
      <c r="I238" s="118"/>
      <c r="J238" s="112">
        <v>232</v>
      </c>
      <c r="X238" s="129"/>
    </row>
    <row r="239" spans="1:24" x14ac:dyDescent="0.2">
      <c r="A239" s="118"/>
      <c r="B239" s="112">
        <v>233</v>
      </c>
      <c r="C239" s="119"/>
      <c r="D239" s="112">
        <v>233</v>
      </c>
      <c r="E239" s="118"/>
      <c r="F239" s="112">
        <v>233</v>
      </c>
      <c r="G239" s="119"/>
      <c r="H239" s="112">
        <v>233</v>
      </c>
      <c r="I239" s="118"/>
      <c r="J239" s="112">
        <v>233</v>
      </c>
      <c r="X239" s="129"/>
    </row>
    <row r="240" spans="1:24" x14ac:dyDescent="0.2">
      <c r="A240" s="118"/>
      <c r="B240" s="112">
        <v>234</v>
      </c>
      <c r="C240" s="119"/>
      <c r="D240" s="112">
        <v>234</v>
      </c>
      <c r="E240" s="118"/>
      <c r="F240" s="112">
        <v>234</v>
      </c>
      <c r="G240" s="119"/>
      <c r="H240" s="112">
        <v>234</v>
      </c>
      <c r="I240" s="118"/>
      <c r="J240" s="112">
        <v>234</v>
      </c>
      <c r="X240" s="129"/>
    </row>
    <row r="241" spans="1:24" x14ac:dyDescent="0.2">
      <c r="A241" s="118"/>
      <c r="B241" s="112">
        <v>235</v>
      </c>
      <c r="C241" s="119"/>
      <c r="D241" s="112">
        <v>235</v>
      </c>
      <c r="E241" s="118"/>
      <c r="F241" s="112">
        <v>235</v>
      </c>
      <c r="G241" s="119"/>
      <c r="H241" s="112">
        <v>235</v>
      </c>
      <c r="I241" s="118"/>
      <c r="J241" s="112">
        <v>235</v>
      </c>
      <c r="X241" s="129"/>
    </row>
    <row r="242" spans="1:24" x14ac:dyDescent="0.2">
      <c r="A242" s="118"/>
      <c r="B242" s="112">
        <v>236</v>
      </c>
      <c r="C242" s="119"/>
      <c r="D242" s="112">
        <v>236</v>
      </c>
      <c r="E242" s="118"/>
      <c r="F242" s="112">
        <v>236</v>
      </c>
      <c r="G242" s="119"/>
      <c r="H242" s="112">
        <v>236</v>
      </c>
      <c r="I242" s="118"/>
      <c r="J242" s="112">
        <v>236</v>
      </c>
      <c r="X242" s="129"/>
    </row>
    <row r="243" spans="1:24" x14ac:dyDescent="0.2">
      <c r="A243" s="118"/>
      <c r="B243" s="112">
        <v>237</v>
      </c>
      <c r="C243" s="119"/>
      <c r="D243" s="112">
        <v>237</v>
      </c>
      <c r="E243" s="118"/>
      <c r="F243" s="112">
        <v>237</v>
      </c>
      <c r="G243" s="119"/>
      <c r="H243" s="112">
        <v>237</v>
      </c>
      <c r="I243" s="118"/>
      <c r="J243" s="112">
        <v>237</v>
      </c>
      <c r="X243" s="129"/>
    </row>
    <row r="244" spans="1:24" x14ac:dyDescent="0.2">
      <c r="A244" s="118"/>
      <c r="B244" s="112">
        <v>238</v>
      </c>
      <c r="C244" s="119"/>
      <c r="D244" s="112">
        <v>238</v>
      </c>
      <c r="E244" s="118"/>
      <c r="F244" s="112">
        <v>238</v>
      </c>
      <c r="G244" s="119"/>
      <c r="H244" s="112">
        <v>238</v>
      </c>
      <c r="I244" s="118"/>
      <c r="J244" s="112">
        <v>238</v>
      </c>
      <c r="X244" s="129"/>
    </row>
    <row r="245" spans="1:24" x14ac:dyDescent="0.2">
      <c r="A245" s="118"/>
      <c r="B245" s="112">
        <v>239</v>
      </c>
      <c r="C245" s="119"/>
      <c r="D245" s="112">
        <v>239</v>
      </c>
      <c r="E245" s="118"/>
      <c r="F245" s="112">
        <v>239</v>
      </c>
      <c r="G245" s="119"/>
      <c r="H245" s="112">
        <v>239</v>
      </c>
      <c r="I245" s="118"/>
      <c r="J245" s="112">
        <v>239</v>
      </c>
      <c r="X245" s="129"/>
    </row>
    <row r="246" spans="1:24" x14ac:dyDescent="0.2">
      <c r="A246" s="118"/>
      <c r="B246" s="112">
        <v>240</v>
      </c>
      <c r="C246" s="119"/>
      <c r="D246" s="112">
        <v>240</v>
      </c>
      <c r="E246" s="118"/>
      <c r="F246" s="112">
        <v>240</v>
      </c>
      <c r="G246" s="119"/>
      <c r="H246" s="112">
        <v>240</v>
      </c>
      <c r="I246" s="118"/>
      <c r="J246" s="112">
        <v>240</v>
      </c>
      <c r="X246" s="129"/>
    </row>
    <row r="247" spans="1:24" x14ac:dyDescent="0.2">
      <c r="A247" s="118"/>
      <c r="B247" s="112">
        <v>241</v>
      </c>
      <c r="C247" s="119"/>
      <c r="D247" s="112">
        <v>241</v>
      </c>
      <c r="E247" s="118"/>
      <c r="F247" s="112">
        <v>241</v>
      </c>
      <c r="G247" s="119"/>
      <c r="H247" s="112">
        <v>241</v>
      </c>
      <c r="I247" s="118"/>
      <c r="J247" s="112">
        <v>241</v>
      </c>
      <c r="X247" s="129"/>
    </row>
    <row r="248" spans="1:24" x14ac:dyDescent="0.2">
      <c r="A248" s="118"/>
      <c r="B248" s="112">
        <v>242</v>
      </c>
      <c r="C248" s="119"/>
      <c r="D248" s="112">
        <v>242</v>
      </c>
      <c r="E248" s="118"/>
      <c r="F248" s="112">
        <v>242</v>
      </c>
      <c r="G248" s="119"/>
      <c r="H248" s="112">
        <v>242</v>
      </c>
      <c r="I248" s="118"/>
      <c r="J248" s="112">
        <v>242</v>
      </c>
      <c r="X248" s="129"/>
    </row>
    <row r="249" spans="1:24" x14ac:dyDescent="0.2">
      <c r="A249" s="118"/>
      <c r="B249" s="112">
        <v>243</v>
      </c>
      <c r="C249" s="119"/>
      <c r="D249" s="112">
        <v>243</v>
      </c>
      <c r="E249" s="118"/>
      <c r="F249" s="112">
        <v>243</v>
      </c>
      <c r="G249" s="119"/>
      <c r="H249" s="112">
        <v>243</v>
      </c>
      <c r="I249" s="118"/>
      <c r="J249" s="112">
        <v>243</v>
      </c>
      <c r="X249" s="129"/>
    </row>
    <row r="250" spans="1:24" x14ac:dyDescent="0.2">
      <c r="A250" s="118"/>
      <c r="B250" s="112">
        <v>244</v>
      </c>
      <c r="C250" s="119"/>
      <c r="D250" s="112">
        <v>244</v>
      </c>
      <c r="E250" s="118"/>
      <c r="F250" s="112">
        <v>244</v>
      </c>
      <c r="G250" s="119"/>
      <c r="H250" s="112">
        <v>244</v>
      </c>
      <c r="I250" s="118"/>
      <c r="J250" s="112">
        <v>244</v>
      </c>
      <c r="X250" s="129"/>
    </row>
    <row r="251" spans="1:24" x14ac:dyDescent="0.2">
      <c r="A251" s="118"/>
      <c r="B251" s="112">
        <v>245</v>
      </c>
      <c r="C251" s="119"/>
      <c r="D251" s="112">
        <v>245</v>
      </c>
      <c r="E251" s="118"/>
      <c r="F251" s="112">
        <v>245</v>
      </c>
      <c r="G251" s="119"/>
      <c r="H251" s="112">
        <v>245</v>
      </c>
      <c r="I251" s="118"/>
      <c r="J251" s="112">
        <v>245</v>
      </c>
      <c r="X251" s="129"/>
    </row>
    <row r="252" spans="1:24" x14ac:dyDescent="0.2">
      <c r="A252" s="118"/>
      <c r="B252" s="112">
        <v>246</v>
      </c>
      <c r="C252" s="119"/>
      <c r="D252" s="112">
        <v>246</v>
      </c>
      <c r="E252" s="118"/>
      <c r="F252" s="112">
        <v>246</v>
      </c>
      <c r="G252" s="119"/>
      <c r="H252" s="112">
        <v>246</v>
      </c>
      <c r="I252" s="118"/>
      <c r="J252" s="112">
        <v>246</v>
      </c>
      <c r="X252" s="129"/>
    </row>
    <row r="253" spans="1:24" x14ac:dyDescent="0.2">
      <c r="A253" s="118"/>
      <c r="B253" s="112">
        <v>247</v>
      </c>
      <c r="C253" s="119"/>
      <c r="D253" s="112">
        <v>247</v>
      </c>
      <c r="E253" s="118"/>
      <c r="F253" s="112">
        <v>247</v>
      </c>
      <c r="G253" s="119"/>
      <c r="H253" s="112">
        <v>247</v>
      </c>
      <c r="I253" s="118"/>
      <c r="J253" s="112">
        <v>247</v>
      </c>
      <c r="X253" s="129"/>
    </row>
    <row r="254" spans="1:24" x14ac:dyDescent="0.2">
      <c r="A254" s="118"/>
      <c r="B254" s="112">
        <v>248</v>
      </c>
      <c r="C254" s="119"/>
      <c r="D254" s="112">
        <v>248</v>
      </c>
      <c r="E254" s="118"/>
      <c r="F254" s="112">
        <v>248</v>
      </c>
      <c r="G254" s="119"/>
      <c r="H254" s="112">
        <v>248</v>
      </c>
      <c r="I254" s="118"/>
      <c r="J254" s="112">
        <v>248</v>
      </c>
      <c r="X254" s="129"/>
    </row>
    <row r="255" spans="1:24" x14ac:dyDescent="0.2">
      <c r="A255" s="118"/>
      <c r="B255" s="112">
        <v>249</v>
      </c>
      <c r="C255" s="119"/>
      <c r="D255" s="112">
        <v>249</v>
      </c>
      <c r="E255" s="118"/>
      <c r="F255" s="112">
        <v>249</v>
      </c>
      <c r="G255" s="119"/>
      <c r="H255" s="112">
        <v>249</v>
      </c>
      <c r="I255" s="118"/>
      <c r="J255" s="112">
        <v>249</v>
      </c>
      <c r="X255" s="129"/>
    </row>
    <row r="256" spans="1:24" x14ac:dyDescent="0.2">
      <c r="A256" s="118"/>
      <c r="B256" s="112">
        <v>250</v>
      </c>
      <c r="C256" s="119"/>
      <c r="D256" s="112">
        <v>250</v>
      </c>
      <c r="E256" s="118"/>
      <c r="F256" s="112">
        <v>250</v>
      </c>
      <c r="G256" s="119"/>
      <c r="H256" s="112">
        <v>250</v>
      </c>
      <c r="I256" s="118"/>
      <c r="J256" s="112">
        <v>250</v>
      </c>
      <c r="X256" s="129"/>
    </row>
    <row r="257" spans="1:24" x14ac:dyDescent="0.2">
      <c r="A257" s="118"/>
      <c r="B257" s="112">
        <v>251</v>
      </c>
      <c r="C257" s="119"/>
      <c r="D257" s="112">
        <v>251</v>
      </c>
      <c r="E257" s="118"/>
      <c r="F257" s="112">
        <v>251</v>
      </c>
      <c r="G257" s="119"/>
      <c r="H257" s="112">
        <v>251</v>
      </c>
      <c r="I257" s="118"/>
      <c r="J257" s="112">
        <v>251</v>
      </c>
      <c r="X257" s="129"/>
    </row>
    <row r="258" spans="1:24" x14ac:dyDescent="0.2">
      <c r="A258" s="118"/>
      <c r="B258" s="112">
        <v>252</v>
      </c>
      <c r="C258" s="119"/>
      <c r="D258" s="112">
        <v>252</v>
      </c>
      <c r="E258" s="118"/>
      <c r="F258" s="112">
        <v>252</v>
      </c>
      <c r="G258" s="119"/>
      <c r="H258" s="112">
        <v>252</v>
      </c>
      <c r="I258" s="118"/>
      <c r="J258" s="112">
        <v>252</v>
      </c>
      <c r="X258" s="129"/>
    </row>
    <row r="259" spans="1:24" x14ac:dyDescent="0.2">
      <c r="A259" s="118"/>
      <c r="B259" s="112">
        <v>253</v>
      </c>
      <c r="C259" s="119"/>
      <c r="D259" s="112">
        <v>253</v>
      </c>
      <c r="E259" s="118"/>
      <c r="F259" s="112">
        <v>253</v>
      </c>
      <c r="G259" s="119"/>
      <c r="H259" s="112">
        <v>253</v>
      </c>
      <c r="I259" s="118"/>
      <c r="J259" s="112">
        <v>253</v>
      </c>
      <c r="X259" s="129"/>
    </row>
    <row r="260" spans="1:24" x14ac:dyDescent="0.2">
      <c r="A260" s="118"/>
      <c r="B260" s="112">
        <v>254</v>
      </c>
      <c r="C260" s="119"/>
      <c r="D260" s="112">
        <v>254</v>
      </c>
      <c r="E260" s="118"/>
      <c r="F260" s="112">
        <v>254</v>
      </c>
      <c r="G260" s="119"/>
      <c r="H260" s="112">
        <v>254</v>
      </c>
      <c r="I260" s="118"/>
      <c r="J260" s="112">
        <v>254</v>
      </c>
      <c r="X260" s="129"/>
    </row>
    <row r="261" spans="1:24" x14ac:dyDescent="0.2">
      <c r="A261" s="118"/>
      <c r="B261" s="112">
        <v>255</v>
      </c>
      <c r="C261" s="119"/>
      <c r="D261" s="112">
        <v>255</v>
      </c>
      <c r="E261" s="118"/>
      <c r="F261" s="112">
        <v>255</v>
      </c>
      <c r="G261" s="119"/>
      <c r="H261" s="112">
        <v>255</v>
      </c>
      <c r="I261" s="118"/>
      <c r="J261" s="112">
        <v>255</v>
      </c>
      <c r="X261" s="129"/>
    </row>
    <row r="262" spans="1:24" x14ac:dyDescent="0.2">
      <c r="A262" s="118"/>
      <c r="B262" s="112">
        <v>256</v>
      </c>
      <c r="C262" s="119"/>
      <c r="D262" s="112">
        <v>256</v>
      </c>
      <c r="E262" s="118"/>
      <c r="F262" s="112">
        <v>256</v>
      </c>
      <c r="G262" s="119"/>
      <c r="H262" s="112">
        <v>256</v>
      </c>
      <c r="I262" s="118"/>
      <c r="J262" s="112">
        <v>256</v>
      </c>
      <c r="X262" s="129"/>
    </row>
    <row r="263" spans="1:24" x14ac:dyDescent="0.2">
      <c r="A263" s="118"/>
      <c r="B263" s="112">
        <v>257</v>
      </c>
      <c r="C263" s="119"/>
      <c r="D263" s="112">
        <v>257</v>
      </c>
      <c r="E263" s="118"/>
      <c r="F263" s="112">
        <v>257</v>
      </c>
      <c r="G263" s="119"/>
      <c r="H263" s="112">
        <v>257</v>
      </c>
      <c r="I263" s="118"/>
      <c r="J263" s="112">
        <v>257</v>
      </c>
      <c r="X263" s="129"/>
    </row>
    <row r="264" spans="1:24" x14ac:dyDescent="0.2">
      <c r="A264" s="118"/>
      <c r="B264" s="112">
        <v>258</v>
      </c>
      <c r="C264" s="119"/>
      <c r="D264" s="112">
        <v>258</v>
      </c>
      <c r="E264" s="118"/>
      <c r="F264" s="112">
        <v>258</v>
      </c>
      <c r="G264" s="119"/>
      <c r="H264" s="112">
        <v>258</v>
      </c>
      <c r="I264" s="118"/>
      <c r="J264" s="112">
        <v>258</v>
      </c>
      <c r="X264" s="129"/>
    </row>
    <row r="265" spans="1:24" x14ac:dyDescent="0.2">
      <c r="A265" s="118"/>
      <c r="B265" s="112">
        <v>259</v>
      </c>
      <c r="C265" s="119"/>
      <c r="D265" s="112">
        <v>259</v>
      </c>
      <c r="E265" s="118"/>
      <c r="F265" s="112">
        <v>259</v>
      </c>
      <c r="G265" s="119"/>
      <c r="H265" s="112">
        <v>259</v>
      </c>
      <c r="I265" s="118"/>
      <c r="J265" s="112">
        <v>259</v>
      </c>
      <c r="X265" s="129"/>
    </row>
    <row r="266" spans="1:24" x14ac:dyDescent="0.2">
      <c r="A266" s="118"/>
      <c r="B266" s="112">
        <v>260</v>
      </c>
      <c r="C266" s="119"/>
      <c r="D266" s="112">
        <v>260</v>
      </c>
      <c r="E266" s="118"/>
      <c r="F266" s="112">
        <v>260</v>
      </c>
      <c r="G266" s="119"/>
      <c r="H266" s="112">
        <v>260</v>
      </c>
      <c r="I266" s="118"/>
      <c r="J266" s="112">
        <v>260</v>
      </c>
      <c r="X266" s="129"/>
    </row>
    <row r="267" spans="1:24" x14ac:dyDescent="0.2">
      <c r="A267" s="118"/>
      <c r="B267" s="112">
        <v>261</v>
      </c>
      <c r="C267" s="119"/>
      <c r="D267" s="112">
        <v>261</v>
      </c>
      <c r="E267" s="118"/>
      <c r="F267" s="112">
        <v>261</v>
      </c>
      <c r="G267" s="119"/>
      <c r="H267" s="112">
        <v>261</v>
      </c>
      <c r="I267" s="118"/>
      <c r="J267" s="112">
        <v>261</v>
      </c>
      <c r="X267" s="129"/>
    </row>
    <row r="268" spans="1:24" x14ac:dyDescent="0.2">
      <c r="A268" s="118"/>
      <c r="B268" s="112">
        <v>262</v>
      </c>
      <c r="C268" s="119"/>
      <c r="D268" s="112">
        <v>262</v>
      </c>
      <c r="E268" s="118"/>
      <c r="F268" s="112">
        <v>262</v>
      </c>
      <c r="G268" s="119"/>
      <c r="H268" s="112">
        <v>262</v>
      </c>
      <c r="I268" s="118"/>
      <c r="J268" s="112">
        <v>262</v>
      </c>
      <c r="X268" s="129"/>
    </row>
    <row r="269" spans="1:24" x14ac:dyDescent="0.2">
      <c r="A269" s="118"/>
      <c r="B269" s="112">
        <v>263</v>
      </c>
      <c r="C269" s="119"/>
      <c r="D269" s="112">
        <v>263</v>
      </c>
      <c r="E269" s="118"/>
      <c r="F269" s="112">
        <v>263</v>
      </c>
      <c r="G269" s="119"/>
      <c r="H269" s="112">
        <v>263</v>
      </c>
      <c r="I269" s="118"/>
      <c r="J269" s="112">
        <v>263</v>
      </c>
      <c r="X269" s="129"/>
    </row>
    <row r="270" spans="1:24" x14ac:dyDescent="0.2">
      <c r="A270" s="118"/>
      <c r="B270" s="112">
        <v>264</v>
      </c>
      <c r="C270" s="119"/>
      <c r="D270" s="112">
        <v>264</v>
      </c>
      <c r="E270" s="118"/>
      <c r="F270" s="112">
        <v>264</v>
      </c>
      <c r="G270" s="119"/>
      <c r="H270" s="112">
        <v>264</v>
      </c>
      <c r="I270" s="118"/>
      <c r="J270" s="112">
        <v>264</v>
      </c>
      <c r="X270" s="129"/>
    </row>
    <row r="271" spans="1:24" x14ac:dyDescent="0.2">
      <c r="A271" s="118"/>
      <c r="B271" s="112">
        <v>265</v>
      </c>
      <c r="C271" s="119"/>
      <c r="D271" s="112">
        <v>265</v>
      </c>
      <c r="E271" s="118"/>
      <c r="F271" s="112">
        <v>265</v>
      </c>
      <c r="G271" s="119"/>
      <c r="H271" s="112">
        <v>265</v>
      </c>
      <c r="I271" s="118"/>
      <c r="J271" s="112">
        <v>265</v>
      </c>
      <c r="X271" s="129"/>
    </row>
    <row r="272" spans="1:24" x14ac:dyDescent="0.2">
      <c r="A272" s="118"/>
      <c r="B272" s="112">
        <v>266</v>
      </c>
      <c r="C272" s="119"/>
      <c r="D272" s="112">
        <v>266</v>
      </c>
      <c r="E272" s="118"/>
      <c r="F272" s="112">
        <v>266</v>
      </c>
      <c r="G272" s="119"/>
      <c r="H272" s="112">
        <v>266</v>
      </c>
      <c r="I272" s="118"/>
      <c r="J272" s="112">
        <v>266</v>
      </c>
      <c r="X272" s="129"/>
    </row>
    <row r="273" spans="1:24" x14ac:dyDescent="0.2">
      <c r="A273" s="118"/>
      <c r="B273" s="112">
        <v>267</v>
      </c>
      <c r="C273" s="119"/>
      <c r="D273" s="112">
        <v>267</v>
      </c>
      <c r="E273" s="118"/>
      <c r="F273" s="112">
        <v>267</v>
      </c>
      <c r="G273" s="119"/>
      <c r="H273" s="112">
        <v>267</v>
      </c>
      <c r="I273" s="118"/>
      <c r="J273" s="112">
        <v>267</v>
      </c>
      <c r="X273" s="129"/>
    </row>
    <row r="274" spans="1:24" x14ac:dyDescent="0.2">
      <c r="A274" s="118"/>
      <c r="B274" s="112">
        <v>268</v>
      </c>
      <c r="C274" s="119"/>
      <c r="D274" s="112">
        <v>268</v>
      </c>
      <c r="E274" s="118"/>
      <c r="F274" s="112">
        <v>268</v>
      </c>
      <c r="G274" s="119"/>
      <c r="H274" s="112">
        <v>268</v>
      </c>
      <c r="I274" s="118"/>
      <c r="J274" s="112">
        <v>268</v>
      </c>
      <c r="X274" s="129"/>
    </row>
    <row r="275" spans="1:24" x14ac:dyDescent="0.2">
      <c r="A275" s="118"/>
      <c r="B275" s="112">
        <v>269</v>
      </c>
      <c r="C275" s="119"/>
      <c r="D275" s="112">
        <v>269</v>
      </c>
      <c r="E275" s="118"/>
      <c r="F275" s="112">
        <v>269</v>
      </c>
      <c r="G275" s="119"/>
      <c r="H275" s="112">
        <v>269</v>
      </c>
      <c r="I275" s="118"/>
      <c r="J275" s="112">
        <v>269</v>
      </c>
      <c r="X275" s="129"/>
    </row>
    <row r="276" spans="1:24" x14ac:dyDescent="0.2">
      <c r="A276" s="118"/>
      <c r="B276" s="112">
        <v>270</v>
      </c>
      <c r="C276" s="119"/>
      <c r="D276" s="112">
        <v>270</v>
      </c>
      <c r="E276" s="118"/>
      <c r="F276" s="112">
        <v>270</v>
      </c>
      <c r="G276" s="119"/>
      <c r="H276" s="112">
        <v>270</v>
      </c>
      <c r="I276" s="118"/>
      <c r="J276" s="112">
        <v>270</v>
      </c>
      <c r="X276" s="129"/>
    </row>
    <row r="277" spans="1:24" x14ac:dyDescent="0.2">
      <c r="A277" s="121"/>
      <c r="B277" s="122"/>
      <c r="C277" s="123"/>
      <c r="D277" s="122"/>
      <c r="E277" s="121"/>
      <c r="F277" s="122"/>
      <c r="G277" s="123"/>
      <c r="H277" s="122"/>
      <c r="I277" s="121"/>
      <c r="J277" s="122"/>
      <c r="X277" s="129"/>
    </row>
    <row r="278" spans="1:24" x14ac:dyDescent="0.2">
      <c r="A278" s="124"/>
      <c r="B278" s="117"/>
      <c r="C278" s="125"/>
      <c r="D278" s="117"/>
      <c r="E278" s="124"/>
      <c r="F278" s="117"/>
      <c r="G278" s="125"/>
      <c r="H278" s="117"/>
      <c r="I278" s="124"/>
      <c r="J278" s="117"/>
      <c r="X278" s="129"/>
    </row>
    <row r="279" spans="1:24" x14ac:dyDescent="0.2">
      <c r="A279" s="124"/>
      <c r="B279" s="117"/>
      <c r="C279" s="125"/>
      <c r="D279" s="117"/>
      <c r="E279" s="124"/>
      <c r="F279" s="117"/>
      <c r="G279" s="125"/>
      <c r="H279" s="117"/>
      <c r="I279" s="124"/>
      <c r="J279" s="117"/>
      <c r="X279" s="129"/>
    </row>
    <row r="280" spans="1:24" x14ac:dyDescent="0.2">
      <c r="A280" s="124"/>
      <c r="B280" s="117"/>
      <c r="C280" s="125"/>
      <c r="D280" s="117"/>
      <c r="E280" s="124"/>
      <c r="F280" s="117"/>
      <c r="G280" s="125"/>
      <c r="H280" s="117"/>
      <c r="I280" s="124"/>
      <c r="J280" s="117"/>
      <c r="X280" s="129"/>
    </row>
    <row r="281" spans="1:24" x14ac:dyDescent="0.2">
      <c r="A281" s="124"/>
      <c r="B281" s="117"/>
      <c r="C281" s="125"/>
      <c r="D281" s="117"/>
      <c r="E281" s="124"/>
      <c r="F281" s="117"/>
      <c r="G281" s="125"/>
      <c r="H281" s="117"/>
      <c r="I281" s="124"/>
      <c r="J281" s="117"/>
      <c r="X281" s="129"/>
    </row>
    <row r="282" spans="1:24" x14ac:dyDescent="0.2">
      <c r="A282" s="124"/>
      <c r="B282" s="117"/>
      <c r="C282" s="125"/>
      <c r="D282" s="117"/>
      <c r="E282" s="124"/>
      <c r="F282" s="117"/>
      <c r="G282" s="125"/>
      <c r="H282" s="117"/>
      <c r="I282" s="124"/>
      <c r="J282" s="117"/>
      <c r="X282" s="129"/>
    </row>
    <row r="283" spans="1:24" x14ac:dyDescent="0.2">
      <c r="A283" s="124"/>
      <c r="B283" s="117"/>
      <c r="C283" s="125"/>
      <c r="D283" s="117"/>
      <c r="E283" s="124"/>
      <c r="F283" s="117"/>
      <c r="G283" s="125"/>
      <c r="H283" s="117"/>
      <c r="I283" s="124"/>
      <c r="J283" s="117"/>
      <c r="X283" s="129"/>
    </row>
    <row r="284" spans="1:24" x14ac:dyDescent="0.2">
      <c r="A284" s="124"/>
      <c r="B284" s="117"/>
      <c r="C284" s="125"/>
      <c r="D284" s="117"/>
      <c r="E284" s="124"/>
      <c r="F284" s="117"/>
      <c r="G284" s="125"/>
      <c r="H284" s="117"/>
      <c r="I284" s="124"/>
      <c r="J284" s="117"/>
      <c r="X284" s="129"/>
    </row>
    <row r="285" spans="1:24" x14ac:dyDescent="0.2">
      <c r="A285" s="124"/>
      <c r="B285" s="117"/>
      <c r="C285" s="125"/>
      <c r="D285" s="117"/>
      <c r="E285" s="124"/>
      <c r="F285" s="117"/>
      <c r="G285" s="125"/>
      <c r="H285" s="117"/>
      <c r="I285" s="124"/>
      <c r="J285" s="117"/>
      <c r="X285" s="129"/>
    </row>
    <row r="286" spans="1:24" x14ac:dyDescent="0.2">
      <c r="A286" s="124"/>
      <c r="B286" s="117"/>
      <c r="C286" s="125"/>
      <c r="D286" s="117"/>
      <c r="E286" s="124"/>
      <c r="F286" s="117"/>
      <c r="G286" s="125"/>
      <c r="H286" s="117"/>
      <c r="I286" s="124"/>
      <c r="J286" s="117"/>
      <c r="X286" s="129"/>
    </row>
    <row r="287" spans="1:24" x14ac:dyDescent="0.2">
      <c r="A287" s="124"/>
      <c r="B287" s="117"/>
      <c r="C287" s="125"/>
      <c r="D287" s="117"/>
      <c r="E287" s="124"/>
      <c r="F287" s="117"/>
      <c r="G287" s="125"/>
      <c r="H287" s="117"/>
      <c r="I287" s="124"/>
      <c r="J287" s="117"/>
      <c r="X287" s="129"/>
    </row>
    <row r="288" spans="1:24" x14ac:dyDescent="0.2">
      <c r="A288" s="124"/>
      <c r="B288" s="117"/>
      <c r="C288" s="125"/>
      <c r="D288" s="117"/>
      <c r="E288" s="124"/>
      <c r="F288" s="117"/>
      <c r="G288" s="125"/>
      <c r="H288" s="117"/>
      <c r="I288" s="124"/>
      <c r="J288" s="117"/>
      <c r="X288" s="129"/>
    </row>
    <row r="289" spans="1:24" x14ac:dyDescent="0.2">
      <c r="A289" s="124"/>
      <c r="B289" s="117"/>
      <c r="C289" s="125"/>
      <c r="D289" s="117"/>
      <c r="E289" s="124"/>
      <c r="F289" s="117"/>
      <c r="G289" s="125"/>
      <c r="H289" s="117"/>
      <c r="I289" s="124"/>
      <c r="J289" s="117"/>
      <c r="X289" s="129"/>
    </row>
    <row r="290" spans="1:24" x14ac:dyDescent="0.2">
      <c r="A290" s="124"/>
      <c r="B290" s="117"/>
      <c r="C290" s="125"/>
      <c r="D290" s="117"/>
      <c r="E290" s="124"/>
      <c r="F290" s="117"/>
      <c r="G290" s="125"/>
      <c r="H290" s="117"/>
      <c r="I290" s="124"/>
      <c r="J290" s="117"/>
      <c r="X290" s="129"/>
    </row>
    <row r="291" spans="1:24" x14ac:dyDescent="0.2">
      <c r="A291" s="124"/>
      <c r="B291" s="117"/>
      <c r="C291" s="125"/>
      <c r="D291" s="117"/>
      <c r="E291" s="124"/>
      <c r="F291" s="117"/>
      <c r="G291" s="125"/>
      <c r="H291" s="117"/>
      <c r="I291" s="124"/>
      <c r="J291" s="117"/>
      <c r="X291" s="129"/>
    </row>
    <row r="292" spans="1:24" x14ac:dyDescent="0.2">
      <c r="A292" s="124"/>
      <c r="B292" s="117"/>
      <c r="C292" s="125"/>
      <c r="D292" s="117"/>
      <c r="E292" s="124"/>
      <c r="F292" s="117"/>
      <c r="G292" s="125"/>
      <c r="H292" s="117"/>
      <c r="I292" s="124"/>
      <c r="J292" s="117"/>
      <c r="X292" s="129"/>
    </row>
    <row r="293" spans="1:24" x14ac:dyDescent="0.2">
      <c r="A293" s="124"/>
      <c r="B293" s="117"/>
      <c r="C293" s="125"/>
      <c r="D293" s="117"/>
      <c r="E293" s="124"/>
      <c r="F293" s="117"/>
      <c r="G293" s="125"/>
      <c r="H293" s="117"/>
      <c r="I293" s="124"/>
      <c r="J293" s="117"/>
      <c r="X293" s="129"/>
    </row>
    <row r="294" spans="1:24" x14ac:dyDescent="0.2">
      <c r="A294" s="124"/>
      <c r="B294" s="117"/>
      <c r="C294" s="125"/>
      <c r="D294" s="117"/>
      <c r="E294" s="124"/>
      <c r="F294" s="117"/>
      <c r="G294" s="125"/>
      <c r="H294" s="117"/>
      <c r="I294" s="124"/>
      <c r="J294" s="117"/>
      <c r="X294" s="129"/>
    </row>
    <row r="295" spans="1:24" x14ac:dyDescent="0.2">
      <c r="A295" s="124"/>
      <c r="B295" s="117"/>
      <c r="C295" s="125"/>
      <c r="D295" s="117"/>
      <c r="E295" s="124"/>
      <c r="F295" s="117"/>
      <c r="G295" s="125"/>
      <c r="H295" s="117"/>
      <c r="I295" s="124"/>
      <c r="J295" s="117"/>
      <c r="X295" s="129"/>
    </row>
    <row r="296" spans="1:24" x14ac:dyDescent="0.2">
      <c r="A296" s="124"/>
      <c r="B296" s="117"/>
      <c r="C296" s="125"/>
      <c r="D296" s="117"/>
      <c r="E296" s="124"/>
      <c r="F296" s="117"/>
      <c r="G296" s="125"/>
      <c r="H296" s="117"/>
      <c r="I296" s="124"/>
      <c r="J296" s="117"/>
      <c r="X296" s="129"/>
    </row>
    <row r="297" spans="1:24" x14ac:dyDescent="0.2">
      <c r="A297" s="124"/>
      <c r="B297" s="117"/>
      <c r="C297" s="125"/>
      <c r="D297" s="117"/>
      <c r="E297" s="124"/>
      <c r="F297" s="117"/>
      <c r="G297" s="125"/>
      <c r="H297" s="117"/>
      <c r="I297" s="124"/>
      <c r="J297" s="117"/>
      <c r="X297" s="129"/>
    </row>
    <row r="298" spans="1:24" x14ac:dyDescent="0.2">
      <c r="A298" s="124"/>
      <c r="B298" s="117"/>
      <c r="C298" s="125"/>
      <c r="D298" s="117"/>
      <c r="E298" s="124"/>
      <c r="F298" s="117"/>
      <c r="G298" s="125"/>
      <c r="H298" s="117"/>
      <c r="I298" s="124"/>
      <c r="J298" s="117"/>
      <c r="X298" s="129"/>
    </row>
    <row r="299" spans="1:24" x14ac:dyDescent="0.2">
      <c r="A299" s="124"/>
      <c r="B299" s="117"/>
      <c r="C299" s="125"/>
      <c r="D299" s="117"/>
      <c r="E299" s="124"/>
      <c r="F299" s="117"/>
      <c r="G299" s="125"/>
      <c r="H299" s="117"/>
      <c r="I299" s="124"/>
      <c r="J299" s="117"/>
      <c r="X299" s="129"/>
    </row>
    <row r="300" spans="1:24" x14ac:dyDescent="0.2">
      <c r="A300" s="124"/>
      <c r="B300" s="117"/>
      <c r="C300" s="125"/>
      <c r="D300" s="117"/>
      <c r="E300" s="124"/>
      <c r="F300" s="117"/>
      <c r="G300" s="125"/>
      <c r="H300" s="117"/>
      <c r="I300" s="124"/>
      <c r="J300" s="117"/>
      <c r="X300" s="129"/>
    </row>
    <row r="301" spans="1:24" x14ac:dyDescent="0.2">
      <c r="X301" s="129"/>
    </row>
    <row r="302" spans="1:24" x14ac:dyDescent="0.2">
      <c r="X302" s="129"/>
    </row>
    <row r="303" spans="1:24" x14ac:dyDescent="0.2">
      <c r="X303" s="129"/>
    </row>
    <row r="304" spans="1:24" x14ac:dyDescent="0.2">
      <c r="X304" s="129"/>
    </row>
    <row r="305" spans="24:24" x14ac:dyDescent="0.2">
      <c r="X305" s="129"/>
    </row>
    <row r="306" spans="24:24" x14ac:dyDescent="0.2">
      <c r="X306" s="129"/>
    </row>
    <row r="307" spans="24:24" x14ac:dyDescent="0.2">
      <c r="X307" s="129"/>
    </row>
    <row r="308" spans="24:24" x14ac:dyDescent="0.2">
      <c r="X308" s="129"/>
    </row>
    <row r="309" spans="24:24" x14ac:dyDescent="0.2">
      <c r="X309" s="129"/>
    </row>
    <row r="310" spans="24:24" x14ac:dyDescent="0.2">
      <c r="X310" s="129"/>
    </row>
    <row r="311" spans="24:24" x14ac:dyDescent="0.2">
      <c r="X311" s="129"/>
    </row>
    <row r="312" spans="24:24" x14ac:dyDescent="0.2">
      <c r="X312" s="129"/>
    </row>
    <row r="313" spans="24:24" x14ac:dyDescent="0.2">
      <c r="X313" s="129"/>
    </row>
    <row r="314" spans="24:24" x14ac:dyDescent="0.2">
      <c r="X314" s="129"/>
    </row>
    <row r="315" spans="24:24" x14ac:dyDescent="0.2">
      <c r="X315" s="129"/>
    </row>
    <row r="316" spans="24:24" x14ac:dyDescent="0.2">
      <c r="X316" s="129"/>
    </row>
    <row r="317" spans="24:24" x14ac:dyDescent="0.2">
      <c r="X317" s="129"/>
    </row>
    <row r="318" spans="24:24" x14ac:dyDescent="0.2">
      <c r="X318" s="129"/>
    </row>
    <row r="319" spans="24:24" x14ac:dyDescent="0.2">
      <c r="X319" s="129"/>
    </row>
    <row r="320" spans="24:24" x14ac:dyDescent="0.2">
      <c r="X320" s="129"/>
    </row>
    <row r="321" spans="24:24" x14ac:dyDescent="0.2">
      <c r="X321" s="129"/>
    </row>
    <row r="322" spans="24:24" x14ac:dyDescent="0.2">
      <c r="X322" s="129"/>
    </row>
    <row r="323" spans="24:24" x14ac:dyDescent="0.2">
      <c r="X323" s="129"/>
    </row>
    <row r="324" spans="24:24" x14ac:dyDescent="0.2">
      <c r="X324" s="129"/>
    </row>
    <row r="325" spans="24:24" x14ac:dyDescent="0.2">
      <c r="X325" s="129"/>
    </row>
    <row r="326" spans="24:24" x14ac:dyDescent="0.2">
      <c r="X326" s="129"/>
    </row>
    <row r="327" spans="24:24" x14ac:dyDescent="0.2">
      <c r="X327" s="129"/>
    </row>
    <row r="328" spans="24:24" x14ac:dyDescent="0.2">
      <c r="X328" s="129"/>
    </row>
    <row r="329" spans="24:24" x14ac:dyDescent="0.2">
      <c r="X329" s="129"/>
    </row>
    <row r="330" spans="24:24" x14ac:dyDescent="0.2">
      <c r="X330" s="129"/>
    </row>
    <row r="331" spans="24:24" x14ac:dyDescent="0.2">
      <c r="X331" s="129"/>
    </row>
    <row r="332" spans="24:24" x14ac:dyDescent="0.2">
      <c r="X332" s="129"/>
    </row>
    <row r="333" spans="24:24" x14ac:dyDescent="0.2">
      <c r="X333" s="129"/>
    </row>
    <row r="334" spans="24:24" x14ac:dyDescent="0.2">
      <c r="X334" s="129"/>
    </row>
    <row r="335" spans="24:24" x14ac:dyDescent="0.2">
      <c r="X335" s="129"/>
    </row>
    <row r="336" spans="24:24" x14ac:dyDescent="0.2">
      <c r="X336" s="129"/>
    </row>
    <row r="337" spans="24:24" x14ac:dyDescent="0.2">
      <c r="X337" s="129"/>
    </row>
    <row r="338" spans="24:24" x14ac:dyDescent="0.2">
      <c r="X338" s="129"/>
    </row>
    <row r="339" spans="24:24" x14ac:dyDescent="0.2">
      <c r="X339" s="129"/>
    </row>
    <row r="340" spans="24:24" x14ac:dyDescent="0.2">
      <c r="X340" s="129"/>
    </row>
    <row r="341" spans="24:24" x14ac:dyDescent="0.2">
      <c r="X341" s="129"/>
    </row>
    <row r="342" spans="24:24" x14ac:dyDescent="0.2">
      <c r="X342" s="129"/>
    </row>
    <row r="343" spans="24:24" x14ac:dyDescent="0.2">
      <c r="X343" s="129"/>
    </row>
    <row r="344" spans="24:24" x14ac:dyDescent="0.2">
      <c r="X344" s="129"/>
    </row>
    <row r="345" spans="24:24" x14ac:dyDescent="0.2">
      <c r="X345" s="129"/>
    </row>
    <row r="346" spans="24:24" x14ac:dyDescent="0.2">
      <c r="X346" s="129"/>
    </row>
    <row r="347" spans="24:24" x14ac:dyDescent="0.2">
      <c r="X347" s="129"/>
    </row>
    <row r="348" spans="24:24" x14ac:dyDescent="0.2">
      <c r="X348" s="129"/>
    </row>
    <row r="349" spans="24:24" x14ac:dyDescent="0.2">
      <c r="X349" s="129"/>
    </row>
    <row r="350" spans="24:24" x14ac:dyDescent="0.2">
      <c r="X350" s="129"/>
    </row>
    <row r="351" spans="24:24" x14ac:dyDescent="0.2">
      <c r="X351" s="129"/>
    </row>
    <row r="352" spans="24:24" x14ac:dyDescent="0.2">
      <c r="X352" s="129"/>
    </row>
    <row r="353" spans="24:24" x14ac:dyDescent="0.2">
      <c r="X353" s="129"/>
    </row>
    <row r="354" spans="24:24" x14ac:dyDescent="0.2">
      <c r="X354" s="129"/>
    </row>
    <row r="355" spans="24:24" x14ac:dyDescent="0.2">
      <c r="X355" s="129"/>
    </row>
    <row r="356" spans="24:24" x14ac:dyDescent="0.2">
      <c r="X356" s="129"/>
    </row>
    <row r="357" spans="24:24" x14ac:dyDescent="0.2">
      <c r="X357" s="129"/>
    </row>
    <row r="358" spans="24:24" x14ac:dyDescent="0.2">
      <c r="X358" s="129"/>
    </row>
    <row r="359" spans="24:24" x14ac:dyDescent="0.2">
      <c r="X359" s="129"/>
    </row>
    <row r="360" spans="24:24" x14ac:dyDescent="0.2">
      <c r="X360" s="129"/>
    </row>
    <row r="361" spans="24:24" x14ac:dyDescent="0.2">
      <c r="X361" s="129"/>
    </row>
    <row r="362" spans="24:24" x14ac:dyDescent="0.2">
      <c r="X362" s="129"/>
    </row>
    <row r="363" spans="24:24" x14ac:dyDescent="0.2">
      <c r="X363" s="129"/>
    </row>
    <row r="364" spans="24:24" x14ac:dyDescent="0.2">
      <c r="X364" s="129"/>
    </row>
    <row r="365" spans="24:24" x14ac:dyDescent="0.2">
      <c r="X365" s="129"/>
    </row>
    <row r="366" spans="24:24" x14ac:dyDescent="0.2">
      <c r="X366" s="129"/>
    </row>
    <row r="367" spans="24:24" x14ac:dyDescent="0.2">
      <c r="X367" s="129"/>
    </row>
    <row r="368" spans="24:24" x14ac:dyDescent="0.2">
      <c r="X368" s="129"/>
    </row>
    <row r="369" spans="24:24" x14ac:dyDescent="0.2">
      <c r="X369" s="129"/>
    </row>
    <row r="370" spans="24:24" x14ac:dyDescent="0.2">
      <c r="X370" s="129"/>
    </row>
    <row r="371" spans="24:24" x14ac:dyDescent="0.2">
      <c r="X371" s="129"/>
    </row>
    <row r="372" spans="24:24" x14ac:dyDescent="0.2">
      <c r="X372" s="129"/>
    </row>
    <row r="373" spans="24:24" x14ac:dyDescent="0.2">
      <c r="X373" s="129"/>
    </row>
    <row r="374" spans="24:24" x14ac:dyDescent="0.2">
      <c r="X374" s="129"/>
    </row>
    <row r="375" spans="24:24" x14ac:dyDescent="0.2">
      <c r="X375" s="129"/>
    </row>
    <row r="376" spans="24:24" x14ac:dyDescent="0.2">
      <c r="X376" s="129"/>
    </row>
    <row r="377" spans="24:24" x14ac:dyDescent="0.2">
      <c r="X377" s="129"/>
    </row>
    <row r="378" spans="24:24" x14ac:dyDescent="0.2">
      <c r="X378" s="129"/>
    </row>
    <row r="379" spans="24:24" x14ac:dyDescent="0.2">
      <c r="X379" s="129"/>
    </row>
    <row r="380" spans="24:24" x14ac:dyDescent="0.2">
      <c r="X380" s="129"/>
    </row>
    <row r="381" spans="24:24" x14ac:dyDescent="0.2">
      <c r="X381" s="129"/>
    </row>
    <row r="382" spans="24:24" x14ac:dyDescent="0.2">
      <c r="X382" s="129"/>
    </row>
    <row r="383" spans="24:24" x14ac:dyDescent="0.2">
      <c r="X383" s="129"/>
    </row>
    <row r="384" spans="24:24" x14ac:dyDescent="0.2">
      <c r="X384" s="129"/>
    </row>
    <row r="385" spans="24:24" x14ac:dyDescent="0.2">
      <c r="X385" s="129"/>
    </row>
    <row r="386" spans="24:24" x14ac:dyDescent="0.2">
      <c r="X386" s="129"/>
    </row>
    <row r="387" spans="24:24" x14ac:dyDescent="0.2">
      <c r="X387" s="129"/>
    </row>
    <row r="388" spans="24:24" x14ac:dyDescent="0.2">
      <c r="X388" s="129"/>
    </row>
    <row r="389" spans="24:24" x14ac:dyDescent="0.2">
      <c r="X389" s="129"/>
    </row>
    <row r="390" spans="24:24" x14ac:dyDescent="0.2">
      <c r="X390" s="129"/>
    </row>
    <row r="391" spans="24:24" x14ac:dyDescent="0.2">
      <c r="X391" s="129"/>
    </row>
  </sheetData>
  <sortState ref="AD8:AE19">
    <sortCondition ref="AD7"/>
  </sortState>
  <mergeCells count="6">
    <mergeCell ref="AD5:AE5"/>
    <mergeCell ref="T1:X1"/>
    <mergeCell ref="T2:X2"/>
    <mergeCell ref="I3:L3"/>
    <mergeCell ref="Q3:X3"/>
    <mergeCell ref="R5:V5"/>
  </mergeCells>
  <printOptions horizontalCentered="1"/>
  <pageMargins left="0.25" right="0.25" top="0.75" bottom="0.75" header="0.3" footer="0.3"/>
  <pageSetup scale="3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Game Info</vt:lpstr>
      <vt:lpstr>Reels From Source (2)</vt:lpstr>
      <vt:lpstr>Reels</vt:lpstr>
      <vt:lpstr>Wins Combination</vt:lpstr>
      <vt:lpstr>Match</vt:lpstr>
      <vt:lpstr>Pays</vt:lpstr>
      <vt:lpstr>Match!Print_Area</vt:lpstr>
      <vt:lpstr>Pays!Print_Area</vt:lpstr>
      <vt:lpstr>'Wins Combination'!Print_Area</vt:lpstr>
    </vt:vector>
  </TitlesOfParts>
  <Company>Gaming Laboratories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amy_n</dc:creator>
  <cp:lastModifiedBy>Ranft, Richard</cp:lastModifiedBy>
  <cp:lastPrinted>2013-04-30T23:50:24Z</cp:lastPrinted>
  <dcterms:created xsi:type="dcterms:W3CDTF">2006-11-08T16:32:24Z</dcterms:created>
  <dcterms:modified xsi:type="dcterms:W3CDTF">2014-11-04T23:20:18Z</dcterms:modified>
</cp:coreProperties>
</file>